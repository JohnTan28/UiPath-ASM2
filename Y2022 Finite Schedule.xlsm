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2.xml" ContentType="application/vnd.openxmlformats-officedocument.spreadsheetml.comments+xml"/>
  <Override PartName="/xl/threadedComments/threadedComment1.xml" ContentType="application/vnd.ms-excel.threadedcomments+xml"/>
  <Override PartName="/xl/comments3.xml" ContentType="application/vnd.openxmlformats-officedocument.spreadsheetml.comments+xml"/>
  <Override PartName="/xl/threadedComments/threadedComment2.xml" ContentType="application/vnd.ms-excel.threadedcomments+xml"/>
  <Override PartName="/xl/comments4.xml" ContentType="application/vnd.openxmlformats-officedocument.spreadsheetml.comments+xml"/>
  <Override PartName="/xl/threadedComments/threadedComment3.xml" ContentType="application/vnd.ms-excel.threadedcomments+xml"/>
  <Override PartName="/xl/comments5.xml" ContentType="application/vnd.openxmlformats-officedocument.spreadsheetml.comments+xml"/>
  <Override PartName="/xl/threadedComments/threadedComment4.xml" ContentType="application/vnd.ms-excel.threadedcomments+xml"/>
  <Override PartName="/xl/comments6.xml" ContentType="application/vnd.openxmlformats-officedocument.spreadsheetml.comments+xml"/>
  <Override PartName="/xl/threadedComments/threadedComment5.xml" ContentType="application/vnd.ms-excel.threadedcomments+xml"/>
  <Override PartName="/xl/comments7.xml" ContentType="application/vnd.openxmlformats-officedocument.spreadsheetml.comments+xml"/>
  <Override PartName="/xl/threadedComments/threadedComment6.xml" ContentType="application/vnd.ms-excel.threadedcomments+xml"/>
  <Override PartName="/xl/comments8.xml" ContentType="application/vnd.openxmlformats-officedocument.spreadsheetml.comments+xml"/>
  <Override PartName="/xl/threadedComments/threadedComment7.xml" ContentType="application/vnd.ms-excel.threadedcomments+xml"/>
  <Override PartName="/xl/comments9.xml" ContentType="application/vnd.openxmlformats-officedocument.spreadsheetml.comments+xml"/>
  <Override PartName="/xl/threadedComments/threadedComment8.xml" ContentType="application/vnd.ms-excel.threadedcomments+xml"/>
  <Override PartName="/xl/comments10.xml" ContentType="application/vnd.openxmlformats-officedocument.spreadsheetml.comments+xml"/>
  <Override PartName="/xl/threadedComments/threadedComment9.xml" ContentType="application/vnd.ms-excel.threadedcomments+xml"/>
  <Override PartName="/xl/comments11.xml" ContentType="application/vnd.openxmlformats-officedocument.spreadsheetml.comments+xml"/>
  <Override PartName="/xl/threadedComments/threadedComment10.xml" ContentType="application/vnd.ms-excel.threadedcomments+xml"/>
  <Override PartName="/xl/comments12.xml" ContentType="application/vnd.openxmlformats-officedocument.spreadsheetml.comments+xml"/>
  <Override PartName="/xl/threadedComments/threadedComment11.xml" ContentType="application/vnd.ms-excel.threadedcomments+xml"/>
  <Override PartName="/xl/comments13.xml" ContentType="application/vnd.openxmlformats-officedocument.spreadsheetml.comments+xml"/>
  <Override PartName="/xl/threadedComments/threadedComment12.xml" ContentType="application/vnd.ms-excel.threadedcomments+xml"/>
  <Override PartName="/xl/comments14.xml" ContentType="application/vnd.openxmlformats-officedocument.spreadsheetml.comments+xml"/>
  <Override PartName="/xl/threadedComments/threadedComment13.xml" ContentType="application/vnd.ms-excel.threadedcomments+xml"/>
  <Override PartName="/xl/comments15.xml" ContentType="application/vnd.openxmlformats-officedocument.spreadsheetml.comments+xml"/>
  <Override PartName="/xl/threadedComments/threadedComment14.xml" ContentType="application/vnd.ms-excel.threadedcomments+xml"/>
  <Override PartName="/xl/comments16.xml" ContentType="application/vnd.openxmlformats-officedocument.spreadsheetml.comments+xml"/>
  <Override PartName="/xl/threadedComments/threadedComment15.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fileSharing readOnlyRecommended="1"/>
  <workbookPr codeName="ThisWorkbook" defaultThemeVersion="124226"/>
  <mc:AlternateContent xmlns:mc="http://schemas.openxmlformats.org/markup-compatibility/2006">
    <mc:Choice Requires="x15">
      <x15ac:absPath xmlns:x15ac="http://schemas.microsoft.com/office/spreadsheetml/2010/11/ac" url="C:\Users\jtan15\Desktop\ASM2_RPA\"/>
    </mc:Choice>
  </mc:AlternateContent>
  <xr:revisionPtr revIDLastSave="0" documentId="13_ncr:1_{25DC8F11-013A-4116-8364-136FDA891176}" xr6:coauthVersionLast="47" xr6:coauthVersionMax="48" xr10:uidLastSave="{00000000-0000-0000-0000-000000000000}"/>
  <bookViews>
    <workbookView xWindow="380" yWindow="380" windowWidth="14400" windowHeight="7360" tabRatio="848" activeTab="11" xr2:uid="{00000000-000D-0000-FFFF-FFFF00000000}"/>
  </bookViews>
  <sheets>
    <sheet name="R &amp; R" sheetId="111" r:id="rId1"/>
    <sheet name="Tabulated BOM" sheetId="112" r:id="rId2"/>
    <sheet name="Issue log" sheetId="43" r:id="rId3"/>
    <sheet name="Post A1 Cleaning Template" sheetId="91" state="hidden" r:id="rId4"/>
    <sheet name="A3 Template (no recry)" sheetId="93" state="hidden" r:id="rId5"/>
    <sheet name="A2 Template" sheetId="77" state="hidden" r:id="rId6"/>
    <sheet name="Post A2 Cleaning Template" sheetId="90" state="hidden" r:id="rId7"/>
    <sheet name="Post B Cleaning Template" sheetId="73" state="hidden" r:id="rId8"/>
    <sheet name="B Template" sheetId="68" state="hidden" r:id="rId9"/>
    <sheet name="C Template" sheetId="83" state="hidden" r:id="rId10"/>
    <sheet name="Pre-Campaign" sheetId="128" r:id="rId11"/>
    <sheet name="Plant Activities" sheetId="2" r:id="rId12"/>
    <sheet name="Monthly View" sheetId="113" state="hidden" r:id="rId13"/>
    <sheet name="Y2022 A3-5 (with 1 recry)" sheetId="170" state="hidden" r:id="rId14"/>
    <sheet name="Y2021 A1-1" sheetId="108" state="hidden" r:id="rId15"/>
    <sheet name="Y2021 A1-2" sheetId="109" state="hidden" r:id="rId16"/>
    <sheet name="Y2021 A2-1" sheetId="114" state="hidden" r:id="rId17"/>
    <sheet name="Y2021 A2-2" sheetId="115" state="hidden" r:id="rId18"/>
    <sheet name="Y2021 Post A2 Cleaning 1" sheetId="101" state="hidden" r:id="rId19"/>
    <sheet name="Y2021 A3-1" sheetId="65" state="hidden" r:id="rId20"/>
    <sheet name="Y2021 A3-2" sheetId="117" state="hidden" r:id="rId21"/>
    <sheet name="Y2021 Post A3 Cleaning 1" sheetId="85" state="hidden" r:id="rId22"/>
    <sheet name="Y2021 B-1" sheetId="38" state="hidden" r:id="rId23"/>
    <sheet name="Y2022 A3-6 (with 1 recry)" sheetId="173" state="hidden" r:id="rId24"/>
    <sheet name="Y2022 Post A3 Cleaning" sheetId="172" state="hidden" r:id="rId25"/>
    <sheet name="Y2022 B-1" sheetId="175" state="hidden" r:id="rId26"/>
    <sheet name="Y2022 B-2 Option A " sheetId="176" state="hidden" r:id="rId27"/>
    <sheet name="Y2021 Post B cleaning 1" sheetId="105" state="hidden" r:id="rId28"/>
    <sheet name="Y2021 C-1" sheetId="118" state="hidden" r:id="rId29"/>
    <sheet name="Y2021 A1-3" sheetId="120" state="hidden" r:id="rId30"/>
    <sheet name="Y2021 A1-4" sheetId="122" state="hidden" r:id="rId31"/>
    <sheet name="Y2021 A1-5" sheetId="123" state="hidden" r:id="rId32"/>
    <sheet name="Y2021 A1-6" sheetId="121" state="hidden" r:id="rId33"/>
    <sheet name="Y2021 Post A1 Cleaning 2" sheetId="124" state="hidden" r:id="rId34"/>
    <sheet name="Y2021 A2-3" sheetId="125" state="hidden" r:id="rId35"/>
    <sheet name="Y2021 A2-4" sheetId="126" state="hidden" r:id="rId36"/>
    <sheet name="Y2021 A2-5" sheetId="127" state="hidden" r:id="rId37"/>
    <sheet name="Y2021 A2-6" sheetId="129" state="hidden" r:id="rId38"/>
    <sheet name="Y2021 Post A2 Cleaning 2" sheetId="130" state="hidden" r:id="rId39"/>
    <sheet name="Y2021 A3-3 (with 1 recry)" sheetId="131" state="hidden" r:id="rId40"/>
    <sheet name="Y2021 A3-4 (with 1 recry)" sheetId="133" state="hidden" r:id="rId41"/>
    <sheet name="Y2021 A3-5 (with 1 recry)" sheetId="134" state="hidden" r:id="rId42"/>
    <sheet name="Y2021 A3-6 (with 1 recry)" sheetId="135" state="hidden" r:id="rId43"/>
    <sheet name="Y2021 Post A3 Cleaning 2" sheetId="132" state="hidden" r:id="rId44"/>
    <sheet name="Y2021 B-2" sheetId="136" state="hidden" r:id="rId45"/>
    <sheet name="Y2021 B-3" sheetId="137" state="hidden" r:id="rId46"/>
    <sheet name="Y2021 Non-routine B &gt; A1" sheetId="139" state="hidden" r:id="rId47"/>
    <sheet name="Y2022 A1-1" sheetId="140" state="hidden" r:id="rId48"/>
    <sheet name="Y2022 A1-2" sheetId="141" state="hidden" r:id="rId49"/>
    <sheet name="Y2022 A1-3" sheetId="142" state="hidden" r:id="rId50"/>
    <sheet name="Y2022 Post A1 Cleaning 1" sheetId="143" state="hidden" r:id="rId51"/>
    <sheet name="Y2022 A2-1" sheetId="144" state="hidden" r:id="rId52"/>
    <sheet name="Y2022 A2-2" sheetId="145" state="hidden" r:id="rId53"/>
    <sheet name="Y2022 A2-3" sheetId="146" state="hidden" r:id="rId54"/>
    <sheet name="Y2022 A2-4" sheetId="147" state="hidden" r:id="rId55"/>
    <sheet name="Y2022 A2-5" sheetId="148" state="hidden" r:id="rId56"/>
    <sheet name="Y2022 A2-6" sheetId="149" state="hidden" r:id="rId57"/>
    <sheet name="Post A2 Cleaning_A2 &gt; C (2)" sheetId="151" state="hidden" r:id="rId58"/>
    <sheet name="Y2022 NR Post A2 Cleaning" sheetId="155" state="hidden" r:id="rId59"/>
    <sheet name="Y2021 C-2" sheetId="156" state="hidden" r:id="rId60"/>
    <sheet name="Y2021 C-3" sheetId="158" state="hidden" r:id="rId61"/>
    <sheet name="Y2021 C-4" sheetId="159" state="hidden" r:id="rId62"/>
    <sheet name="Y2022 Post B cleaning Option A" sheetId="179" state="hidden" r:id="rId63"/>
    <sheet name="Y2022 B-2 Option B" sheetId="180" state="hidden" r:id="rId64"/>
    <sheet name="Y2022 Post B cleaning Option B" sheetId="181" state="hidden" r:id="rId65"/>
    <sheet name="Y2022 Post B REclean (25 Mar)" sheetId="184" state="hidden" r:id="rId66"/>
    <sheet name="Y2022 C-1 (Grace)" sheetId="178" state="hidden" r:id="rId67"/>
    <sheet name="Y2022 C-2 RPA" sheetId="182" r:id="rId68"/>
    <sheet name="Y2022 C-3 (Grace)" sheetId="183" r:id="rId69"/>
    <sheet name="Y2021 Post C cleaning 1" sheetId="119" state="hidden" r:id="rId70"/>
    <sheet name="Y2022 PCO Carfilz to Aprem" sheetId="190" r:id="rId71"/>
    <sheet name="Y2022 Grace to Senn Cleaning" sheetId="187" state="hidden" r:id="rId72"/>
    <sheet name="Y2021 Post A1 Cleaning 1" sheetId="110" state="hidden" r:id="rId73"/>
    <sheet name="NR Post C &gt; A3 Step cleaning" sheetId="161" state="hidden" r:id="rId74"/>
    <sheet name="Y2022 A3-1 (with 1 recry)" sheetId="163" state="hidden" r:id="rId75"/>
    <sheet name="Y2022 A3-2 (with 1 recry)" sheetId="164" state="hidden" r:id="rId76"/>
    <sheet name="Y2022 A3-3 (with 1 recry)" sheetId="165" state="hidden" r:id="rId77"/>
    <sheet name="Y2022 A3-4 (with 1 recry)" sheetId="169" state="hidden" r:id="rId78"/>
    <sheet name="Y2021 B-4" sheetId="138" state="hidden" r:id="rId79"/>
    <sheet name="Y2021 C-2_Op" sheetId="157" state="hidden" r:id="rId80"/>
    <sheet name="A1 Template" sheetId="66" state="hidden" r:id="rId81"/>
  </sheets>
  <functionGroups builtInGroupCount="19"/>
  <definedNames>
    <definedName name="End" localSheetId="4">'Plant Activities'!#REF!</definedName>
    <definedName name="End" localSheetId="8">'Plant Activities'!#REF!</definedName>
    <definedName name="End" localSheetId="9">'Plant Activities'!#REF!</definedName>
    <definedName name="End" localSheetId="19">'Plant Activities'!#REF!</definedName>
    <definedName name="End" localSheetId="20">'Plant Activities'!#REF!</definedName>
    <definedName name="End" localSheetId="39">'Plant Activities'!#REF!</definedName>
    <definedName name="End" localSheetId="40">'Plant Activities'!#REF!</definedName>
    <definedName name="End" localSheetId="41">'Plant Activities'!#REF!</definedName>
    <definedName name="End" localSheetId="42">'Plant Activities'!#REF!</definedName>
    <definedName name="End" localSheetId="22">'Plant Activities'!#REF!</definedName>
    <definedName name="End" localSheetId="44">'Plant Activities'!#REF!</definedName>
    <definedName name="End" localSheetId="45">'Plant Activities'!#REF!</definedName>
    <definedName name="End" localSheetId="78">'Plant Activities'!#REF!</definedName>
    <definedName name="End" localSheetId="28">'Plant Activities'!#REF!</definedName>
    <definedName name="End" localSheetId="59">'Plant Activities'!#REF!</definedName>
    <definedName name="End" localSheetId="79">'Plant Activities'!#REF!</definedName>
    <definedName name="End" localSheetId="60">'Plant Activities'!#REF!</definedName>
    <definedName name="End" localSheetId="61">'Plant Activities'!#REF!</definedName>
    <definedName name="End" localSheetId="74">'Plant Activities'!#REF!</definedName>
    <definedName name="End" localSheetId="75">'Plant Activities'!#REF!</definedName>
    <definedName name="End" localSheetId="76">'Plant Activities'!#REF!</definedName>
    <definedName name="End" localSheetId="77">'Plant Activities'!#REF!</definedName>
    <definedName name="End" localSheetId="13">'Plant Activities'!#REF!</definedName>
    <definedName name="End" localSheetId="23">'Plant Activities'!#REF!</definedName>
    <definedName name="End" localSheetId="25">'Plant Activities'!#REF!</definedName>
    <definedName name="End" localSheetId="26">'Plant Activities'!#REF!</definedName>
    <definedName name="End" localSheetId="63">'Plant Activities'!#REF!</definedName>
    <definedName name="End" localSheetId="66">'Plant Activities'!#REF!</definedName>
    <definedName name="End" localSheetId="67">'Plant Activities'!#REF!</definedName>
    <definedName name="End" localSheetId="68">'Plant Activities'!#REF!</definedName>
    <definedName name="_xlnm.Print_Area" localSheetId="80">'A1 Template'!$A$1:$G$28</definedName>
    <definedName name="_xlnm.Print_Area" localSheetId="4">'A3 Template (no recry)'!$A$1:$G$30</definedName>
    <definedName name="_xlnm.Print_Area" localSheetId="8">'B Template'!$A$1:$G$28</definedName>
    <definedName name="_xlnm.Print_Area" localSheetId="9">'C Template'!$A$1:$F$37</definedName>
    <definedName name="_xlnm.Print_Area" localSheetId="14">'Y2021 A1-1'!$A$1:$G$26</definedName>
    <definedName name="_xlnm.Print_Area" localSheetId="15">'Y2021 A1-2'!$A$1:$G$26</definedName>
    <definedName name="_xlnm.Print_Area" localSheetId="29">'Y2021 A1-3'!$A$1:$G$26</definedName>
    <definedName name="_xlnm.Print_Area" localSheetId="30">'Y2021 A1-4'!$A$1:$G$26</definedName>
    <definedName name="_xlnm.Print_Area" localSheetId="31">'Y2021 A1-5'!$A$1:$G$26</definedName>
    <definedName name="_xlnm.Print_Area" localSheetId="32">'Y2021 A1-6'!$A$1:$G$26</definedName>
    <definedName name="_xlnm.Print_Area" localSheetId="19">'Y2021 A3-1'!$A$1:$G$25</definedName>
    <definedName name="_xlnm.Print_Area" localSheetId="20">'Y2021 A3-2'!$A$1:$G$25</definedName>
    <definedName name="_xlnm.Print_Area" localSheetId="39">'Y2021 A3-3 (with 1 recry)'!$A$1:$G$25</definedName>
    <definedName name="_xlnm.Print_Area" localSheetId="40">'Y2021 A3-4 (with 1 recry)'!$A$1:$G$25</definedName>
    <definedName name="_xlnm.Print_Area" localSheetId="41">'Y2021 A3-5 (with 1 recry)'!$A$1:$G$25</definedName>
    <definedName name="_xlnm.Print_Area" localSheetId="42">'Y2021 A3-6 (with 1 recry)'!$A$1:$G$25</definedName>
    <definedName name="_xlnm.Print_Area" localSheetId="22">'Y2021 B-1'!$A$1:$G$28</definedName>
    <definedName name="_xlnm.Print_Area" localSheetId="44">'Y2021 B-2'!$A$1:$G$28</definedName>
    <definedName name="_xlnm.Print_Area" localSheetId="45">'Y2021 B-3'!$A$1:$G$28</definedName>
    <definedName name="_xlnm.Print_Area" localSheetId="78">'Y2021 B-4'!$A$1:$G$28</definedName>
    <definedName name="_xlnm.Print_Area" localSheetId="28">'Y2021 C-1'!$A$1:$F$43</definedName>
    <definedName name="_xlnm.Print_Area" localSheetId="59">'Y2021 C-2'!$A$1:$F$43</definedName>
    <definedName name="_xlnm.Print_Area" localSheetId="79">'Y2021 C-2_Op'!$A$1:$F$45</definedName>
    <definedName name="_xlnm.Print_Area" localSheetId="60">'Y2021 C-3'!$A$1:$F$43</definedName>
    <definedName name="_xlnm.Print_Area" localSheetId="61">'Y2021 C-4'!$A$1:$F$43</definedName>
    <definedName name="_xlnm.Print_Area" localSheetId="47">'Y2022 A1-1'!$A$1:$G$26</definedName>
    <definedName name="_xlnm.Print_Area" localSheetId="48">'Y2022 A1-2'!$A$1:$G$26</definedName>
    <definedName name="_xlnm.Print_Area" localSheetId="49">'Y2022 A1-3'!$A$1:$G$26</definedName>
    <definedName name="_xlnm.Print_Area" localSheetId="74">'Y2022 A3-1 (with 1 recry)'!$A$1:$G$25</definedName>
    <definedName name="_xlnm.Print_Area" localSheetId="75">'Y2022 A3-2 (with 1 recry)'!$A$1:$G$25</definedName>
    <definedName name="_xlnm.Print_Area" localSheetId="76">'Y2022 A3-3 (with 1 recry)'!$A$1:$G$25</definedName>
    <definedName name="_xlnm.Print_Area" localSheetId="77">'Y2022 A3-4 (with 1 recry)'!$A$1:$G$25</definedName>
    <definedName name="_xlnm.Print_Area" localSheetId="13">'Y2022 A3-5 (with 1 recry)'!$A$1:$G$25</definedName>
    <definedName name="_xlnm.Print_Area" localSheetId="23">'Y2022 A3-6 (with 1 recry)'!$A$1:$G$25</definedName>
    <definedName name="_xlnm.Print_Area" localSheetId="25">'Y2022 B-1'!$A$1:$G$28</definedName>
    <definedName name="_xlnm.Print_Area" localSheetId="26">'Y2022 B-2 Option A '!$A$1:$G$28</definedName>
    <definedName name="_xlnm.Print_Area" localSheetId="63">'Y2022 B-2 Option B'!$A$1:$G$28</definedName>
    <definedName name="_xlnm.Print_Area" localSheetId="66">'Y2022 C-1 (Grace)'!$A$1:$F$43</definedName>
    <definedName name="_xlnm.Print_Area" localSheetId="67">'Y2022 C-2 RPA'!$A$1:$F$43</definedName>
    <definedName name="_xlnm.Print_Area" localSheetId="68">'Y2022 C-3 (Grace)'!$A$1:$F$43</definedName>
    <definedName name="Start">'Plant Activities'!$F$3:$F$4</definedName>
    <definedName name="Title">'Plant Activities'!$C$3:$C$4</definedName>
    <definedName name="Z_4CBB486B_83D5_4C36_AFAE_B1C658D24C25_.wvu.Cols" localSheetId="73" hidden="1">'NR Post C &gt; A3 Step cleaning'!$L:$L</definedName>
    <definedName name="Z_4CBB486B_83D5_4C36_AFAE_B1C658D24C25_.wvu.Cols" localSheetId="3" hidden="1">'Post A1 Cleaning Template'!#REF!</definedName>
    <definedName name="Z_4CBB486B_83D5_4C36_AFAE_B1C658D24C25_.wvu.Cols" localSheetId="6" hidden="1">'Post A2 Cleaning Template'!#REF!</definedName>
    <definedName name="Z_4CBB486B_83D5_4C36_AFAE_B1C658D24C25_.wvu.Cols" localSheetId="57" hidden="1">'Post A2 Cleaning_A2 &gt; C (2)'!#REF!</definedName>
    <definedName name="Z_4CBB486B_83D5_4C36_AFAE_B1C658D24C25_.wvu.Cols" localSheetId="7" hidden="1">'Post B Cleaning Template'!#REF!</definedName>
    <definedName name="Z_4CBB486B_83D5_4C36_AFAE_B1C658D24C25_.wvu.Cols" localSheetId="46" hidden="1">'Y2021 Non-routine B &gt; A1'!#REF!</definedName>
    <definedName name="Z_4CBB486B_83D5_4C36_AFAE_B1C658D24C25_.wvu.Cols" localSheetId="72" hidden="1">'Y2021 Post A1 Cleaning 1'!$O:$P</definedName>
    <definedName name="Z_4CBB486B_83D5_4C36_AFAE_B1C658D24C25_.wvu.Cols" localSheetId="33" hidden="1">'Y2021 Post A1 Cleaning 2'!$O:$P</definedName>
    <definedName name="Z_4CBB486B_83D5_4C36_AFAE_B1C658D24C25_.wvu.Cols" localSheetId="18" hidden="1">'Y2021 Post A2 Cleaning 1'!#REF!</definedName>
    <definedName name="Z_4CBB486B_83D5_4C36_AFAE_B1C658D24C25_.wvu.Cols" localSheetId="38" hidden="1">'Y2021 Post A2 Cleaning 2'!#REF!</definedName>
    <definedName name="Z_4CBB486B_83D5_4C36_AFAE_B1C658D24C25_.wvu.Cols" localSheetId="21" hidden="1">'Y2021 Post A3 Cleaning 1'!#REF!</definedName>
    <definedName name="Z_4CBB486B_83D5_4C36_AFAE_B1C658D24C25_.wvu.Cols" localSheetId="43" hidden="1">'Y2021 Post A3 Cleaning 2'!#REF!</definedName>
    <definedName name="Z_4CBB486B_83D5_4C36_AFAE_B1C658D24C25_.wvu.Cols" localSheetId="27" hidden="1">'Y2021 Post B cleaning 1'!#REF!</definedName>
    <definedName name="Z_4CBB486B_83D5_4C36_AFAE_B1C658D24C25_.wvu.Cols" localSheetId="69" hidden="1">'Y2021 Post C cleaning 1'!$L:$L</definedName>
    <definedName name="Z_4CBB486B_83D5_4C36_AFAE_B1C658D24C25_.wvu.Cols" localSheetId="71" hidden="1">'Y2022 Grace to Senn Cleaning'!$L:$L</definedName>
    <definedName name="Z_4CBB486B_83D5_4C36_AFAE_B1C658D24C25_.wvu.Cols" localSheetId="58" hidden="1">'Y2022 NR Post A2 Cleaning'!#REF!</definedName>
    <definedName name="Z_4CBB486B_83D5_4C36_AFAE_B1C658D24C25_.wvu.Cols" localSheetId="70" hidden="1">'Y2022 PCO Carfilz to Aprem'!$L:$L</definedName>
    <definedName name="Z_4CBB486B_83D5_4C36_AFAE_B1C658D24C25_.wvu.Cols" localSheetId="50" hidden="1">'Y2022 Post A1 Cleaning 1'!$O:$P</definedName>
    <definedName name="Z_4CBB486B_83D5_4C36_AFAE_B1C658D24C25_.wvu.Cols" localSheetId="24" hidden="1">'Y2022 Post A3 Cleaning'!#REF!</definedName>
    <definedName name="Z_4CBB486B_83D5_4C36_AFAE_B1C658D24C25_.wvu.Cols" localSheetId="62" hidden="1">'Y2022 Post B cleaning Option A'!#REF!</definedName>
    <definedName name="Z_4CBB486B_83D5_4C36_AFAE_B1C658D24C25_.wvu.Cols" localSheetId="64" hidden="1">'Y2022 Post B cleaning Option B'!#REF!</definedName>
    <definedName name="Z_4CBB486B_83D5_4C36_AFAE_B1C658D24C25_.wvu.Cols" localSheetId="65" hidden="1">'Y2022 Post B REclean (25 Mar)'!#REF!</definedName>
    <definedName name="Z_4CBB486B_83D5_4C36_AFAE_B1C658D24C25_.wvu.PrintArea" localSheetId="80" hidden="1">'A1 Template'!$A$1:$G$28</definedName>
    <definedName name="Z_4CBB486B_83D5_4C36_AFAE_B1C658D24C25_.wvu.PrintArea" localSheetId="4" hidden="1">'A3 Template (no recry)'!$A$1:$G$30</definedName>
    <definedName name="Z_4CBB486B_83D5_4C36_AFAE_B1C658D24C25_.wvu.PrintArea" localSheetId="8" hidden="1">'B Template'!$A$1:$G$28</definedName>
    <definedName name="Z_4CBB486B_83D5_4C36_AFAE_B1C658D24C25_.wvu.PrintArea" localSheetId="9" hidden="1">'C Template'!$A$1:$F$37</definedName>
    <definedName name="Z_4CBB486B_83D5_4C36_AFAE_B1C658D24C25_.wvu.PrintArea" localSheetId="14" hidden="1">'Y2021 A1-1'!$A$1:$G$26</definedName>
    <definedName name="Z_4CBB486B_83D5_4C36_AFAE_B1C658D24C25_.wvu.PrintArea" localSheetId="15" hidden="1">'Y2021 A1-2'!$A$1:$G$26</definedName>
    <definedName name="Z_4CBB486B_83D5_4C36_AFAE_B1C658D24C25_.wvu.PrintArea" localSheetId="29" hidden="1">'Y2021 A1-3'!$A$1:$G$26</definedName>
    <definedName name="Z_4CBB486B_83D5_4C36_AFAE_B1C658D24C25_.wvu.PrintArea" localSheetId="30" hidden="1">'Y2021 A1-4'!$A$1:$G$26</definedName>
    <definedName name="Z_4CBB486B_83D5_4C36_AFAE_B1C658D24C25_.wvu.PrintArea" localSheetId="31" hidden="1">'Y2021 A1-5'!$A$1:$G$26</definedName>
    <definedName name="Z_4CBB486B_83D5_4C36_AFAE_B1C658D24C25_.wvu.PrintArea" localSheetId="32" hidden="1">'Y2021 A1-6'!$A$1:$G$26</definedName>
    <definedName name="Z_4CBB486B_83D5_4C36_AFAE_B1C658D24C25_.wvu.PrintArea" localSheetId="19" hidden="1">'Y2021 A3-1'!$A$1:$G$25</definedName>
    <definedName name="Z_4CBB486B_83D5_4C36_AFAE_B1C658D24C25_.wvu.PrintArea" localSheetId="20" hidden="1">'Y2021 A3-2'!$A$1:$G$25</definedName>
    <definedName name="Z_4CBB486B_83D5_4C36_AFAE_B1C658D24C25_.wvu.PrintArea" localSheetId="39" hidden="1">'Y2021 A3-3 (with 1 recry)'!$A$1:$G$25</definedName>
    <definedName name="Z_4CBB486B_83D5_4C36_AFAE_B1C658D24C25_.wvu.PrintArea" localSheetId="40" hidden="1">'Y2021 A3-4 (with 1 recry)'!$A$1:$G$25</definedName>
    <definedName name="Z_4CBB486B_83D5_4C36_AFAE_B1C658D24C25_.wvu.PrintArea" localSheetId="41" hidden="1">'Y2021 A3-5 (with 1 recry)'!$A$1:$G$25</definedName>
    <definedName name="Z_4CBB486B_83D5_4C36_AFAE_B1C658D24C25_.wvu.PrintArea" localSheetId="42" hidden="1">'Y2021 A3-6 (with 1 recry)'!$A$1:$G$25</definedName>
    <definedName name="Z_4CBB486B_83D5_4C36_AFAE_B1C658D24C25_.wvu.PrintArea" localSheetId="22" hidden="1">'Y2021 B-1'!$A$1:$G$28</definedName>
    <definedName name="Z_4CBB486B_83D5_4C36_AFAE_B1C658D24C25_.wvu.PrintArea" localSheetId="44" hidden="1">'Y2021 B-2'!$A$1:$G$28</definedName>
    <definedName name="Z_4CBB486B_83D5_4C36_AFAE_B1C658D24C25_.wvu.PrintArea" localSheetId="45" hidden="1">'Y2021 B-3'!$A$1:$G$28</definedName>
    <definedName name="Z_4CBB486B_83D5_4C36_AFAE_B1C658D24C25_.wvu.PrintArea" localSheetId="78" hidden="1">'Y2021 B-4'!$A$1:$G$28</definedName>
    <definedName name="Z_4CBB486B_83D5_4C36_AFAE_B1C658D24C25_.wvu.PrintArea" localSheetId="28" hidden="1">'Y2021 C-1'!$A$1:$F$43</definedName>
    <definedName name="Z_4CBB486B_83D5_4C36_AFAE_B1C658D24C25_.wvu.PrintArea" localSheetId="59" hidden="1">'Y2021 C-2'!$A$1:$F$43</definedName>
    <definedName name="Z_4CBB486B_83D5_4C36_AFAE_B1C658D24C25_.wvu.PrintArea" localSheetId="79" hidden="1">'Y2021 C-2_Op'!$A$1:$F$45</definedName>
    <definedName name="Z_4CBB486B_83D5_4C36_AFAE_B1C658D24C25_.wvu.PrintArea" localSheetId="60" hidden="1">'Y2021 C-3'!$A$1:$F$43</definedName>
    <definedName name="Z_4CBB486B_83D5_4C36_AFAE_B1C658D24C25_.wvu.PrintArea" localSheetId="61" hidden="1">'Y2021 C-4'!$A$1:$F$43</definedName>
    <definedName name="Z_4CBB486B_83D5_4C36_AFAE_B1C658D24C25_.wvu.PrintArea" localSheetId="47" hidden="1">'Y2022 A1-1'!$A$1:$G$26</definedName>
    <definedName name="Z_4CBB486B_83D5_4C36_AFAE_B1C658D24C25_.wvu.PrintArea" localSheetId="48" hidden="1">'Y2022 A1-2'!$A$1:$G$26</definedName>
    <definedName name="Z_4CBB486B_83D5_4C36_AFAE_B1C658D24C25_.wvu.PrintArea" localSheetId="49" hidden="1">'Y2022 A1-3'!$A$1:$G$26</definedName>
    <definedName name="Z_4CBB486B_83D5_4C36_AFAE_B1C658D24C25_.wvu.PrintArea" localSheetId="74" hidden="1">'Y2022 A3-1 (with 1 recry)'!$A$1:$G$25</definedName>
    <definedName name="Z_4CBB486B_83D5_4C36_AFAE_B1C658D24C25_.wvu.PrintArea" localSheetId="75" hidden="1">'Y2022 A3-2 (with 1 recry)'!$A$1:$G$25</definedName>
    <definedName name="Z_4CBB486B_83D5_4C36_AFAE_B1C658D24C25_.wvu.PrintArea" localSheetId="76" hidden="1">'Y2022 A3-3 (with 1 recry)'!$A$1:$G$25</definedName>
    <definedName name="Z_4CBB486B_83D5_4C36_AFAE_B1C658D24C25_.wvu.PrintArea" localSheetId="77" hidden="1">'Y2022 A3-4 (with 1 recry)'!$A$1:$G$25</definedName>
    <definedName name="Z_4CBB486B_83D5_4C36_AFAE_B1C658D24C25_.wvu.PrintArea" localSheetId="13" hidden="1">'Y2022 A3-5 (with 1 recry)'!$A$1:$G$25</definedName>
    <definedName name="Z_4CBB486B_83D5_4C36_AFAE_B1C658D24C25_.wvu.PrintArea" localSheetId="23" hidden="1">'Y2022 A3-6 (with 1 recry)'!$A$1:$G$25</definedName>
    <definedName name="Z_4CBB486B_83D5_4C36_AFAE_B1C658D24C25_.wvu.PrintArea" localSheetId="25" hidden="1">'Y2022 B-1'!$A$1:$G$28</definedName>
    <definedName name="Z_4CBB486B_83D5_4C36_AFAE_B1C658D24C25_.wvu.PrintArea" localSheetId="26" hidden="1">'Y2022 B-2 Option A '!$A$1:$G$28</definedName>
    <definedName name="Z_4CBB486B_83D5_4C36_AFAE_B1C658D24C25_.wvu.PrintArea" localSheetId="63" hidden="1">'Y2022 B-2 Option B'!$A$1:$G$28</definedName>
    <definedName name="Z_4CBB486B_83D5_4C36_AFAE_B1C658D24C25_.wvu.PrintArea" localSheetId="66" hidden="1">'Y2022 C-1 (Grace)'!$A$1:$F$43</definedName>
    <definedName name="Z_4CBB486B_83D5_4C36_AFAE_B1C658D24C25_.wvu.PrintArea" localSheetId="67" hidden="1">'Y2022 C-2 RPA'!$A$1:$F$43</definedName>
    <definedName name="Z_4CBB486B_83D5_4C36_AFAE_B1C658D24C25_.wvu.PrintArea" localSheetId="68" hidden="1">'Y2022 C-3 (Grace)'!$A$1:$F$43</definedName>
    <definedName name="Z_4CBB486B_83D5_4C36_AFAE_B1C658D24C25_.wvu.Rows" localSheetId="80" hidden="1">'A1 Template'!$25:$27</definedName>
    <definedName name="Z_4CBB486B_83D5_4C36_AFAE_B1C658D24C25_.wvu.Rows" localSheetId="4" hidden="1">'A3 Template (no recry)'!$27:$29</definedName>
    <definedName name="Z_4CBB486B_83D5_4C36_AFAE_B1C658D24C25_.wvu.Rows" localSheetId="8" hidden="1">'B Template'!$25:$27</definedName>
    <definedName name="Z_4CBB486B_83D5_4C36_AFAE_B1C658D24C25_.wvu.Rows" localSheetId="9" hidden="1">'C Template'!$34:$36</definedName>
    <definedName name="Z_4CBB486B_83D5_4C36_AFAE_B1C658D24C25_.wvu.Rows" localSheetId="73" hidden="1">'NR Post C &gt; A3 Step cleaning'!#REF!</definedName>
    <definedName name="Z_4CBB486B_83D5_4C36_AFAE_B1C658D24C25_.wvu.Rows" localSheetId="6" hidden="1">'Post A2 Cleaning Template'!#REF!</definedName>
    <definedName name="Z_4CBB486B_83D5_4C36_AFAE_B1C658D24C25_.wvu.Rows" localSheetId="57" hidden="1">'Post A2 Cleaning_A2 &gt; C (2)'!#REF!</definedName>
    <definedName name="Z_4CBB486B_83D5_4C36_AFAE_B1C658D24C25_.wvu.Rows" localSheetId="7" hidden="1">'Post B Cleaning Template'!#REF!</definedName>
    <definedName name="Z_4CBB486B_83D5_4C36_AFAE_B1C658D24C25_.wvu.Rows" localSheetId="14" hidden="1">'Y2021 A1-1'!$23:$25</definedName>
    <definedName name="Z_4CBB486B_83D5_4C36_AFAE_B1C658D24C25_.wvu.Rows" localSheetId="15" hidden="1">'Y2021 A1-2'!$23:$25</definedName>
    <definedName name="Z_4CBB486B_83D5_4C36_AFAE_B1C658D24C25_.wvu.Rows" localSheetId="29" hidden="1">'Y2021 A1-3'!$23:$25</definedName>
    <definedName name="Z_4CBB486B_83D5_4C36_AFAE_B1C658D24C25_.wvu.Rows" localSheetId="30" hidden="1">'Y2021 A1-4'!$23:$25</definedName>
    <definedName name="Z_4CBB486B_83D5_4C36_AFAE_B1C658D24C25_.wvu.Rows" localSheetId="31" hidden="1">'Y2021 A1-5'!$23:$25</definedName>
    <definedName name="Z_4CBB486B_83D5_4C36_AFAE_B1C658D24C25_.wvu.Rows" localSheetId="32" hidden="1">'Y2021 A1-6'!$23:$25</definedName>
    <definedName name="Z_4CBB486B_83D5_4C36_AFAE_B1C658D24C25_.wvu.Rows" localSheetId="19" hidden="1">'Y2021 A3-1'!#REF!</definedName>
    <definedName name="Z_4CBB486B_83D5_4C36_AFAE_B1C658D24C25_.wvu.Rows" localSheetId="20" hidden="1">'Y2021 A3-2'!#REF!</definedName>
    <definedName name="Z_4CBB486B_83D5_4C36_AFAE_B1C658D24C25_.wvu.Rows" localSheetId="39" hidden="1">'Y2021 A3-3 (with 1 recry)'!#REF!</definedName>
    <definedName name="Z_4CBB486B_83D5_4C36_AFAE_B1C658D24C25_.wvu.Rows" localSheetId="40" hidden="1">'Y2021 A3-4 (with 1 recry)'!#REF!</definedName>
    <definedName name="Z_4CBB486B_83D5_4C36_AFAE_B1C658D24C25_.wvu.Rows" localSheetId="41" hidden="1">'Y2021 A3-5 (with 1 recry)'!#REF!</definedName>
    <definedName name="Z_4CBB486B_83D5_4C36_AFAE_B1C658D24C25_.wvu.Rows" localSheetId="42" hidden="1">'Y2021 A3-6 (with 1 recry)'!#REF!</definedName>
    <definedName name="Z_4CBB486B_83D5_4C36_AFAE_B1C658D24C25_.wvu.Rows" localSheetId="22" hidden="1">'Y2021 B-1'!$25:$27</definedName>
    <definedName name="Z_4CBB486B_83D5_4C36_AFAE_B1C658D24C25_.wvu.Rows" localSheetId="44" hidden="1">'Y2021 B-2'!$25:$27</definedName>
    <definedName name="Z_4CBB486B_83D5_4C36_AFAE_B1C658D24C25_.wvu.Rows" localSheetId="45" hidden="1">'Y2021 B-3'!$25:$27</definedName>
    <definedName name="Z_4CBB486B_83D5_4C36_AFAE_B1C658D24C25_.wvu.Rows" localSheetId="78" hidden="1">'Y2021 B-4'!$25:$27</definedName>
    <definedName name="Z_4CBB486B_83D5_4C36_AFAE_B1C658D24C25_.wvu.Rows" localSheetId="28" hidden="1">'Y2021 C-1'!$40:$42</definedName>
    <definedName name="Z_4CBB486B_83D5_4C36_AFAE_B1C658D24C25_.wvu.Rows" localSheetId="59" hidden="1">'Y2021 C-2'!$40:$42</definedName>
    <definedName name="Z_4CBB486B_83D5_4C36_AFAE_B1C658D24C25_.wvu.Rows" localSheetId="79" hidden="1">'Y2021 C-2_Op'!$42:$44</definedName>
    <definedName name="Z_4CBB486B_83D5_4C36_AFAE_B1C658D24C25_.wvu.Rows" localSheetId="60" hidden="1">'Y2021 C-3'!$40:$42</definedName>
    <definedName name="Z_4CBB486B_83D5_4C36_AFAE_B1C658D24C25_.wvu.Rows" localSheetId="61" hidden="1">'Y2021 C-4'!$40:$42</definedName>
    <definedName name="Z_4CBB486B_83D5_4C36_AFAE_B1C658D24C25_.wvu.Rows" localSheetId="46" hidden="1">'Y2021 Non-routine B &gt; A1'!#REF!</definedName>
    <definedName name="Z_4CBB486B_83D5_4C36_AFAE_B1C658D24C25_.wvu.Rows" localSheetId="18" hidden="1">'Y2021 Post A2 Cleaning 1'!#REF!</definedName>
    <definedName name="Z_4CBB486B_83D5_4C36_AFAE_B1C658D24C25_.wvu.Rows" localSheetId="38" hidden="1">'Y2021 Post A2 Cleaning 2'!#REF!</definedName>
    <definedName name="Z_4CBB486B_83D5_4C36_AFAE_B1C658D24C25_.wvu.Rows" localSheetId="21" hidden="1">'Y2021 Post A3 Cleaning 1'!#REF!</definedName>
    <definedName name="Z_4CBB486B_83D5_4C36_AFAE_B1C658D24C25_.wvu.Rows" localSheetId="43" hidden="1">'Y2021 Post A3 Cleaning 2'!#REF!</definedName>
    <definedName name="Z_4CBB486B_83D5_4C36_AFAE_B1C658D24C25_.wvu.Rows" localSheetId="27" hidden="1">'Y2021 Post B cleaning 1'!#REF!</definedName>
    <definedName name="Z_4CBB486B_83D5_4C36_AFAE_B1C658D24C25_.wvu.Rows" localSheetId="69" hidden="1">'Y2021 Post C cleaning 1'!#REF!</definedName>
    <definedName name="Z_4CBB486B_83D5_4C36_AFAE_B1C658D24C25_.wvu.Rows" localSheetId="47" hidden="1">'Y2022 A1-1'!$23:$25</definedName>
    <definedName name="Z_4CBB486B_83D5_4C36_AFAE_B1C658D24C25_.wvu.Rows" localSheetId="48" hidden="1">'Y2022 A1-2'!$23:$25</definedName>
    <definedName name="Z_4CBB486B_83D5_4C36_AFAE_B1C658D24C25_.wvu.Rows" localSheetId="49" hidden="1">'Y2022 A1-3'!$23:$25</definedName>
    <definedName name="Z_4CBB486B_83D5_4C36_AFAE_B1C658D24C25_.wvu.Rows" localSheetId="74" hidden="1">'Y2022 A3-1 (with 1 recry)'!#REF!</definedName>
    <definedName name="Z_4CBB486B_83D5_4C36_AFAE_B1C658D24C25_.wvu.Rows" localSheetId="75" hidden="1">'Y2022 A3-2 (with 1 recry)'!#REF!</definedName>
    <definedName name="Z_4CBB486B_83D5_4C36_AFAE_B1C658D24C25_.wvu.Rows" localSheetId="76" hidden="1">'Y2022 A3-3 (with 1 recry)'!#REF!</definedName>
    <definedName name="Z_4CBB486B_83D5_4C36_AFAE_B1C658D24C25_.wvu.Rows" localSheetId="77" hidden="1">'Y2022 A3-4 (with 1 recry)'!#REF!</definedName>
    <definedName name="Z_4CBB486B_83D5_4C36_AFAE_B1C658D24C25_.wvu.Rows" localSheetId="13" hidden="1">'Y2022 A3-5 (with 1 recry)'!#REF!</definedName>
    <definedName name="Z_4CBB486B_83D5_4C36_AFAE_B1C658D24C25_.wvu.Rows" localSheetId="23" hidden="1">'Y2022 A3-6 (with 1 recry)'!#REF!</definedName>
    <definedName name="Z_4CBB486B_83D5_4C36_AFAE_B1C658D24C25_.wvu.Rows" localSheetId="25" hidden="1">'Y2022 B-1'!$25:$27</definedName>
    <definedName name="Z_4CBB486B_83D5_4C36_AFAE_B1C658D24C25_.wvu.Rows" localSheetId="26" hidden="1">'Y2022 B-2 Option A '!$25:$27</definedName>
    <definedName name="Z_4CBB486B_83D5_4C36_AFAE_B1C658D24C25_.wvu.Rows" localSheetId="63" hidden="1">'Y2022 B-2 Option B'!$25:$27</definedName>
    <definedName name="Z_4CBB486B_83D5_4C36_AFAE_B1C658D24C25_.wvu.Rows" localSheetId="66" hidden="1">'Y2022 C-1 (Grace)'!$40:$42</definedName>
    <definedName name="Z_4CBB486B_83D5_4C36_AFAE_B1C658D24C25_.wvu.Rows" localSheetId="67" hidden="1">'Y2022 C-2 RPA'!$40:$42</definedName>
    <definedName name="Z_4CBB486B_83D5_4C36_AFAE_B1C658D24C25_.wvu.Rows" localSheetId="68" hidden="1">'Y2022 C-3 (Grace)'!$40:$42</definedName>
    <definedName name="Z_4CBB486B_83D5_4C36_AFAE_B1C658D24C25_.wvu.Rows" localSheetId="71" hidden="1">'Y2022 Grace to Senn Cleaning'!#REF!</definedName>
    <definedName name="Z_4CBB486B_83D5_4C36_AFAE_B1C658D24C25_.wvu.Rows" localSheetId="58" hidden="1">'Y2022 NR Post A2 Cleaning'!#REF!</definedName>
    <definedName name="Z_4CBB486B_83D5_4C36_AFAE_B1C658D24C25_.wvu.Rows" localSheetId="70" hidden="1">'Y2022 PCO Carfilz to Aprem'!#REF!</definedName>
    <definedName name="Z_4CBB486B_83D5_4C36_AFAE_B1C658D24C25_.wvu.Rows" localSheetId="24" hidden="1">'Y2022 Post A3 Cleaning'!#REF!</definedName>
    <definedName name="Z_4CBB486B_83D5_4C36_AFAE_B1C658D24C25_.wvu.Rows" localSheetId="62" hidden="1">'Y2022 Post B cleaning Option A'!#REF!</definedName>
    <definedName name="Z_4CBB486B_83D5_4C36_AFAE_B1C658D24C25_.wvu.Rows" localSheetId="64" hidden="1">'Y2022 Post B cleaning Option B'!#REF!</definedName>
    <definedName name="Z_4CBB486B_83D5_4C36_AFAE_B1C658D24C25_.wvu.Rows" localSheetId="65" hidden="1">'Y2022 Post B REclean (25 Mar)'!#REF!</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8" i="190" l="1"/>
  <c r="A28" i="190"/>
  <c r="E25" i="190"/>
  <c r="B26" i="190"/>
  <c r="A26" i="190"/>
  <c r="B25" i="190"/>
  <c r="A25" i="190"/>
  <c r="G1431" i="2" l="1"/>
  <c r="J1431" i="2"/>
  <c r="G1432" i="2"/>
  <c r="J1432" i="2"/>
  <c r="G1433" i="2"/>
  <c r="J1433" i="2"/>
  <c r="G1434" i="2"/>
  <c r="J1434" i="2"/>
  <c r="G1435" i="2"/>
  <c r="J1435" i="2"/>
  <c r="G1436" i="2"/>
  <c r="J1436" i="2"/>
  <c r="C73" i="190" l="1"/>
  <c r="C74" i="190" s="1"/>
  <c r="D71" i="190"/>
  <c r="D69" i="190"/>
  <c r="D67" i="190"/>
  <c r="O66" i="190"/>
  <c r="L66" i="190"/>
  <c r="D66" i="190"/>
  <c r="O65" i="190"/>
  <c r="D65" i="190"/>
  <c r="L64" i="190"/>
  <c r="D64" i="190"/>
  <c r="D63" i="190"/>
  <c r="L62" i="190"/>
  <c r="D62" i="190"/>
  <c r="L60" i="190"/>
  <c r="D60" i="190"/>
  <c r="L58" i="190"/>
  <c r="D58" i="190"/>
  <c r="L57" i="190"/>
  <c r="D57" i="190"/>
  <c r="L54" i="190"/>
  <c r="D54" i="190"/>
  <c r="D51" i="190"/>
  <c r="O48" i="190"/>
  <c r="D48" i="190"/>
  <c r="O47" i="190"/>
  <c r="L47" i="190"/>
  <c r="D47" i="190"/>
  <c r="D46" i="190"/>
  <c r="L45" i="190"/>
  <c r="D45" i="190"/>
  <c r="L43" i="190"/>
  <c r="D43" i="190"/>
  <c r="L41" i="190"/>
  <c r="D41" i="190"/>
  <c r="L40" i="190"/>
  <c r="D40" i="190"/>
  <c r="L39" i="190"/>
  <c r="D39" i="190"/>
  <c r="L37" i="190"/>
  <c r="D37" i="190"/>
  <c r="L36" i="190"/>
  <c r="D36" i="190"/>
  <c r="M35" i="190"/>
  <c r="D35" i="190"/>
  <c r="L34" i="190"/>
  <c r="D34" i="190"/>
  <c r="O31" i="190"/>
  <c r="L31" i="190"/>
  <c r="D31" i="190"/>
  <c r="D30" i="190"/>
  <c r="O26" i="190"/>
  <c r="D26" i="190"/>
  <c r="O24" i="190"/>
  <c r="D24" i="190"/>
  <c r="L23" i="190"/>
  <c r="D23" i="190"/>
  <c r="D22" i="190"/>
  <c r="L21" i="190"/>
  <c r="D21" i="190"/>
  <c r="L20" i="190"/>
  <c r="D20" i="190"/>
  <c r="L19" i="190"/>
  <c r="D19" i="190"/>
  <c r="L18" i="190"/>
  <c r="D18" i="190"/>
  <c r="L17" i="190"/>
  <c r="D17" i="190"/>
  <c r="D16" i="190"/>
  <c r="L15" i="190"/>
  <c r="D15" i="190"/>
  <c r="O14" i="190"/>
  <c r="L14" i="190"/>
  <c r="D14" i="190"/>
  <c r="L13" i="190"/>
  <c r="D13" i="190"/>
  <c r="A13" i="190"/>
  <c r="A9" i="190"/>
  <c r="A8" i="190"/>
  <c r="A7" i="190"/>
  <c r="B3" i="190"/>
  <c r="B13" i="190" s="1"/>
  <c r="E13" i="190" s="1"/>
  <c r="B14" i="190" l="1"/>
  <c r="B15" i="190" s="1"/>
  <c r="A14" i="190"/>
  <c r="A15" i="190" s="1"/>
  <c r="A16" i="190" s="1"/>
  <c r="A17" i="190" s="1"/>
  <c r="A18" i="190" s="1"/>
  <c r="A19" i="190" s="1"/>
  <c r="A20" i="190" s="1"/>
  <c r="A21" i="190" s="1"/>
  <c r="A22" i="190" s="1"/>
  <c r="A23" i="190" s="1"/>
  <c r="A24" i="190" s="1"/>
  <c r="A29" i="190" s="1"/>
  <c r="O67" i="190"/>
  <c r="O29" i="190"/>
  <c r="O49" i="190"/>
  <c r="D73" i="190"/>
  <c r="D74" i="190" s="1"/>
  <c r="A27" i="190" l="1"/>
  <c r="A30" i="190"/>
  <c r="A31" i="190" s="1"/>
  <c r="A33" i="190" s="1"/>
  <c r="A34" i="190" s="1"/>
  <c r="B7" i="190"/>
  <c r="A35" i="190" l="1"/>
  <c r="A36" i="190" s="1"/>
  <c r="A37" i="190" s="1"/>
  <c r="A38" i="190" s="1"/>
  <c r="A39" i="190" s="1"/>
  <c r="A40" i="190" s="1"/>
  <c r="A41" i="190" s="1"/>
  <c r="A42" i="190" s="1"/>
  <c r="A43" i="190" s="1"/>
  <c r="A44" i="190" s="1"/>
  <c r="A45" i="190" s="1"/>
  <c r="A46" i="190" s="1"/>
  <c r="A47" i="190" s="1"/>
  <c r="A48" i="190" s="1"/>
  <c r="A49" i="190" s="1"/>
  <c r="E14" i="190"/>
  <c r="G1430" i="2"/>
  <c r="J1430" i="2"/>
  <c r="A51" i="190" l="1"/>
  <c r="A52" i="190" s="1"/>
  <c r="A53" i="190" s="1"/>
  <c r="A54" i="190" s="1"/>
  <c r="A56" i="190" s="1"/>
  <c r="A57" i="190" s="1"/>
  <c r="A58" i="190" s="1"/>
  <c r="A59" i="190" s="1"/>
  <c r="A60" i="190" s="1"/>
  <c r="A61" i="190" s="1"/>
  <c r="A62" i="190" s="1"/>
  <c r="A63" i="190" s="1"/>
  <c r="A50" i="190"/>
  <c r="G1511" i="2"/>
  <c r="J1511" i="2"/>
  <c r="G1512" i="2"/>
  <c r="J1512" i="2"/>
  <c r="G1513" i="2"/>
  <c r="J1513" i="2"/>
  <c r="G1514" i="2"/>
  <c r="J1514" i="2"/>
  <c r="G1515" i="2"/>
  <c r="B7" i="113"/>
  <c r="C18" i="113"/>
  <c r="B8" i="190" l="1"/>
  <c r="A64" i="190"/>
  <c r="A65" i="190" s="1"/>
  <c r="A66" i="190" s="1"/>
  <c r="A67" i="190" s="1"/>
  <c r="A68" i="190" s="1"/>
  <c r="A69" i="190" s="1"/>
  <c r="A70" i="190" s="1"/>
  <c r="A71" i="190" s="1"/>
  <c r="A72" i="190" s="1"/>
  <c r="E15" i="190"/>
  <c r="B16" i="190"/>
  <c r="G1429" i="2"/>
  <c r="J1429" i="2"/>
  <c r="G1428" i="2"/>
  <c r="J1428" i="2"/>
  <c r="G1427" i="2"/>
  <c r="J1427" i="2"/>
  <c r="G1426" i="2"/>
  <c r="J1426" i="2"/>
  <c r="B3" i="183"/>
  <c r="E16" i="190" l="1"/>
  <c r="B17" i="190"/>
  <c r="D28" i="187"/>
  <c r="G1510" i="2"/>
  <c r="J1510" i="2"/>
  <c r="G1421" i="2"/>
  <c r="J1421" i="2"/>
  <c r="G1422" i="2"/>
  <c r="J1422" i="2"/>
  <c r="G1420" i="2"/>
  <c r="G1423" i="2"/>
  <c r="J1420" i="2"/>
  <c r="J1423" i="2"/>
  <c r="D33" i="178"/>
  <c r="D19" i="187"/>
  <c r="D18" i="187"/>
  <c r="G1414" i="2"/>
  <c r="J1414" i="2"/>
  <c r="G1415" i="2"/>
  <c r="J1415" i="2"/>
  <c r="G1416" i="2"/>
  <c r="J1416" i="2"/>
  <c r="G1417" i="2"/>
  <c r="J1417" i="2"/>
  <c r="G1418" i="2"/>
  <c r="J1418" i="2"/>
  <c r="G1419" i="2"/>
  <c r="J1419" i="2"/>
  <c r="G1424" i="2"/>
  <c r="J1424" i="2"/>
  <c r="D12" i="178"/>
  <c r="B9" i="190" l="1"/>
  <c r="E17" i="190"/>
  <c r="B18" i="190"/>
  <c r="G1413" i="2"/>
  <c r="J1413" i="2"/>
  <c r="C100" i="187"/>
  <c r="C101" i="187" s="1"/>
  <c r="K99" i="187"/>
  <c r="J99" i="187"/>
  <c r="I99" i="187"/>
  <c r="H99" i="187"/>
  <c r="D99" i="187"/>
  <c r="L98" i="187"/>
  <c r="D98" i="187"/>
  <c r="D96" i="187"/>
  <c r="D94" i="187"/>
  <c r="D93" i="187"/>
  <c r="O92" i="187"/>
  <c r="L92" i="187"/>
  <c r="D92" i="187"/>
  <c r="O91" i="187"/>
  <c r="D91" i="187"/>
  <c r="L90" i="187"/>
  <c r="D90" i="187"/>
  <c r="D88" i="187"/>
  <c r="L87" i="187"/>
  <c r="D87" i="187"/>
  <c r="L85" i="187"/>
  <c r="D85" i="187"/>
  <c r="L83" i="187"/>
  <c r="D83" i="187"/>
  <c r="L82" i="187"/>
  <c r="D82" i="187"/>
  <c r="L78" i="187"/>
  <c r="D78" i="187"/>
  <c r="L77" i="187"/>
  <c r="D77" i="187"/>
  <c r="D76" i="187"/>
  <c r="O75" i="187"/>
  <c r="O74" i="187"/>
  <c r="D74" i="187"/>
  <c r="L73" i="187"/>
  <c r="L72" i="187"/>
  <c r="L70" i="187"/>
  <c r="L69" i="187"/>
  <c r="D69" i="187"/>
  <c r="L68" i="187"/>
  <c r="D68" i="187"/>
  <c r="D65" i="187"/>
  <c r="O63" i="187"/>
  <c r="D63" i="187"/>
  <c r="O62" i="187"/>
  <c r="L62" i="187"/>
  <c r="D62" i="187"/>
  <c r="D61" i="187"/>
  <c r="L60" i="187"/>
  <c r="D60" i="187"/>
  <c r="L58" i="187"/>
  <c r="D58" i="187"/>
  <c r="L56" i="187"/>
  <c r="D56" i="187"/>
  <c r="L55" i="187"/>
  <c r="D55" i="187"/>
  <c r="L54" i="187"/>
  <c r="D54" i="187"/>
  <c r="L52" i="187"/>
  <c r="D52" i="187"/>
  <c r="L51" i="187"/>
  <c r="D51" i="187"/>
  <c r="M50" i="187"/>
  <c r="O42" i="187" s="1"/>
  <c r="D50" i="187"/>
  <c r="L49" i="187"/>
  <c r="D49" i="187"/>
  <c r="L45" i="187"/>
  <c r="D45" i="187"/>
  <c r="O44" i="187"/>
  <c r="L44" i="187"/>
  <c r="D44" i="187"/>
  <c r="O43" i="187"/>
  <c r="D43" i="187"/>
  <c r="L41" i="187"/>
  <c r="L40" i="187"/>
  <c r="L38" i="187"/>
  <c r="L37" i="187"/>
  <c r="D37" i="187"/>
  <c r="L36" i="187"/>
  <c r="D36" i="187"/>
  <c r="D35" i="187"/>
  <c r="O32" i="187"/>
  <c r="D32" i="187"/>
  <c r="O31" i="187"/>
  <c r="D31" i="187"/>
  <c r="L30" i="187"/>
  <c r="D30" i="187"/>
  <c r="D29" i="187"/>
  <c r="L28" i="187"/>
  <c r="L27" i="187"/>
  <c r="L26" i="187"/>
  <c r="D26" i="187"/>
  <c r="L25" i="187"/>
  <c r="D25" i="187"/>
  <c r="L24" i="187"/>
  <c r="D24" i="187"/>
  <c r="D23" i="187"/>
  <c r="L22" i="187"/>
  <c r="D22" i="187"/>
  <c r="L21" i="187"/>
  <c r="D21" i="187"/>
  <c r="O20" i="187"/>
  <c r="L20" i="187"/>
  <c r="D20" i="187"/>
  <c r="O18" i="187"/>
  <c r="L18" i="187"/>
  <c r="L17" i="187"/>
  <c r="D17" i="187"/>
  <c r="A17" i="187"/>
  <c r="A12" i="187"/>
  <c r="A11" i="187"/>
  <c r="A10" i="187"/>
  <c r="A9" i="187"/>
  <c r="A8" i="187"/>
  <c r="A7" i="187"/>
  <c r="B3" i="187"/>
  <c r="B17" i="187" s="1"/>
  <c r="J1519" i="2"/>
  <c r="G1519" i="2"/>
  <c r="G1408" i="2"/>
  <c r="J1408" i="2"/>
  <c r="G1409" i="2"/>
  <c r="J1409" i="2"/>
  <c r="G1410" i="2"/>
  <c r="J1410" i="2"/>
  <c r="G1411" i="2"/>
  <c r="J1411" i="2"/>
  <c r="G1412" i="2"/>
  <c r="J1412" i="2"/>
  <c r="G1509" i="2"/>
  <c r="J1509" i="2"/>
  <c r="A8" i="178"/>
  <c r="G1402" i="2"/>
  <c r="J1402" i="2"/>
  <c r="G1403" i="2"/>
  <c r="J1403" i="2"/>
  <c r="G1404" i="2"/>
  <c r="J1404" i="2"/>
  <c r="G1405" i="2"/>
  <c r="J1405" i="2"/>
  <c r="G1406" i="2"/>
  <c r="J1406" i="2"/>
  <c r="G1407" i="2"/>
  <c r="J1407" i="2"/>
  <c r="G1397" i="2"/>
  <c r="J1397" i="2"/>
  <c r="G1398" i="2"/>
  <c r="J1398" i="2"/>
  <c r="G1399" i="2"/>
  <c r="J1399" i="2"/>
  <c r="G1400" i="2"/>
  <c r="J1400" i="2"/>
  <c r="G1401" i="2"/>
  <c r="J1401" i="2"/>
  <c r="G1425" i="2"/>
  <c r="J1425" i="2"/>
  <c r="G1396" i="2"/>
  <c r="J1396" i="2"/>
  <c r="G1390" i="2"/>
  <c r="J1390" i="2"/>
  <c r="G1391" i="2"/>
  <c r="J1391" i="2"/>
  <c r="G1392" i="2"/>
  <c r="J1392" i="2"/>
  <c r="G1393" i="2"/>
  <c r="J1393" i="2"/>
  <c r="G1394" i="2"/>
  <c r="J1394" i="2"/>
  <c r="G1395" i="2"/>
  <c r="J1395" i="2"/>
  <c r="G1384" i="2"/>
  <c r="J1384" i="2"/>
  <c r="G1385" i="2"/>
  <c r="J1385" i="2"/>
  <c r="G1386" i="2"/>
  <c r="J1386" i="2"/>
  <c r="G1387" i="2"/>
  <c r="J1387" i="2"/>
  <c r="G1388" i="2"/>
  <c r="J1388" i="2"/>
  <c r="G1389" i="2"/>
  <c r="J1389" i="2"/>
  <c r="A14" i="184"/>
  <c r="B2" i="178"/>
  <c r="G1383" i="2"/>
  <c r="J1383" i="2"/>
  <c r="G1517" i="2"/>
  <c r="J1517" i="2"/>
  <c r="G1378" i="2"/>
  <c r="J1378" i="2"/>
  <c r="G1379" i="2"/>
  <c r="J1379" i="2"/>
  <c r="G1380" i="2"/>
  <c r="J1380" i="2"/>
  <c r="G1381" i="2"/>
  <c r="J1381" i="2"/>
  <c r="G1382" i="2"/>
  <c r="J1382" i="2"/>
  <c r="B19" i="190" l="1"/>
  <c r="E18" i="190"/>
  <c r="A18" i="187"/>
  <c r="A19" i="187" s="1"/>
  <c r="A20" i="187" s="1"/>
  <c r="A21" i="187" s="1"/>
  <c r="A22" i="187" s="1"/>
  <c r="A23" i="187" s="1"/>
  <c r="A24" i="187" s="1"/>
  <c r="A25" i="187" s="1"/>
  <c r="A26" i="187" s="1"/>
  <c r="A27" i="187" s="1"/>
  <c r="A28" i="187" s="1"/>
  <c r="A29" i="187" s="1"/>
  <c r="A30" i="187" s="1"/>
  <c r="A31" i="187" s="1"/>
  <c r="A32" i="187" s="1"/>
  <c r="A33" i="187" s="1"/>
  <c r="A34" i="187" s="1"/>
  <c r="B18" i="187"/>
  <c r="O93" i="187"/>
  <c r="O64" i="187"/>
  <c r="O45" i="187"/>
  <c r="O21" i="187"/>
  <c r="O34" i="187"/>
  <c r="N99" i="187"/>
  <c r="O76" i="187"/>
  <c r="L99" i="187"/>
  <c r="D100" i="187"/>
  <c r="D101" i="187" s="1"/>
  <c r="E17" i="187"/>
  <c r="B14" i="184"/>
  <c r="E14" i="184" s="1"/>
  <c r="B3" i="184"/>
  <c r="M78" i="184"/>
  <c r="K78" i="184"/>
  <c r="J78" i="184"/>
  <c r="I78" i="184"/>
  <c r="H78" i="184"/>
  <c r="C78" i="184"/>
  <c r="C79" i="184" s="1"/>
  <c r="D76" i="184"/>
  <c r="D74" i="184"/>
  <c r="L73" i="184"/>
  <c r="D73" i="184"/>
  <c r="L71" i="184"/>
  <c r="D71" i="184"/>
  <c r="L70" i="184"/>
  <c r="D70" i="184"/>
  <c r="D69" i="184"/>
  <c r="L67" i="184"/>
  <c r="D67" i="184"/>
  <c r="D66" i="184"/>
  <c r="D65" i="184"/>
  <c r="L64" i="184"/>
  <c r="D64" i="184"/>
  <c r="D62" i="184"/>
  <c r="L61" i="184"/>
  <c r="D61" i="184"/>
  <c r="L60" i="184"/>
  <c r="L58" i="184"/>
  <c r="L57" i="184"/>
  <c r="D57" i="184"/>
  <c r="L56" i="184"/>
  <c r="D56" i="184"/>
  <c r="D49" i="184"/>
  <c r="D47" i="184"/>
  <c r="L46" i="184"/>
  <c r="L45" i="184"/>
  <c r="L44" i="184"/>
  <c r="L43" i="184"/>
  <c r="L42" i="184"/>
  <c r="L35" i="184"/>
  <c r="D35" i="184"/>
  <c r="L32" i="184"/>
  <c r="L29" i="184"/>
  <c r="L28" i="184"/>
  <c r="D26" i="184"/>
  <c r="L25" i="184"/>
  <c r="D25" i="184"/>
  <c r="L21" i="184"/>
  <c r="D21" i="184"/>
  <c r="L20" i="184"/>
  <c r="D20" i="184"/>
  <c r="L19" i="184"/>
  <c r="D19" i="184"/>
  <c r="L18" i="184"/>
  <c r="D17" i="184"/>
  <c r="L16" i="184"/>
  <c r="L15" i="184"/>
  <c r="L14" i="184"/>
  <c r="D14" i="184"/>
  <c r="A10" i="184"/>
  <c r="A9" i="184"/>
  <c r="A8" i="184"/>
  <c r="A7" i="184"/>
  <c r="G1374" i="2"/>
  <c r="J1374" i="2"/>
  <c r="G1375" i="2"/>
  <c r="J1375" i="2"/>
  <c r="G1376" i="2"/>
  <c r="J1376" i="2"/>
  <c r="G1377" i="2"/>
  <c r="J1377" i="2"/>
  <c r="G1368" i="2"/>
  <c r="J1368" i="2"/>
  <c r="G1369" i="2"/>
  <c r="J1369" i="2"/>
  <c r="G1370" i="2"/>
  <c r="J1370" i="2"/>
  <c r="G1371" i="2"/>
  <c r="J1371" i="2"/>
  <c r="G1372" i="2"/>
  <c r="J1372" i="2"/>
  <c r="G1373" i="2"/>
  <c r="J1373" i="2"/>
  <c r="B41" i="183"/>
  <c r="K36" i="183"/>
  <c r="J36" i="183"/>
  <c r="I36" i="183"/>
  <c r="H36" i="183"/>
  <c r="C36" i="183"/>
  <c r="C37" i="183" s="1"/>
  <c r="D35" i="183"/>
  <c r="D34" i="183"/>
  <c r="D33" i="183"/>
  <c r="D29" i="183"/>
  <c r="D28" i="183"/>
  <c r="D27" i="183"/>
  <c r="O26" i="183"/>
  <c r="M26" i="183"/>
  <c r="O25" i="183"/>
  <c r="D25" i="183"/>
  <c r="D24" i="183"/>
  <c r="D23" i="183"/>
  <c r="D22" i="183"/>
  <c r="M20" i="183"/>
  <c r="D19" i="183"/>
  <c r="D18" i="183"/>
  <c r="L17" i="183"/>
  <c r="O17" i="183" s="1"/>
  <c r="D17" i="183"/>
  <c r="M16" i="183"/>
  <c r="M36" i="183" s="1"/>
  <c r="D16" i="183"/>
  <c r="L14" i="183"/>
  <c r="L36" i="183" s="1"/>
  <c r="D14" i="183"/>
  <c r="O13" i="183"/>
  <c r="D13" i="183"/>
  <c r="O12" i="183"/>
  <c r="D12" i="183"/>
  <c r="D11" i="183"/>
  <c r="B11" i="183"/>
  <c r="A8" i="183"/>
  <c r="A7" i="183"/>
  <c r="B2" i="183"/>
  <c r="B41" i="182"/>
  <c r="L36" i="182"/>
  <c r="K36" i="182"/>
  <c r="J36" i="182"/>
  <c r="I36" i="182"/>
  <c r="H36" i="182"/>
  <c r="C36" i="182"/>
  <c r="C37" i="182" s="1"/>
  <c r="D35" i="182"/>
  <c r="D34" i="182"/>
  <c r="D33" i="182"/>
  <c r="D29" i="182"/>
  <c r="D28" i="182"/>
  <c r="D27" i="182"/>
  <c r="O26" i="182"/>
  <c r="M26" i="182"/>
  <c r="O25" i="182" s="1"/>
  <c r="D25" i="182"/>
  <c r="D24" i="182"/>
  <c r="D23" i="182"/>
  <c r="D22" i="182"/>
  <c r="M20" i="182"/>
  <c r="D19" i="182"/>
  <c r="D18" i="182"/>
  <c r="L17" i="182"/>
  <c r="O17" i="182" s="1"/>
  <c r="D17" i="182"/>
  <c r="M16" i="182"/>
  <c r="M36" i="182" s="1"/>
  <c r="D16" i="182"/>
  <c r="L14" i="182"/>
  <c r="D14" i="182"/>
  <c r="O13" i="182"/>
  <c r="D13" i="182"/>
  <c r="O12" i="182"/>
  <c r="D12" i="182"/>
  <c r="D11" i="182"/>
  <c r="B11" i="182"/>
  <c r="E11" i="182" s="1"/>
  <c r="A8" i="182"/>
  <c r="A7" i="182"/>
  <c r="B3" i="182"/>
  <c r="B2" i="182"/>
  <c r="B14" i="179"/>
  <c r="E19" i="190" l="1"/>
  <c r="B20" i="190"/>
  <c r="E18" i="187"/>
  <c r="B19" i="187"/>
  <c r="B12" i="183"/>
  <c r="E12" i="183" s="1"/>
  <c r="A35" i="187"/>
  <c r="A36" i="187" s="1"/>
  <c r="A37" i="187" s="1"/>
  <c r="A38" i="187" s="1"/>
  <c r="B7" i="187"/>
  <c r="D36" i="182"/>
  <c r="D37" i="182" s="1"/>
  <c r="A12" i="182"/>
  <c r="A13" i="182" s="1"/>
  <c r="A14" i="182" s="1"/>
  <c r="B16" i="182" s="1"/>
  <c r="B15" i="184"/>
  <c r="E15" i="184" s="1"/>
  <c r="A15" i="184"/>
  <c r="A16" i="184" s="1"/>
  <c r="A17" i="184" s="1"/>
  <c r="A18" i="184" s="1"/>
  <c r="A19" i="184" s="1"/>
  <c r="A20" i="184" s="1"/>
  <c r="L78" i="184"/>
  <c r="D78" i="184"/>
  <c r="D79" i="184" s="1"/>
  <c r="D36" i="183"/>
  <c r="D37" i="183" s="1"/>
  <c r="A12" i="183"/>
  <c r="A13" i="183" s="1"/>
  <c r="A14" i="183" s="1"/>
  <c r="O18" i="183"/>
  <c r="E11" i="183"/>
  <c r="B12" i="182"/>
  <c r="E12" i="182" s="1"/>
  <c r="O18" i="182"/>
  <c r="G1366" i="2"/>
  <c r="J1366" i="2"/>
  <c r="G1367" i="2"/>
  <c r="J1367" i="2"/>
  <c r="G1365" i="2"/>
  <c r="J1365" i="2"/>
  <c r="G1362" i="2"/>
  <c r="J1362" i="2"/>
  <c r="G1363" i="2"/>
  <c r="J1363" i="2"/>
  <c r="G1364" i="2"/>
  <c r="J1364" i="2"/>
  <c r="A64" i="172"/>
  <c r="B66" i="172"/>
  <c r="E20" i="190" l="1"/>
  <c r="B21" i="190"/>
  <c r="A39" i="187"/>
  <c r="A40" i="187" s="1"/>
  <c r="A41" i="187" s="1"/>
  <c r="A42" i="187" s="1"/>
  <c r="E19" i="187"/>
  <c r="B20" i="187"/>
  <c r="E20" i="187" s="1"/>
  <c r="B13" i="183"/>
  <c r="E13" i="183" s="1"/>
  <c r="B13" i="182"/>
  <c r="E13" i="182" s="1"/>
  <c r="A21" i="184"/>
  <c r="A22" i="184" s="1"/>
  <c r="A23" i="184" s="1"/>
  <c r="A24" i="184" s="1"/>
  <c r="A25" i="184" s="1"/>
  <c r="B16" i="184"/>
  <c r="E16" i="184" s="1"/>
  <c r="B16" i="183"/>
  <c r="A22" i="183"/>
  <c r="A23" i="183" s="1"/>
  <c r="A24" i="183" s="1"/>
  <c r="A25" i="183" s="1"/>
  <c r="A26" i="183" s="1"/>
  <c r="A27" i="183" s="1"/>
  <c r="A32" i="183" s="1"/>
  <c r="A33" i="183" s="1"/>
  <c r="A34" i="183" s="1"/>
  <c r="A16" i="183"/>
  <c r="A17" i="183" s="1"/>
  <c r="A18" i="183" s="1"/>
  <c r="A19" i="183" s="1"/>
  <c r="A20" i="183" s="1"/>
  <c r="A21" i="183" s="1"/>
  <c r="A16" i="182"/>
  <c r="A17" i="182" s="1"/>
  <c r="A18" i="182" s="1"/>
  <c r="A19" i="182" s="1"/>
  <c r="A20" i="182" s="1"/>
  <c r="A21" i="182" s="1"/>
  <c r="A22" i="182"/>
  <c r="A23" i="182" s="1"/>
  <c r="A24" i="182" s="1"/>
  <c r="A25" i="182" s="1"/>
  <c r="A26" i="182" s="1"/>
  <c r="A27" i="182" s="1"/>
  <c r="E16" i="182"/>
  <c r="B17" i="182"/>
  <c r="G1516" i="2"/>
  <c r="J1516" i="2"/>
  <c r="G1360" i="2"/>
  <c r="J1360" i="2"/>
  <c r="G1361" i="2"/>
  <c r="J1361" i="2"/>
  <c r="A75" i="181"/>
  <c r="B75" i="181"/>
  <c r="E72" i="181"/>
  <c r="B72" i="181"/>
  <c r="A72" i="181"/>
  <c r="M76" i="181"/>
  <c r="K76" i="181"/>
  <c r="J76" i="181"/>
  <c r="I76" i="181"/>
  <c r="H76" i="181"/>
  <c r="C76" i="181"/>
  <c r="C77" i="181" s="1"/>
  <c r="D74" i="181"/>
  <c r="D71" i="181"/>
  <c r="L70" i="181"/>
  <c r="D70" i="181"/>
  <c r="L68" i="181"/>
  <c r="D68" i="181"/>
  <c r="L67" i="181"/>
  <c r="D67" i="181"/>
  <c r="D66" i="181"/>
  <c r="L64" i="181"/>
  <c r="D64" i="181"/>
  <c r="D63" i="181"/>
  <c r="D62" i="181"/>
  <c r="L61" i="181"/>
  <c r="D61" i="181"/>
  <c r="D59" i="181"/>
  <c r="L58" i="181"/>
  <c r="D58" i="181"/>
  <c r="L57" i="181"/>
  <c r="D57" i="181"/>
  <c r="L56" i="181"/>
  <c r="L55" i="181"/>
  <c r="D55" i="181"/>
  <c r="L54" i="181"/>
  <c r="D54" i="181"/>
  <c r="D48" i="181"/>
  <c r="D46" i="181"/>
  <c r="L45" i="181"/>
  <c r="L44" i="181"/>
  <c r="L43" i="181"/>
  <c r="L42" i="181"/>
  <c r="L41" i="181"/>
  <c r="L34" i="181"/>
  <c r="D34" i="181"/>
  <c r="L31" i="181"/>
  <c r="D31" i="181"/>
  <c r="D29" i="181"/>
  <c r="L28" i="181"/>
  <c r="D28" i="181"/>
  <c r="L27" i="181"/>
  <c r="D27" i="181"/>
  <c r="D26" i="181"/>
  <c r="L25" i="181"/>
  <c r="D25" i="181"/>
  <c r="L21" i="181"/>
  <c r="D21" i="181"/>
  <c r="L20" i="181"/>
  <c r="D20" i="181"/>
  <c r="L19" i="181"/>
  <c r="D19" i="181"/>
  <c r="L18" i="181"/>
  <c r="D18" i="181"/>
  <c r="D17" i="181"/>
  <c r="L16" i="181"/>
  <c r="L15" i="181"/>
  <c r="D15" i="181"/>
  <c r="L14" i="181"/>
  <c r="D14" i="181"/>
  <c r="B15" i="181" s="1"/>
  <c r="E15" i="181" s="1"/>
  <c r="B14" i="181"/>
  <c r="E14" i="181" s="1"/>
  <c r="A14" i="181"/>
  <c r="A10" i="181"/>
  <c r="A9" i="181"/>
  <c r="A8" i="181"/>
  <c r="A7" i="181"/>
  <c r="B3" i="181"/>
  <c r="B27" i="180"/>
  <c r="D22" i="180"/>
  <c r="D23" i="180" s="1"/>
  <c r="C22" i="180"/>
  <c r="C23" i="180" s="1"/>
  <c r="J21" i="180"/>
  <c r="I21" i="180"/>
  <c r="H21" i="180"/>
  <c r="A12" i="180"/>
  <c r="A13" i="180" s="1"/>
  <c r="A14" i="180" s="1"/>
  <c r="A15" i="180" s="1"/>
  <c r="A16" i="180" s="1"/>
  <c r="A17" i="180" s="1"/>
  <c r="A18" i="180" s="1"/>
  <c r="A19" i="180" s="1"/>
  <c r="A20" i="180" s="1"/>
  <c r="A21" i="180" s="1"/>
  <c r="B11" i="180"/>
  <c r="E11" i="180" s="1"/>
  <c r="A8" i="180"/>
  <c r="A7" i="180"/>
  <c r="B7" i="180" s="1"/>
  <c r="B3" i="180"/>
  <c r="B2" i="180"/>
  <c r="B22" i="190" l="1"/>
  <c r="E21" i="190"/>
  <c r="B14" i="182"/>
  <c r="E14" i="182" s="1"/>
  <c r="B8" i="187"/>
  <c r="A43" i="187"/>
  <c r="A44" i="187" s="1"/>
  <c r="A45" i="187" s="1"/>
  <c r="A47" i="187" s="1"/>
  <c r="A48" i="187" s="1"/>
  <c r="A49" i="187" s="1"/>
  <c r="A50" i="187" s="1"/>
  <c r="A51" i="187" s="1"/>
  <c r="A52" i="187" s="1"/>
  <c r="A53" i="187" s="1"/>
  <c r="A54" i="187" s="1"/>
  <c r="A55" i="187" s="1"/>
  <c r="A56" i="187" s="1"/>
  <c r="A57" i="187" s="1"/>
  <c r="A58" i="187" s="1"/>
  <c r="A59" i="187" s="1"/>
  <c r="A60" i="187" s="1"/>
  <c r="A61" i="187" s="1"/>
  <c r="A62" i="187" s="1"/>
  <c r="B21" i="187"/>
  <c r="B22" i="187" s="1"/>
  <c r="B14" i="183"/>
  <c r="B7" i="183"/>
  <c r="C7" i="183"/>
  <c r="C7" i="182"/>
  <c r="B7" i="182"/>
  <c r="A26" i="184"/>
  <c r="A27" i="184" s="1"/>
  <c r="A28" i="184" s="1"/>
  <c r="A29" i="184" s="1"/>
  <c r="A30" i="184" s="1"/>
  <c r="B17" i="184"/>
  <c r="E17" i="184" s="1"/>
  <c r="A28" i="183"/>
  <c r="A29" i="183" s="1"/>
  <c r="A30" i="183" s="1"/>
  <c r="A31" i="183" s="1"/>
  <c r="B17" i="183"/>
  <c r="E16" i="183"/>
  <c r="B8" i="183"/>
  <c r="A35" i="183"/>
  <c r="B22" i="182"/>
  <c r="E17" i="182"/>
  <c r="B18" i="182"/>
  <c r="A32" i="182"/>
  <c r="A33" i="182" s="1"/>
  <c r="A34" i="182" s="1"/>
  <c r="A28" i="182"/>
  <c r="A29" i="182" s="1"/>
  <c r="A30" i="182" s="1"/>
  <c r="A31" i="182" s="1"/>
  <c r="L76" i="181"/>
  <c r="B16" i="181"/>
  <c r="E16" i="181" s="1"/>
  <c r="A15" i="181"/>
  <c r="A16" i="181" s="1"/>
  <c r="A17" i="181" s="1"/>
  <c r="A18" i="181" s="1"/>
  <c r="A19" i="181" s="1"/>
  <c r="A20" i="181" s="1"/>
  <c r="A21" i="181" s="1"/>
  <c r="A22" i="181" s="1"/>
  <c r="A23" i="181" s="1"/>
  <c r="A24" i="181" s="1"/>
  <c r="A25" i="181" s="1"/>
  <c r="A26" i="181" s="1"/>
  <c r="A27" i="181" s="1"/>
  <c r="A28" i="181" s="1"/>
  <c r="A29" i="181" s="1"/>
  <c r="A30" i="181" s="1"/>
  <c r="A31" i="181" s="1"/>
  <c r="A32" i="181" s="1"/>
  <c r="A33" i="181" s="1"/>
  <c r="A34" i="181" s="1"/>
  <c r="A35" i="181" s="1"/>
  <c r="D76" i="181"/>
  <c r="D77" i="181" s="1"/>
  <c r="B8" i="180"/>
  <c r="B12" i="180"/>
  <c r="B3" i="179"/>
  <c r="M75" i="179"/>
  <c r="K75" i="179"/>
  <c r="J75" i="179"/>
  <c r="I75" i="179"/>
  <c r="H75" i="179"/>
  <c r="C75" i="179"/>
  <c r="C76" i="179" s="1"/>
  <c r="D73" i="179"/>
  <c r="D71" i="179"/>
  <c r="L70" i="179"/>
  <c r="D70" i="179"/>
  <c r="L68" i="179"/>
  <c r="D68" i="179"/>
  <c r="L67" i="179"/>
  <c r="D67" i="179"/>
  <c r="D66" i="179"/>
  <c r="L64" i="179"/>
  <c r="D64" i="179"/>
  <c r="D63" i="179"/>
  <c r="D62" i="179"/>
  <c r="L61" i="179"/>
  <c r="D61" i="179"/>
  <c r="D59" i="179"/>
  <c r="L58" i="179"/>
  <c r="D58" i="179"/>
  <c r="L57" i="179"/>
  <c r="D57" i="179"/>
  <c r="L56" i="179"/>
  <c r="L55" i="179"/>
  <c r="D55" i="179"/>
  <c r="L54" i="179"/>
  <c r="D54" i="179"/>
  <c r="D48" i="179"/>
  <c r="D46" i="179"/>
  <c r="L45" i="179"/>
  <c r="L44" i="179"/>
  <c r="L43" i="179"/>
  <c r="L42" i="179"/>
  <c r="L41" i="179"/>
  <c r="L34" i="179"/>
  <c r="D34" i="179"/>
  <c r="L31" i="179"/>
  <c r="D31" i="179"/>
  <c r="D29" i="179"/>
  <c r="L28" i="179"/>
  <c r="D28" i="179"/>
  <c r="L27" i="179"/>
  <c r="D26" i="179"/>
  <c r="L25" i="179"/>
  <c r="D25" i="179"/>
  <c r="L21" i="179"/>
  <c r="D21" i="179"/>
  <c r="L20" i="179"/>
  <c r="D20" i="179"/>
  <c r="L19" i="179"/>
  <c r="D19" i="179"/>
  <c r="L18" i="179"/>
  <c r="D17" i="179"/>
  <c r="L16" i="179"/>
  <c r="L15" i="179"/>
  <c r="L14" i="179"/>
  <c r="D14" i="179"/>
  <c r="E14" i="179"/>
  <c r="A14" i="179"/>
  <c r="A10" i="179"/>
  <c r="A9" i="179"/>
  <c r="A8" i="179"/>
  <c r="A7" i="179"/>
  <c r="B41" i="178"/>
  <c r="K36" i="178"/>
  <c r="J36" i="178"/>
  <c r="I36" i="178"/>
  <c r="H36" i="178"/>
  <c r="C36" i="178"/>
  <c r="C37" i="178" s="1"/>
  <c r="D35" i="178"/>
  <c r="D34" i="178"/>
  <c r="D29" i="178"/>
  <c r="D28" i="178"/>
  <c r="M26" i="178"/>
  <c r="O25" i="178" s="1"/>
  <c r="D25" i="178"/>
  <c r="D24" i="178"/>
  <c r="D23" i="178"/>
  <c r="D22" i="178"/>
  <c r="M20" i="178"/>
  <c r="D19" i="178"/>
  <c r="D18" i="178"/>
  <c r="O17" i="178"/>
  <c r="L17" i="178"/>
  <c r="D17" i="178"/>
  <c r="M16" i="178"/>
  <c r="M36" i="178" s="1"/>
  <c r="D16" i="178"/>
  <c r="L14" i="178"/>
  <c r="L36" i="178" s="1"/>
  <c r="D14" i="178"/>
  <c r="O13" i="178"/>
  <c r="D13" i="178"/>
  <c r="O12" i="178"/>
  <c r="A12" i="178"/>
  <c r="B11" i="178"/>
  <c r="E11" i="178" s="1"/>
  <c r="A7" i="178"/>
  <c r="B3" i="178"/>
  <c r="V117" i="112"/>
  <c r="V115" i="112"/>
  <c r="V92" i="112"/>
  <c r="W69" i="112"/>
  <c r="V70" i="112"/>
  <c r="V69" i="112"/>
  <c r="W38" i="112"/>
  <c r="L151" i="112"/>
  <c r="L150" i="112"/>
  <c r="L149" i="112"/>
  <c r="L144" i="112"/>
  <c r="L145" i="112"/>
  <c r="L143" i="112"/>
  <c r="B27" i="176"/>
  <c r="C23" i="176"/>
  <c r="D22" i="176"/>
  <c r="D23" i="176" s="1"/>
  <c r="C22" i="176"/>
  <c r="J21" i="176"/>
  <c r="I21" i="176"/>
  <c r="H21" i="176"/>
  <c r="A12" i="176"/>
  <c r="A13" i="176" s="1"/>
  <c r="A14" i="176" s="1"/>
  <c r="A15" i="176" s="1"/>
  <c r="A16" i="176" s="1"/>
  <c r="A17" i="176" s="1"/>
  <c r="A18" i="176" s="1"/>
  <c r="A19" i="176" s="1"/>
  <c r="A20" i="176" s="1"/>
  <c r="A21" i="176" s="1"/>
  <c r="B11" i="176"/>
  <c r="E11" i="176" s="1"/>
  <c r="A8" i="176"/>
  <c r="B8" i="176" s="1"/>
  <c r="A7" i="176"/>
  <c r="B7" i="176" s="1"/>
  <c r="B3" i="176"/>
  <c r="B2" i="176"/>
  <c r="J1515" i="2"/>
  <c r="G1359" i="2"/>
  <c r="J1359" i="2"/>
  <c r="G1358" i="2"/>
  <c r="J1358" i="2"/>
  <c r="G1609" i="2"/>
  <c r="G1610" i="2"/>
  <c r="G1611" i="2"/>
  <c r="G1612" i="2"/>
  <c r="G1613" i="2"/>
  <c r="B23" i="190" l="1"/>
  <c r="E22" i="190"/>
  <c r="E21" i="187"/>
  <c r="A63" i="187"/>
  <c r="A64" i="187" s="1"/>
  <c r="A65" i="187" s="1"/>
  <c r="A66" i="187" s="1"/>
  <c r="A67" i="187" s="1"/>
  <c r="A68" i="187" s="1"/>
  <c r="A69" i="187" s="1"/>
  <c r="A70" i="187" s="1"/>
  <c r="A71" i="187" s="1"/>
  <c r="A72" i="187" s="1"/>
  <c r="A73" i="187" s="1"/>
  <c r="A74" i="187" s="1"/>
  <c r="A75" i="187" s="1"/>
  <c r="A76" i="187" s="1"/>
  <c r="A77" i="187" s="1"/>
  <c r="A78" i="187" s="1"/>
  <c r="A80" i="187" s="1"/>
  <c r="A81" i="187" s="1"/>
  <c r="A82" i="187" s="1"/>
  <c r="A83" i="187" s="1"/>
  <c r="A84" i="187" s="1"/>
  <c r="A85" i="187" s="1"/>
  <c r="A86" i="187" s="1"/>
  <c r="A87" i="187" s="1"/>
  <c r="A88" i="187" s="1"/>
  <c r="A89" i="187" s="1"/>
  <c r="E14" i="183"/>
  <c r="B22" i="183"/>
  <c r="B23" i="187"/>
  <c r="E22" i="187"/>
  <c r="A13" i="178"/>
  <c r="A14" i="178" s="1"/>
  <c r="A31" i="184"/>
  <c r="A32" i="184"/>
  <c r="A33" i="184" s="1"/>
  <c r="A34" i="184" s="1"/>
  <c r="A35" i="184" s="1"/>
  <c r="A36" i="184" s="1"/>
  <c r="A37" i="184" s="1"/>
  <c r="A38" i="184" s="1"/>
  <c r="A39" i="184" s="1"/>
  <c r="A40" i="184" s="1"/>
  <c r="A41" i="184" s="1"/>
  <c r="A42" i="184" s="1"/>
  <c r="A43" i="184" s="1"/>
  <c r="A44" i="184" s="1"/>
  <c r="A45" i="184" s="1"/>
  <c r="A46" i="184" s="1"/>
  <c r="A47" i="184" s="1"/>
  <c r="A48" i="184" s="1"/>
  <c r="A49" i="184" s="1"/>
  <c r="B7" i="184"/>
  <c r="B18" i="184"/>
  <c r="E18" i="184" s="1"/>
  <c r="E17" i="183"/>
  <c r="B18" i="183"/>
  <c r="E18" i="182"/>
  <c r="B19" i="182"/>
  <c r="B8" i="182"/>
  <c r="A35" i="182"/>
  <c r="E22" i="182"/>
  <c r="B23" i="182"/>
  <c r="L75" i="179"/>
  <c r="B17" i="181"/>
  <c r="E17" i="181" s="1"/>
  <c r="A36" i="181"/>
  <c r="A37" i="181" s="1"/>
  <c r="A38" i="181" s="1"/>
  <c r="A39" i="181" s="1"/>
  <c r="A40" i="181" s="1"/>
  <c r="A41" i="181" s="1"/>
  <c r="A42" i="181" s="1"/>
  <c r="A43" i="181" s="1"/>
  <c r="A44" i="181" s="1"/>
  <c r="A45" i="181" s="1"/>
  <c r="A46" i="181" s="1"/>
  <c r="A47" i="181" s="1"/>
  <c r="B7" i="181"/>
  <c r="B13" i="180"/>
  <c r="E12" i="180"/>
  <c r="D36" i="178"/>
  <c r="D37" i="178" s="1"/>
  <c r="B12" i="178"/>
  <c r="E12" i="178" s="1"/>
  <c r="D75" i="179"/>
  <c r="D76" i="179" s="1"/>
  <c r="B15" i="179"/>
  <c r="E15" i="179" s="1"/>
  <c r="A15" i="179"/>
  <c r="A16" i="179" s="1"/>
  <c r="A17" i="179" s="1"/>
  <c r="A18" i="179" s="1"/>
  <c r="A19" i="179" s="1"/>
  <c r="A20" i="179" s="1"/>
  <c r="A21" i="179" s="1"/>
  <c r="A22" i="179" s="1"/>
  <c r="A23" i="179" s="1"/>
  <c r="A24" i="179" s="1"/>
  <c r="A25" i="179" s="1"/>
  <c r="A26" i="179" s="1"/>
  <c r="A27" i="179" s="1"/>
  <c r="A28" i="179" s="1"/>
  <c r="A29" i="179" s="1"/>
  <c r="A31" i="179" s="1"/>
  <c r="O26" i="178"/>
  <c r="O18" i="178"/>
  <c r="B12" i="176"/>
  <c r="B13" i="176" s="1"/>
  <c r="E13" i="176" s="1"/>
  <c r="B27" i="175"/>
  <c r="C23" i="175"/>
  <c r="D22" i="175"/>
  <c r="D23" i="175" s="1"/>
  <c r="C22" i="175"/>
  <c r="J21" i="175"/>
  <c r="I21" i="175"/>
  <c r="H21" i="175"/>
  <c r="A12" i="175"/>
  <c r="A13" i="175" s="1"/>
  <c r="A14" i="175" s="1"/>
  <c r="A15" i="175" s="1"/>
  <c r="A16" i="175" s="1"/>
  <c r="A17" i="175" s="1"/>
  <c r="A18" i="175" s="1"/>
  <c r="A19" i="175" s="1"/>
  <c r="A20" i="175" s="1"/>
  <c r="A21" i="175" s="1"/>
  <c r="B11" i="175"/>
  <c r="E11" i="175" s="1"/>
  <c r="A8" i="175"/>
  <c r="A7" i="175"/>
  <c r="B3" i="175"/>
  <c r="B2" i="175"/>
  <c r="B21" i="173"/>
  <c r="B16" i="173"/>
  <c r="G1506" i="2"/>
  <c r="J1506" i="2"/>
  <c r="G1508" i="2"/>
  <c r="J1508" i="2"/>
  <c r="G1351" i="2"/>
  <c r="J1351" i="2"/>
  <c r="G1352" i="2"/>
  <c r="J1352" i="2"/>
  <c r="G1353" i="2"/>
  <c r="J1353" i="2"/>
  <c r="G1354" i="2"/>
  <c r="J1354" i="2"/>
  <c r="G1355" i="2"/>
  <c r="J1355" i="2"/>
  <c r="G1356" i="2"/>
  <c r="J1356" i="2"/>
  <c r="G1357" i="2"/>
  <c r="J1357" i="2"/>
  <c r="G1608" i="2"/>
  <c r="G1607" i="2"/>
  <c r="G1606" i="2"/>
  <c r="J36" i="173"/>
  <c r="H36" i="173"/>
  <c r="C36" i="173"/>
  <c r="C37" i="173" s="1"/>
  <c r="D35" i="173"/>
  <c r="D34" i="173"/>
  <c r="D32" i="173"/>
  <c r="D31" i="173"/>
  <c r="D30" i="173"/>
  <c r="D29" i="173"/>
  <c r="D28" i="173"/>
  <c r="D27" i="173"/>
  <c r="D26" i="173"/>
  <c r="D25" i="173"/>
  <c r="D24" i="173"/>
  <c r="D23" i="173"/>
  <c r="D22" i="173"/>
  <c r="I20" i="173"/>
  <c r="I36" i="173" s="1"/>
  <c r="D20" i="173"/>
  <c r="D19" i="173"/>
  <c r="D18" i="173"/>
  <c r="D17" i="173"/>
  <c r="D16" i="173"/>
  <c r="D14" i="173"/>
  <c r="D13" i="173"/>
  <c r="B12" i="173"/>
  <c r="E12" i="173" s="1"/>
  <c r="A12" i="173"/>
  <c r="B2" i="173" s="1"/>
  <c r="A8" i="173"/>
  <c r="A7" i="173"/>
  <c r="B24" i="190" l="1"/>
  <c r="E23" i="190"/>
  <c r="B10" i="187"/>
  <c r="B9" i="187"/>
  <c r="A90" i="187"/>
  <c r="A91" i="187" s="1"/>
  <c r="A92" i="187" s="1"/>
  <c r="A93" i="187" s="1"/>
  <c r="A94" i="187" s="1"/>
  <c r="A95" i="187" s="1"/>
  <c r="E22" i="183"/>
  <c r="B23" i="183"/>
  <c r="E23" i="187"/>
  <c r="B24" i="187"/>
  <c r="A16" i="178"/>
  <c r="A17" i="178" s="1"/>
  <c r="A18" i="178" s="1"/>
  <c r="A19" i="178" s="1"/>
  <c r="A20" i="178" s="1"/>
  <c r="A21" i="178" s="1"/>
  <c r="B16" i="178"/>
  <c r="E16" i="178" s="1"/>
  <c r="A22" i="178"/>
  <c r="A23" i="178" s="1"/>
  <c r="A24" i="178" s="1"/>
  <c r="A25" i="178" s="1"/>
  <c r="A26" i="178" s="1"/>
  <c r="A27" i="178" s="1"/>
  <c r="A32" i="178" s="1"/>
  <c r="A33" i="178" s="1"/>
  <c r="A34" i="178" s="1"/>
  <c r="B8" i="184"/>
  <c r="A51" i="184"/>
  <c r="A52" i="184" s="1"/>
  <c r="A54" i="184" s="1"/>
  <c r="A55" i="184" s="1"/>
  <c r="A56" i="184" s="1"/>
  <c r="A57" i="184" s="1"/>
  <c r="A58" i="184" s="1"/>
  <c r="A59" i="184" s="1"/>
  <c r="A60" i="184" s="1"/>
  <c r="A61" i="184" s="1"/>
  <c r="A62" i="184" s="1"/>
  <c r="A63" i="184" s="1"/>
  <c r="A64" i="184" s="1"/>
  <c r="A65" i="184" s="1"/>
  <c r="A66" i="184" s="1"/>
  <c r="A67" i="184" s="1"/>
  <c r="A68" i="184" s="1"/>
  <c r="A50" i="184"/>
  <c r="B19" i="184"/>
  <c r="B20" i="184" s="1"/>
  <c r="E18" i="183"/>
  <c r="B19" i="183"/>
  <c r="B24" i="182"/>
  <c r="E23" i="182"/>
  <c r="E19" i="182"/>
  <c r="B20" i="182"/>
  <c r="A30" i="179"/>
  <c r="A32" i="179"/>
  <c r="A33" i="179" s="1"/>
  <c r="A34" i="179" s="1"/>
  <c r="A35" i="179" s="1"/>
  <c r="A36" i="179" s="1"/>
  <c r="A37" i="179" s="1"/>
  <c r="A38" i="179" s="1"/>
  <c r="A39" i="179" s="1"/>
  <c r="A40" i="179" s="1"/>
  <c r="A41" i="179" s="1"/>
  <c r="A42" i="179" s="1"/>
  <c r="A43" i="179" s="1"/>
  <c r="A44" i="179" s="1"/>
  <c r="A45" i="179" s="1"/>
  <c r="A46" i="179" s="1"/>
  <c r="A47" i="179" s="1"/>
  <c r="B18" i="181"/>
  <c r="A48" i="181"/>
  <c r="A49" i="181" s="1"/>
  <c r="A50" i="181" s="1"/>
  <c r="A52" i="181" s="1"/>
  <c r="A53" i="181" s="1"/>
  <c r="A54" i="181" s="1"/>
  <c r="A55" i="181" s="1"/>
  <c r="A56" i="181" s="1"/>
  <c r="A57" i="181" s="1"/>
  <c r="A58" i="181" s="1"/>
  <c r="A59" i="181" s="1"/>
  <c r="B8" i="181"/>
  <c r="B14" i="180"/>
  <c r="E13" i="180"/>
  <c r="B14" i="176"/>
  <c r="E14" i="176" s="1"/>
  <c r="B13" i="178"/>
  <c r="B16" i="179"/>
  <c r="E16" i="179" s="1"/>
  <c r="B7" i="179"/>
  <c r="E12" i="176"/>
  <c r="B7" i="175"/>
  <c r="B8" i="175"/>
  <c r="B12" i="175"/>
  <c r="B13" i="173"/>
  <c r="B14" i="173" s="1"/>
  <c r="E14" i="173" s="1"/>
  <c r="A13" i="173"/>
  <c r="A14" i="173" s="1"/>
  <c r="A15" i="173" s="1"/>
  <c r="A16" i="173" s="1"/>
  <c r="A17" i="173" s="1"/>
  <c r="A18" i="173" s="1"/>
  <c r="A19" i="173" s="1"/>
  <c r="A20" i="173" s="1"/>
  <c r="A21" i="173" s="1"/>
  <c r="A22" i="173" s="1"/>
  <c r="A23" i="173" s="1"/>
  <c r="A24" i="173" s="1"/>
  <c r="D36" i="173"/>
  <c r="D37" i="173" s="1"/>
  <c r="B7" i="173"/>
  <c r="E24" i="190" l="1"/>
  <c r="B27" i="190"/>
  <c r="E27" i="190" s="1"/>
  <c r="A96" i="187"/>
  <c r="B11" i="187"/>
  <c r="B8" i="178"/>
  <c r="A35" i="178"/>
  <c r="E23" i="183"/>
  <c r="B24" i="183"/>
  <c r="B25" i="187"/>
  <c r="E24" i="187"/>
  <c r="A28" i="178"/>
  <c r="A29" i="178" s="1"/>
  <c r="A30" i="178" s="1"/>
  <c r="A31" i="178" s="1"/>
  <c r="B17" i="178"/>
  <c r="B18" i="178" s="1"/>
  <c r="A69" i="184"/>
  <c r="A70" i="184" s="1"/>
  <c r="A71" i="184" s="1"/>
  <c r="A72" i="184" s="1"/>
  <c r="A73" i="184" s="1"/>
  <c r="A74" i="184" s="1"/>
  <c r="A77" i="184" s="1"/>
  <c r="B9" i="184"/>
  <c r="E19" i="184"/>
  <c r="B21" i="184"/>
  <c r="E20" i="184"/>
  <c r="E19" i="183"/>
  <c r="B20" i="183"/>
  <c r="B25" i="182"/>
  <c r="E24" i="182"/>
  <c r="B42" i="182"/>
  <c r="B21" i="182"/>
  <c r="E21" i="182" s="1"/>
  <c r="E20" i="182"/>
  <c r="E18" i="181"/>
  <c r="B19" i="181"/>
  <c r="A60" i="181"/>
  <c r="A61" i="181" s="1"/>
  <c r="A62" i="181" s="1"/>
  <c r="A63" i="181" s="1"/>
  <c r="A64" i="181" s="1"/>
  <c r="A65" i="181" s="1"/>
  <c r="B15" i="180"/>
  <c r="C7" i="180"/>
  <c r="E14" i="180"/>
  <c r="C7" i="176"/>
  <c r="B15" i="176"/>
  <c r="B16" i="176" s="1"/>
  <c r="B7" i="178"/>
  <c r="B14" i="178"/>
  <c r="C7" i="178"/>
  <c r="E13" i="178"/>
  <c r="B17" i="179"/>
  <c r="E17" i="179" s="1"/>
  <c r="A48" i="179"/>
  <c r="A49" i="179" s="1"/>
  <c r="A50" i="179" s="1"/>
  <c r="A52" i="179" s="1"/>
  <c r="A53" i="179" s="1"/>
  <c r="A54" i="179" s="1"/>
  <c r="A55" i="179" s="1"/>
  <c r="A56" i="179" s="1"/>
  <c r="A57" i="179" s="1"/>
  <c r="A58" i="179" s="1"/>
  <c r="B8" i="179"/>
  <c r="B13" i="175"/>
  <c r="E12" i="175"/>
  <c r="B15" i="173"/>
  <c r="C7" i="173" s="1"/>
  <c r="E13" i="173"/>
  <c r="A25" i="173"/>
  <c r="A26" i="173" s="1"/>
  <c r="A27" i="173" s="1"/>
  <c r="B8" i="173"/>
  <c r="E15" i="173"/>
  <c r="K90" i="172"/>
  <c r="J90" i="172"/>
  <c r="I90" i="172"/>
  <c r="H90" i="172"/>
  <c r="C90" i="172"/>
  <c r="C91" i="172" s="1"/>
  <c r="D89" i="172"/>
  <c r="D87" i="172"/>
  <c r="D86" i="172"/>
  <c r="D85" i="172"/>
  <c r="D84" i="172"/>
  <c r="D83" i="172"/>
  <c r="D81" i="172"/>
  <c r="D80" i="172"/>
  <c r="M79" i="172"/>
  <c r="D79" i="172"/>
  <c r="D78" i="172"/>
  <c r="D73" i="172"/>
  <c r="D72" i="172"/>
  <c r="D71" i="172"/>
  <c r="D69" i="172"/>
  <c r="D68" i="172"/>
  <c r="D67" i="172"/>
  <c r="M66" i="172"/>
  <c r="D66" i="172"/>
  <c r="D65" i="172"/>
  <c r="D64" i="172"/>
  <c r="M61" i="172"/>
  <c r="D61" i="172"/>
  <c r="D59" i="172"/>
  <c r="D58" i="172"/>
  <c r="D55" i="172"/>
  <c r="D54" i="172"/>
  <c r="D53" i="172"/>
  <c r="D52" i="172"/>
  <c r="D50" i="172"/>
  <c r="D49" i="172"/>
  <c r="D46" i="172"/>
  <c r="D45" i="172"/>
  <c r="M44" i="172"/>
  <c r="D44" i="172"/>
  <c r="D43" i="172"/>
  <c r="D42" i="172"/>
  <c r="D41" i="172"/>
  <c r="D38" i="172"/>
  <c r="D37" i="172"/>
  <c r="D36" i="172"/>
  <c r="M33" i="172"/>
  <c r="D33" i="172"/>
  <c r="D32" i="172"/>
  <c r="D31" i="172"/>
  <c r="D30" i="172"/>
  <c r="D29" i="172"/>
  <c r="D27" i="172"/>
  <c r="M25" i="172"/>
  <c r="D25" i="172"/>
  <c r="M23" i="172"/>
  <c r="D22" i="172"/>
  <c r="D21" i="172"/>
  <c r="M20" i="172"/>
  <c r="D18" i="172"/>
  <c r="D17" i="172"/>
  <c r="D16" i="172"/>
  <c r="M15" i="172"/>
  <c r="D15" i="172"/>
  <c r="A11" i="172"/>
  <c r="A10" i="172"/>
  <c r="A9" i="172"/>
  <c r="A8" i="172"/>
  <c r="A7" i="172"/>
  <c r="B3" i="172"/>
  <c r="B15" i="172" s="1"/>
  <c r="E15" i="172" s="1"/>
  <c r="B2" i="172"/>
  <c r="G1350" i="2"/>
  <c r="J1350" i="2"/>
  <c r="G1605" i="2"/>
  <c r="G1604" i="2"/>
  <c r="G1603" i="2"/>
  <c r="G1349" i="2"/>
  <c r="J1349" i="2"/>
  <c r="G1507" i="2"/>
  <c r="J1507" i="2"/>
  <c r="A12" i="170"/>
  <c r="B12" i="170"/>
  <c r="G1505" i="2"/>
  <c r="J1505" i="2"/>
  <c r="E26" i="190" l="1"/>
  <c r="E17" i="178"/>
  <c r="B42" i="183"/>
  <c r="B25" i="183"/>
  <c r="E24" i="183"/>
  <c r="B26" i="187"/>
  <c r="E25" i="187"/>
  <c r="B22" i="184"/>
  <c r="E21" i="184"/>
  <c r="E20" i="183"/>
  <c r="B21" i="183"/>
  <c r="E21" i="183" s="1"/>
  <c r="E25" i="182"/>
  <c r="B26" i="182"/>
  <c r="A59" i="179"/>
  <c r="A60" i="179" s="1"/>
  <c r="A61" i="179" s="1"/>
  <c r="A62" i="179" s="1"/>
  <c r="A63" i="179" s="1"/>
  <c r="A64" i="179" s="1"/>
  <c r="A65" i="179" s="1"/>
  <c r="B18" i="179"/>
  <c r="E18" i="179" s="1"/>
  <c r="A66" i="181"/>
  <c r="A67" i="181" s="1"/>
  <c r="A68" i="181" s="1"/>
  <c r="A69" i="181" s="1"/>
  <c r="A70" i="181" s="1"/>
  <c r="A71" i="181" s="1"/>
  <c r="B9" i="181"/>
  <c r="B20" i="181"/>
  <c r="E19" i="181"/>
  <c r="E15" i="180"/>
  <c r="B16" i="180"/>
  <c r="E15" i="176"/>
  <c r="E14" i="178"/>
  <c r="B22" i="178"/>
  <c r="E18" i="178"/>
  <c r="B19" i="178"/>
  <c r="E16" i="176"/>
  <c r="B17" i="176"/>
  <c r="E13" i="175"/>
  <c r="B14" i="175"/>
  <c r="A28" i="173"/>
  <c r="A29" i="173" s="1"/>
  <c r="A30" i="173" s="1"/>
  <c r="A31" i="173" s="1"/>
  <c r="A32" i="173" s="1"/>
  <c r="A33" i="173" s="1"/>
  <c r="A34" i="173" s="1"/>
  <c r="E16" i="173"/>
  <c r="B17" i="173" s="1"/>
  <c r="E17" i="173" s="1"/>
  <c r="B19" i="173" s="1"/>
  <c r="E19" i="173" s="1"/>
  <c r="B18" i="173"/>
  <c r="D90" i="172"/>
  <c r="D91" i="172" s="1"/>
  <c r="B16" i="172"/>
  <c r="A16" i="172"/>
  <c r="A17" i="172" s="1"/>
  <c r="A18" i="172" s="1"/>
  <c r="G1347" i="2"/>
  <c r="J1347" i="2"/>
  <c r="G1348" i="2"/>
  <c r="J1348" i="2"/>
  <c r="J35" i="170"/>
  <c r="H35" i="170"/>
  <c r="C35" i="170"/>
  <c r="C36" i="170" s="1"/>
  <c r="D34" i="170"/>
  <c r="D33" i="170"/>
  <c r="D32" i="170"/>
  <c r="D31" i="170"/>
  <c r="D30" i="170"/>
  <c r="D29" i="170"/>
  <c r="D28" i="170"/>
  <c r="D27" i="170"/>
  <c r="D26" i="170"/>
  <c r="D25" i="170"/>
  <c r="D24" i="170"/>
  <c r="D23" i="170"/>
  <c r="D22" i="170"/>
  <c r="I20" i="170"/>
  <c r="I35" i="170" s="1"/>
  <c r="D20" i="170"/>
  <c r="D19" i="170"/>
  <c r="D18" i="170"/>
  <c r="D17" i="170"/>
  <c r="D16" i="170"/>
  <c r="D14" i="170"/>
  <c r="D13" i="170"/>
  <c r="B13" i="170"/>
  <c r="E13" i="170" s="1"/>
  <c r="A13" i="170"/>
  <c r="E12" i="170"/>
  <c r="A8" i="170"/>
  <c r="A7" i="170"/>
  <c r="B2" i="170"/>
  <c r="G1504" i="2"/>
  <c r="J1504" i="2"/>
  <c r="D28" i="165"/>
  <c r="D29" i="165"/>
  <c r="G1602" i="2"/>
  <c r="G1601" i="2"/>
  <c r="G1600" i="2"/>
  <c r="B29" i="190" l="1"/>
  <c r="E28" i="190"/>
  <c r="E25" i="183"/>
  <c r="B26" i="183"/>
  <c r="E26" i="187"/>
  <c r="B27" i="187"/>
  <c r="B23" i="184"/>
  <c r="E22" i="184"/>
  <c r="B27" i="182"/>
  <c r="E26" i="182"/>
  <c r="B19" i="179"/>
  <c r="E19" i="179" s="1"/>
  <c r="A66" i="179"/>
  <c r="A67" i="179" s="1"/>
  <c r="A68" i="179" s="1"/>
  <c r="A69" i="179" s="1"/>
  <c r="A70" i="179" s="1"/>
  <c r="A71" i="179" s="1"/>
  <c r="A74" i="179" s="1"/>
  <c r="B9" i="179"/>
  <c r="E20" i="181"/>
  <c r="B21" i="181"/>
  <c r="E16" i="180"/>
  <c r="B17" i="180"/>
  <c r="E22" i="178"/>
  <c r="B23" i="178"/>
  <c r="E19" i="178"/>
  <c r="B20" i="178"/>
  <c r="B18" i="176"/>
  <c r="E17" i="176"/>
  <c r="B15" i="175"/>
  <c r="C7" i="175"/>
  <c r="E14" i="175"/>
  <c r="A35" i="173"/>
  <c r="B9" i="173"/>
  <c r="A19" i="172"/>
  <c r="A20" i="172" s="1"/>
  <c r="A21" i="172" s="1"/>
  <c r="A22" i="172" s="1"/>
  <c r="A23" i="172" s="1"/>
  <c r="A24" i="172" s="1"/>
  <c r="A25" i="172" s="1"/>
  <c r="A26" i="172" s="1"/>
  <c r="E18" i="173"/>
  <c r="B20" i="173"/>
  <c r="E16" i="172"/>
  <c r="B17" i="172"/>
  <c r="A14" i="170"/>
  <c r="A15" i="170" s="1"/>
  <c r="A16" i="170" s="1"/>
  <c r="A17" i="170" s="1"/>
  <c r="A18" i="170" s="1"/>
  <c r="A19" i="170" s="1"/>
  <c r="A20" i="170" s="1"/>
  <c r="A21" i="170" s="1"/>
  <c r="A22" i="170" s="1"/>
  <c r="A23" i="170" s="1"/>
  <c r="A24" i="170" s="1"/>
  <c r="A25" i="170" s="1"/>
  <c r="A26" i="170" s="1"/>
  <c r="A27" i="170" s="1"/>
  <c r="A28" i="170" s="1"/>
  <c r="A29" i="170" s="1"/>
  <c r="A30" i="170" s="1"/>
  <c r="A31" i="170" s="1"/>
  <c r="A32" i="170" s="1"/>
  <c r="A33" i="170" s="1"/>
  <c r="A34" i="170" s="1"/>
  <c r="D35" i="170"/>
  <c r="D36" i="170" s="1"/>
  <c r="B14" i="170"/>
  <c r="E14" i="170" s="1"/>
  <c r="B7" i="170"/>
  <c r="G1343" i="2"/>
  <c r="J1343" i="2"/>
  <c r="G1344" i="2"/>
  <c r="J1344" i="2"/>
  <c r="G1345" i="2"/>
  <c r="J1345" i="2"/>
  <c r="G1346" i="2"/>
  <c r="J1346" i="2"/>
  <c r="J35" i="169"/>
  <c r="H35" i="169"/>
  <c r="C35" i="169"/>
  <c r="C36" i="169" s="1"/>
  <c r="D34" i="169"/>
  <c r="D33" i="169"/>
  <c r="D32" i="169"/>
  <c r="D31" i="169"/>
  <c r="D30" i="169"/>
  <c r="D29" i="169"/>
  <c r="D28" i="169"/>
  <c r="D27" i="169"/>
  <c r="D26" i="169"/>
  <c r="D25" i="169"/>
  <c r="D24" i="169"/>
  <c r="D23" i="169"/>
  <c r="D22" i="169"/>
  <c r="I20" i="169"/>
  <c r="I35" i="169" s="1"/>
  <c r="D20" i="169"/>
  <c r="D19" i="169"/>
  <c r="D18" i="169"/>
  <c r="D17" i="169"/>
  <c r="D16" i="169"/>
  <c r="D14" i="169"/>
  <c r="D13" i="169"/>
  <c r="A14" i="169" s="1"/>
  <c r="B13" i="169"/>
  <c r="E13" i="169" s="1"/>
  <c r="A13" i="169"/>
  <c r="E12" i="169"/>
  <c r="A8" i="169"/>
  <c r="A7" i="169"/>
  <c r="B3" i="169"/>
  <c r="B2" i="169"/>
  <c r="B26" i="164"/>
  <c r="B27" i="164"/>
  <c r="E27" i="164" s="1"/>
  <c r="D27" i="164"/>
  <c r="D25" i="164"/>
  <c r="B25" i="164"/>
  <c r="G1342" i="2"/>
  <c r="J1342" i="2"/>
  <c r="B30" i="190" l="1"/>
  <c r="B31" i="190" s="1"/>
  <c r="B33" i="190" s="1"/>
  <c r="B34" i="190" s="1"/>
  <c r="C7" i="190"/>
  <c r="B27" i="183"/>
  <c r="E26" i="183"/>
  <c r="E27" i="187"/>
  <c r="B28" i="187"/>
  <c r="E23" i="184"/>
  <c r="B24" i="184"/>
  <c r="B32" i="182"/>
  <c r="E27" i="182"/>
  <c r="B28" i="182"/>
  <c r="B20" i="179"/>
  <c r="E20" i="179" s="1"/>
  <c r="E21" i="181"/>
  <c r="B22" i="181"/>
  <c r="B18" i="180"/>
  <c r="E17" i="180"/>
  <c r="E23" i="178"/>
  <c r="B24" i="178"/>
  <c r="B21" i="178"/>
  <c r="E21" i="178" s="1"/>
  <c r="E20" i="178"/>
  <c r="B28" i="176"/>
  <c r="B19" i="176"/>
  <c r="E18" i="176"/>
  <c r="B16" i="175"/>
  <c r="E15" i="175"/>
  <c r="A27" i="172"/>
  <c r="A28" i="172" s="1"/>
  <c r="A29" i="172" s="1"/>
  <c r="A30" i="172" s="1"/>
  <c r="A31" i="172" s="1"/>
  <c r="A32" i="172" s="1"/>
  <c r="A33" i="172" s="1"/>
  <c r="A35" i="172" s="1"/>
  <c r="A36" i="172" s="1"/>
  <c r="A37" i="172" s="1"/>
  <c r="A38" i="172" s="1"/>
  <c r="A40" i="172" s="1"/>
  <c r="A41" i="172" s="1"/>
  <c r="A42" i="172" s="1"/>
  <c r="A43" i="172" s="1"/>
  <c r="A44" i="172" s="1"/>
  <c r="A45" i="172" s="1"/>
  <c r="A46" i="172" s="1"/>
  <c r="A48" i="172" s="1"/>
  <c r="A49" i="172" s="1"/>
  <c r="A50" i="172" s="1"/>
  <c r="A51" i="172" s="1"/>
  <c r="A52" i="172" s="1"/>
  <c r="A53" i="172" s="1"/>
  <c r="A54" i="172" s="1"/>
  <c r="A55" i="172" s="1"/>
  <c r="E20" i="173"/>
  <c r="E17" i="172"/>
  <c r="B18" i="172"/>
  <c r="B19" i="172" s="1"/>
  <c r="B8" i="170"/>
  <c r="B15" i="170"/>
  <c r="B14" i="169"/>
  <c r="E14" i="169" s="1"/>
  <c r="D35" i="169"/>
  <c r="D36" i="169" s="1"/>
  <c r="A15" i="169"/>
  <c r="A16" i="169" s="1"/>
  <c r="A18" i="169" s="1"/>
  <c r="A17" i="169" s="1"/>
  <c r="A19" i="169" s="1"/>
  <c r="B7" i="169"/>
  <c r="G1599" i="2"/>
  <c r="G1598" i="2"/>
  <c r="G1597" i="2"/>
  <c r="E30" i="190" l="1"/>
  <c r="E27" i="183"/>
  <c r="B28" i="183"/>
  <c r="B32" i="183"/>
  <c r="E28" i="187"/>
  <c r="B29" i="187"/>
  <c r="B25" i="184"/>
  <c r="B26" i="184" s="1"/>
  <c r="E24" i="184"/>
  <c r="E28" i="182"/>
  <c r="B29" i="182"/>
  <c r="B33" i="182"/>
  <c r="E32" i="182"/>
  <c r="B21" i="179"/>
  <c r="B22" i="179" s="1"/>
  <c r="A57" i="172"/>
  <c r="A58" i="172" s="1"/>
  <c r="A59" i="172" s="1"/>
  <c r="A60" i="172" s="1"/>
  <c r="A61" i="172" s="1"/>
  <c r="A56" i="172"/>
  <c r="E22" i="181"/>
  <c r="B23" i="181"/>
  <c r="E18" i="180"/>
  <c r="B28" i="180"/>
  <c r="B19" i="180"/>
  <c r="E24" i="178"/>
  <c r="B42" i="178"/>
  <c r="B25" i="178"/>
  <c r="C8" i="176"/>
  <c r="E19" i="176"/>
  <c r="B20" i="176"/>
  <c r="E16" i="175"/>
  <c r="B17" i="175"/>
  <c r="A34" i="172"/>
  <c r="E21" i="173"/>
  <c r="B22" i="173"/>
  <c r="E18" i="172"/>
  <c r="B9" i="170"/>
  <c r="E15" i="170"/>
  <c r="B16" i="170"/>
  <c r="C7" i="170"/>
  <c r="B15" i="169"/>
  <c r="C7" i="169" s="1"/>
  <c r="A20" i="169"/>
  <c r="A21" i="169" s="1"/>
  <c r="A22" i="169" s="1"/>
  <c r="A24" i="169" s="1"/>
  <c r="G1341" i="2"/>
  <c r="J1341" i="2"/>
  <c r="E32" i="183" l="1"/>
  <c r="B33" i="183"/>
  <c r="B29" i="183"/>
  <c r="E28" i="183"/>
  <c r="E29" i="187"/>
  <c r="B30" i="187"/>
  <c r="E26" i="184"/>
  <c r="B27" i="184"/>
  <c r="E25" i="184"/>
  <c r="E29" i="182"/>
  <c r="B30" i="182"/>
  <c r="E33" i="182"/>
  <c r="B34" i="182"/>
  <c r="E21" i="179"/>
  <c r="A65" i="172"/>
  <c r="A66" i="172" s="1"/>
  <c r="A62" i="172"/>
  <c r="A63" i="172" s="1"/>
  <c r="B24" i="181"/>
  <c r="E23" i="181"/>
  <c r="E19" i="180"/>
  <c r="B20" i="180"/>
  <c r="C8" i="180"/>
  <c r="E25" i="178"/>
  <c r="B26" i="178"/>
  <c r="E22" i="179"/>
  <c r="B23" i="179"/>
  <c r="B21" i="176"/>
  <c r="E21" i="176" s="1"/>
  <c r="E20" i="176"/>
  <c r="B18" i="175"/>
  <c r="E17" i="175"/>
  <c r="B23" i="173"/>
  <c r="E22" i="173"/>
  <c r="E16" i="170"/>
  <c r="B17" i="170" s="1"/>
  <c r="E17" i="170" s="1"/>
  <c r="B19" i="170" s="1"/>
  <c r="E19" i="170" s="1"/>
  <c r="B18" i="170"/>
  <c r="A25" i="169"/>
  <c r="A26" i="169" s="1"/>
  <c r="A27" i="169" s="1"/>
  <c r="A29" i="169" s="1"/>
  <c r="A30" i="169" s="1"/>
  <c r="A31" i="169" s="1"/>
  <c r="A33" i="169" s="1"/>
  <c r="B8" i="169"/>
  <c r="B16" i="169"/>
  <c r="E15" i="169"/>
  <c r="E16" i="169"/>
  <c r="B17" i="169" s="1"/>
  <c r="E17" i="169" s="1"/>
  <c r="B19" i="169" s="1"/>
  <c r="E19" i="169" s="1"/>
  <c r="B18" i="169"/>
  <c r="A13" i="165"/>
  <c r="D29" i="164"/>
  <c r="J35" i="165"/>
  <c r="H35" i="165"/>
  <c r="C35" i="165"/>
  <c r="C36" i="165" s="1"/>
  <c r="D34" i="165"/>
  <c r="D33" i="165"/>
  <c r="D32" i="165"/>
  <c r="D31" i="165"/>
  <c r="D30" i="165"/>
  <c r="D27" i="165"/>
  <c r="D26" i="165"/>
  <c r="D25" i="165"/>
  <c r="D24" i="165"/>
  <c r="D23" i="165"/>
  <c r="D22" i="165"/>
  <c r="I20" i="165"/>
  <c r="I35" i="165" s="1"/>
  <c r="D20" i="165"/>
  <c r="D19" i="165"/>
  <c r="D18" i="165"/>
  <c r="D17" i="165"/>
  <c r="D16" i="165"/>
  <c r="D14" i="165"/>
  <c r="B13" i="165"/>
  <c r="E13" i="165" s="1"/>
  <c r="E12" i="165"/>
  <c r="A8" i="165"/>
  <c r="A7" i="165"/>
  <c r="B3" i="165"/>
  <c r="B2" i="165"/>
  <c r="A17" i="164"/>
  <c r="B3" i="164"/>
  <c r="G1594" i="2"/>
  <c r="G1595" i="2"/>
  <c r="G1596" i="2"/>
  <c r="G1503" i="2"/>
  <c r="J1503" i="2"/>
  <c r="G1337" i="2"/>
  <c r="J1337" i="2"/>
  <c r="G1338" i="2"/>
  <c r="J1338" i="2"/>
  <c r="G1339" i="2"/>
  <c r="J1339" i="2"/>
  <c r="G1340" i="2"/>
  <c r="J1340" i="2"/>
  <c r="A9" i="163"/>
  <c r="J35" i="164"/>
  <c r="H35" i="164"/>
  <c r="C35" i="164"/>
  <c r="C36" i="164" s="1"/>
  <c r="D34" i="164"/>
  <c r="D33" i="164"/>
  <c r="D32" i="164"/>
  <c r="D31" i="164"/>
  <c r="D30" i="164"/>
  <c r="D28" i="164"/>
  <c r="D26" i="164"/>
  <c r="D23" i="164"/>
  <c r="D22" i="164"/>
  <c r="I20" i="164"/>
  <c r="I35" i="164" s="1"/>
  <c r="D20" i="164"/>
  <c r="D19" i="164"/>
  <c r="D18" i="164"/>
  <c r="D17" i="164"/>
  <c r="D14" i="164"/>
  <c r="B13" i="164"/>
  <c r="A8" i="164"/>
  <c r="A7" i="164"/>
  <c r="B2" i="164"/>
  <c r="E29" i="183" l="1"/>
  <c r="B30" i="183"/>
  <c r="E33" i="183"/>
  <c r="B34" i="183"/>
  <c r="B31" i="187"/>
  <c r="E30" i="187"/>
  <c r="B28" i="184"/>
  <c r="E28" i="184" s="1"/>
  <c r="E27" i="184"/>
  <c r="B31" i="182"/>
  <c r="E31" i="182" s="1"/>
  <c r="E30" i="182"/>
  <c r="E34" i="182"/>
  <c r="C8" i="182"/>
  <c r="B35" i="182"/>
  <c r="E35" i="182" s="1"/>
  <c r="A67" i="172"/>
  <c r="A68" i="172" s="1"/>
  <c r="A69" i="172" s="1"/>
  <c r="A70" i="172" s="1"/>
  <c r="E24" i="181"/>
  <c r="B25" i="181"/>
  <c r="B21" i="180"/>
  <c r="E21" i="180" s="1"/>
  <c r="E20" i="180"/>
  <c r="E26" i="178"/>
  <c r="B27" i="178"/>
  <c r="E23" i="179"/>
  <c r="B24" i="179"/>
  <c r="E18" i="175"/>
  <c r="B28" i="175"/>
  <c r="B19" i="175"/>
  <c r="E23" i="173"/>
  <c r="B24" i="173"/>
  <c r="E19" i="172"/>
  <c r="B20" i="172"/>
  <c r="E18" i="170"/>
  <c r="B20" i="170"/>
  <c r="B9" i="169"/>
  <c r="A34" i="169"/>
  <c r="E18" i="169"/>
  <c r="B20" i="169"/>
  <c r="D35" i="165"/>
  <c r="D36" i="165" s="1"/>
  <c r="A14" i="165"/>
  <c r="A15" i="165" s="1"/>
  <c r="A16" i="165" s="1"/>
  <c r="A18" i="165" s="1"/>
  <c r="B14" i="165"/>
  <c r="B15" i="165" s="1"/>
  <c r="E15" i="165" s="1"/>
  <c r="C7" i="165"/>
  <c r="B16" i="165"/>
  <c r="E16" i="165" s="1"/>
  <c r="B17" i="165" s="1"/>
  <c r="E17" i="165" s="1"/>
  <c r="B19" i="165" s="1"/>
  <c r="E19" i="165" s="1"/>
  <c r="B7" i="165"/>
  <c r="A14" i="164"/>
  <c r="A15" i="164" s="1"/>
  <c r="A16" i="164" s="1"/>
  <c r="B14" i="164"/>
  <c r="E14" i="164" s="1"/>
  <c r="E13" i="164"/>
  <c r="D35" i="164"/>
  <c r="D36" i="164" s="1"/>
  <c r="E12" i="164"/>
  <c r="E34" i="183" l="1"/>
  <c r="C8" i="183"/>
  <c r="B35" i="183"/>
  <c r="E35" i="183" s="1"/>
  <c r="B31" i="183"/>
  <c r="E31" i="183" s="1"/>
  <c r="E30" i="183"/>
  <c r="E31" i="187"/>
  <c r="B32" i="187"/>
  <c r="B29" i="184"/>
  <c r="A71" i="172"/>
  <c r="A72" i="172" s="1"/>
  <c r="A75" i="172" s="1"/>
  <c r="A76" i="172" s="1"/>
  <c r="A77" i="172" s="1"/>
  <c r="A78" i="172" s="1"/>
  <c r="A79" i="172" s="1"/>
  <c r="A80" i="172" s="1"/>
  <c r="B26" i="181"/>
  <c r="E25" i="181"/>
  <c r="B28" i="178"/>
  <c r="B32" i="178"/>
  <c r="E32" i="178" s="1"/>
  <c r="E27" i="178"/>
  <c r="B25" i="179"/>
  <c r="E24" i="179"/>
  <c r="C8" i="175"/>
  <c r="E19" i="175"/>
  <c r="B20" i="175"/>
  <c r="A73" i="172"/>
  <c r="B25" i="173"/>
  <c r="E24" i="173"/>
  <c r="C8" i="173"/>
  <c r="E20" i="172"/>
  <c r="B21" i="172"/>
  <c r="E20" i="170"/>
  <c r="B21" i="170"/>
  <c r="A17" i="165"/>
  <c r="A19" i="165" s="1"/>
  <c r="A20" i="165"/>
  <c r="A21" i="165" s="1"/>
  <c r="A22" i="165" s="1"/>
  <c r="A24" i="165" s="1"/>
  <c r="A25" i="165" s="1"/>
  <c r="A26" i="165" s="1"/>
  <c r="A27" i="165" s="1"/>
  <c r="A29" i="165" s="1"/>
  <c r="A30" i="165" s="1"/>
  <c r="A31" i="165" s="1"/>
  <c r="A33" i="165" s="1"/>
  <c r="E20" i="169"/>
  <c r="B21" i="169"/>
  <c r="B18" i="165"/>
  <c r="E18" i="165" s="1"/>
  <c r="E14" i="165"/>
  <c r="B20" i="165"/>
  <c r="A19" i="164"/>
  <c r="B15" i="164"/>
  <c r="B7" i="164"/>
  <c r="G1591" i="2"/>
  <c r="G1592" i="2"/>
  <c r="G1593" i="2"/>
  <c r="G1502" i="2"/>
  <c r="J1502" i="2"/>
  <c r="J36" i="163"/>
  <c r="H36" i="163"/>
  <c r="C36" i="163"/>
  <c r="C37" i="163" s="1"/>
  <c r="D35" i="163"/>
  <c r="D34" i="163"/>
  <c r="D32" i="163"/>
  <c r="D31" i="163"/>
  <c r="D30" i="163"/>
  <c r="D29" i="163"/>
  <c r="D28" i="163"/>
  <c r="D27" i="163"/>
  <c r="D26" i="163"/>
  <c r="D25" i="163"/>
  <c r="D24" i="163"/>
  <c r="D23" i="163"/>
  <c r="D22" i="163"/>
  <c r="I20" i="163"/>
  <c r="I36" i="163" s="1"/>
  <c r="D20" i="163"/>
  <c r="D19" i="163"/>
  <c r="D18" i="163"/>
  <c r="D17" i="163"/>
  <c r="D14" i="163"/>
  <c r="D13" i="163"/>
  <c r="A13" i="163"/>
  <c r="B12" i="163"/>
  <c r="E12" i="163" s="1"/>
  <c r="A8" i="163"/>
  <c r="A7" i="163"/>
  <c r="B2" i="163"/>
  <c r="G1333" i="2"/>
  <c r="J1333" i="2"/>
  <c r="G1334" i="2"/>
  <c r="J1334" i="2"/>
  <c r="G1335" i="2"/>
  <c r="J1335" i="2"/>
  <c r="G1336" i="2"/>
  <c r="J1336" i="2"/>
  <c r="B33" i="187" l="1"/>
  <c r="E32" i="187"/>
  <c r="B30" i="184"/>
  <c r="E29" i="184"/>
  <c r="A81" i="172"/>
  <c r="A82" i="172" s="1"/>
  <c r="A83" i="172" s="1"/>
  <c r="A84" i="172" s="1"/>
  <c r="A85" i="172" s="1"/>
  <c r="A86" i="172" s="1"/>
  <c r="A87" i="172" s="1"/>
  <c r="A88" i="172" s="1"/>
  <c r="E26" i="181"/>
  <c r="B27" i="181"/>
  <c r="B33" i="178"/>
  <c r="E28" i="178"/>
  <c r="B29" i="178"/>
  <c r="B26" i="179"/>
  <c r="E25" i="179"/>
  <c r="B21" i="175"/>
  <c r="E21" i="175" s="1"/>
  <c r="E20" i="175"/>
  <c r="B26" i="173"/>
  <c r="E25" i="173"/>
  <c r="E21" i="172"/>
  <c r="B22" i="172"/>
  <c r="B8" i="165"/>
  <c r="E21" i="170"/>
  <c r="B22" i="170"/>
  <c r="E21" i="169"/>
  <c r="B22" i="169"/>
  <c r="B9" i="165"/>
  <c r="A34" i="165"/>
  <c r="E20" i="165"/>
  <c r="B21" i="165"/>
  <c r="A14" i="163"/>
  <c r="A15" i="163" s="1"/>
  <c r="A20" i="164"/>
  <c r="A21" i="164" s="1"/>
  <c r="A22" i="164" s="1"/>
  <c r="A23" i="164" s="1"/>
  <c r="A24" i="164" s="1"/>
  <c r="B16" i="164"/>
  <c r="E15" i="164"/>
  <c r="C7" i="164"/>
  <c r="B13" i="163"/>
  <c r="E13" i="163" s="1"/>
  <c r="B3" i="163"/>
  <c r="D36" i="163"/>
  <c r="D37" i="163" s="1"/>
  <c r="B34" i="187" l="1"/>
  <c r="E33" i="187"/>
  <c r="E30" i="184"/>
  <c r="B31" i="184"/>
  <c r="A89" i="172"/>
  <c r="B28" i="181"/>
  <c r="E27" i="181"/>
  <c r="E29" i="178"/>
  <c r="B30" i="178"/>
  <c r="B34" i="178"/>
  <c r="E33" i="178"/>
  <c r="E26" i="179"/>
  <c r="B27" i="179"/>
  <c r="E26" i="173"/>
  <c r="B27" i="173"/>
  <c r="E22" i="172"/>
  <c r="B23" i="172"/>
  <c r="B23" i="170"/>
  <c r="E22" i="170"/>
  <c r="E22" i="169"/>
  <c r="B23" i="169"/>
  <c r="E21" i="165"/>
  <c r="B22" i="165"/>
  <c r="A16" i="163"/>
  <c r="B7" i="163"/>
  <c r="B14" i="163"/>
  <c r="B15" i="163" s="1"/>
  <c r="A25" i="164"/>
  <c r="A26" i="164" s="1"/>
  <c r="A27" i="164" s="1"/>
  <c r="A29" i="164" s="1"/>
  <c r="A30" i="164" s="1"/>
  <c r="A31" i="164" s="1"/>
  <c r="A32" i="164" s="1"/>
  <c r="A33" i="164" s="1"/>
  <c r="B8" i="164"/>
  <c r="E16" i="164"/>
  <c r="B17" i="164" s="1"/>
  <c r="E17" i="164" s="1"/>
  <c r="B19" i="164" s="1"/>
  <c r="E19" i="164" s="1"/>
  <c r="B18" i="164"/>
  <c r="E15" i="163"/>
  <c r="A18" i="163"/>
  <c r="A17" i="163" s="1"/>
  <c r="D46" i="161"/>
  <c r="A47" i="161" s="1"/>
  <c r="B47" i="161"/>
  <c r="G1501" i="2"/>
  <c r="J1501" i="2"/>
  <c r="G1588" i="2"/>
  <c r="G1589" i="2"/>
  <c r="G1590" i="2"/>
  <c r="G1586" i="2"/>
  <c r="G1587" i="2"/>
  <c r="G1332" i="2"/>
  <c r="J1332" i="2"/>
  <c r="G1330" i="2"/>
  <c r="J1330" i="2"/>
  <c r="G1329" i="2"/>
  <c r="J1329" i="2"/>
  <c r="G1327" i="2"/>
  <c r="J1327" i="2"/>
  <c r="G1326" i="2"/>
  <c r="J1326" i="2"/>
  <c r="G1328" i="2"/>
  <c r="J1328" i="2"/>
  <c r="G1331" i="2"/>
  <c r="J1331" i="2"/>
  <c r="G1500" i="2"/>
  <c r="J1500" i="2"/>
  <c r="A7" i="161"/>
  <c r="C8" i="178" l="1"/>
  <c r="E34" i="178"/>
  <c r="B35" i="187"/>
  <c r="C7" i="187"/>
  <c r="B32" i="184"/>
  <c r="E31" i="184"/>
  <c r="E28" i="181"/>
  <c r="B29" i="181"/>
  <c r="B35" i="178"/>
  <c r="E35" i="178" s="1"/>
  <c r="B31" i="178"/>
  <c r="E31" i="178" s="1"/>
  <c r="E30" i="178"/>
  <c r="E27" i="179"/>
  <c r="B28" i="179"/>
  <c r="E27" i="173"/>
  <c r="B28" i="173"/>
  <c r="B24" i="172"/>
  <c r="E23" i="172"/>
  <c r="E23" i="170"/>
  <c r="B24" i="170"/>
  <c r="E23" i="169"/>
  <c r="B24" i="169"/>
  <c r="E22" i="165"/>
  <c r="B23" i="165"/>
  <c r="E14" i="163"/>
  <c r="B16" i="163"/>
  <c r="C7" i="163"/>
  <c r="B9" i="164"/>
  <c r="E18" i="164"/>
  <c r="B20" i="164"/>
  <c r="A20" i="163"/>
  <c r="A21" i="163" s="1"/>
  <c r="A22" i="163" s="1"/>
  <c r="A23" i="163" s="1"/>
  <c r="A24" i="163" s="1"/>
  <c r="A19" i="163"/>
  <c r="G1325" i="2"/>
  <c r="J1325" i="2"/>
  <c r="E35" i="187" l="1"/>
  <c r="B36" i="187"/>
  <c r="E32" i="184"/>
  <c r="B33" i="184"/>
  <c r="E29" i="181"/>
  <c r="B30" i="181"/>
  <c r="B29" i="179"/>
  <c r="B30" i="179" s="1"/>
  <c r="B31" i="179" s="1"/>
  <c r="E28" i="179"/>
  <c r="E28" i="173"/>
  <c r="B29" i="173"/>
  <c r="B25" i="172"/>
  <c r="E24" i="172"/>
  <c r="B25" i="170"/>
  <c r="C8" i="170"/>
  <c r="E24" i="170"/>
  <c r="B25" i="169"/>
  <c r="E25" i="169" s="1"/>
  <c r="E24" i="169"/>
  <c r="B26" i="169"/>
  <c r="C8" i="169"/>
  <c r="E23" i="165"/>
  <c r="B24" i="165"/>
  <c r="E16" i="163"/>
  <c r="B17" i="163" s="1"/>
  <c r="E17" i="163" s="1"/>
  <c r="B19" i="163" s="1"/>
  <c r="E19" i="163" s="1"/>
  <c r="B18" i="163"/>
  <c r="E20" i="164"/>
  <c r="B21" i="164"/>
  <c r="A25" i="163"/>
  <c r="A26" i="163" s="1"/>
  <c r="A27" i="163" s="1"/>
  <c r="A28" i="163" s="1"/>
  <c r="B8" i="163"/>
  <c r="A10" i="161"/>
  <c r="A9" i="161"/>
  <c r="A8" i="161"/>
  <c r="K71" i="161"/>
  <c r="J71" i="161"/>
  <c r="I71" i="161"/>
  <c r="O71" i="161" s="1"/>
  <c r="H71" i="161"/>
  <c r="O70" i="161" s="1"/>
  <c r="C72" i="161"/>
  <c r="D71" i="161"/>
  <c r="L70" i="161"/>
  <c r="D70" i="161"/>
  <c r="D68" i="161"/>
  <c r="D66" i="161"/>
  <c r="D65" i="161"/>
  <c r="L64" i="161"/>
  <c r="D64" i="161"/>
  <c r="D63" i="161"/>
  <c r="L62" i="161"/>
  <c r="D62" i="161"/>
  <c r="D61" i="161"/>
  <c r="L60" i="161"/>
  <c r="D60" i="161"/>
  <c r="L58" i="161"/>
  <c r="D58" i="161"/>
  <c r="L57" i="161"/>
  <c r="D57" i="161"/>
  <c r="L59" i="161"/>
  <c r="D59" i="161"/>
  <c r="L54" i="161"/>
  <c r="D54" i="161"/>
  <c r="D53" i="161"/>
  <c r="D50" i="161"/>
  <c r="D48" i="161"/>
  <c r="L47" i="161"/>
  <c r="D45" i="161"/>
  <c r="L44" i="161"/>
  <c r="D44" i="161"/>
  <c r="L43" i="161"/>
  <c r="D43" i="161"/>
  <c r="L42" i="161"/>
  <c r="D42" i="161"/>
  <c r="L41" i="161"/>
  <c r="D41" i="161"/>
  <c r="L40" i="161"/>
  <c r="D40" i="161"/>
  <c r="L39" i="161"/>
  <c r="D39" i="161"/>
  <c r="L38" i="161"/>
  <c r="D38" i="161"/>
  <c r="M37" i="161"/>
  <c r="O38" i="161" s="1"/>
  <c r="D37" i="161"/>
  <c r="L36" i="161"/>
  <c r="D36" i="161"/>
  <c r="L17" i="161"/>
  <c r="D17" i="161"/>
  <c r="O17" i="161"/>
  <c r="D18" i="161"/>
  <c r="L18" i="161"/>
  <c r="D19" i="161"/>
  <c r="D20" i="161"/>
  <c r="L20" i="161"/>
  <c r="D21" i="161"/>
  <c r="L21" i="161"/>
  <c r="D22" i="161"/>
  <c r="L22" i="161"/>
  <c r="D23" i="161"/>
  <c r="L23" i="161"/>
  <c r="D24" i="161"/>
  <c r="L24" i="161"/>
  <c r="D26" i="161"/>
  <c r="D25" i="161"/>
  <c r="L25" i="161"/>
  <c r="D27" i="161"/>
  <c r="D28" i="161"/>
  <c r="L16" i="161"/>
  <c r="D16" i="161"/>
  <c r="D31" i="161"/>
  <c r="O16" i="161"/>
  <c r="O88" i="161"/>
  <c r="O87" i="161"/>
  <c r="O59" i="161"/>
  <c r="O58" i="161"/>
  <c r="O40" i="161"/>
  <c r="L33" i="161"/>
  <c r="D33" i="161"/>
  <c r="O39" i="161"/>
  <c r="D32" i="161"/>
  <c r="O29" i="161"/>
  <c r="O28" i="161"/>
  <c r="L15" i="161"/>
  <c r="D15" i="161"/>
  <c r="A15" i="161"/>
  <c r="B3" i="161"/>
  <c r="B15" i="161" s="1"/>
  <c r="E15" i="161" s="1"/>
  <c r="E31" i="190" l="1"/>
  <c r="E36" i="187"/>
  <c r="B37" i="187"/>
  <c r="B34" i="184"/>
  <c r="E33" i="184"/>
  <c r="E30" i="179"/>
  <c r="B31" i="181"/>
  <c r="E30" i="181"/>
  <c r="E29" i="179"/>
  <c r="E29" i="173"/>
  <c r="B30" i="173"/>
  <c r="B27" i="172"/>
  <c r="B26" i="172"/>
  <c r="E25" i="172"/>
  <c r="E25" i="170"/>
  <c r="B26" i="170"/>
  <c r="B27" i="170" s="1"/>
  <c r="B29" i="170" s="1"/>
  <c r="B30" i="170" s="1"/>
  <c r="B31" i="170" s="1"/>
  <c r="B32" i="170" s="1"/>
  <c r="B33" i="170" s="1"/>
  <c r="B34" i="170" s="1"/>
  <c r="B27" i="169"/>
  <c r="E26" i="169"/>
  <c r="E24" i="165"/>
  <c r="B26" i="165"/>
  <c r="B25" i="165"/>
  <c r="E25" i="165" s="1"/>
  <c r="C8" i="165"/>
  <c r="A29" i="163"/>
  <c r="A30" i="163" s="1"/>
  <c r="A31" i="163" s="1"/>
  <c r="A32" i="163" s="1"/>
  <c r="E18" i="163"/>
  <c r="B20" i="163"/>
  <c r="B22" i="164"/>
  <c r="E22" i="164" s="1"/>
  <c r="E21" i="164"/>
  <c r="L71" i="161"/>
  <c r="N95" i="161" s="1"/>
  <c r="C73" i="161"/>
  <c r="A16" i="161"/>
  <c r="A17" i="161" s="1"/>
  <c r="A18" i="161" s="1"/>
  <c r="A19" i="161" s="1"/>
  <c r="A20" i="161" s="1"/>
  <c r="A21" i="161" s="1"/>
  <c r="A22" i="161" s="1"/>
  <c r="A23" i="161" s="1"/>
  <c r="A24" i="161" s="1"/>
  <c r="A26" i="161" s="1"/>
  <c r="A25" i="161" s="1"/>
  <c r="A27" i="161" s="1"/>
  <c r="A28" i="161" s="1"/>
  <c r="A29" i="161" s="1"/>
  <c r="A30" i="161" s="1"/>
  <c r="A31" i="161" s="1"/>
  <c r="A32" i="161" s="1"/>
  <c r="A33" i="161" s="1"/>
  <c r="A35" i="161" s="1"/>
  <c r="A36" i="161" s="1"/>
  <c r="A37" i="161" s="1"/>
  <c r="A38" i="161" s="1"/>
  <c r="A39" i="161" s="1"/>
  <c r="A40" i="161" s="1"/>
  <c r="A41" i="161" s="1"/>
  <c r="A42" i="161" s="1"/>
  <c r="A43" i="161" s="1"/>
  <c r="A44" i="161" s="1"/>
  <c r="A45" i="161" s="1"/>
  <c r="A48" i="161" s="1"/>
  <c r="A49" i="161" s="1"/>
  <c r="A50" i="161" s="1"/>
  <c r="B16" i="161"/>
  <c r="O60" i="161"/>
  <c r="O41" i="161"/>
  <c r="O18" i="161"/>
  <c r="O31" i="161"/>
  <c r="D72" i="161"/>
  <c r="D73" i="161" s="1"/>
  <c r="O89" i="161"/>
  <c r="E37" i="187" l="1"/>
  <c r="B38" i="187"/>
  <c r="B39" i="187" s="1"/>
  <c r="E34" i="184"/>
  <c r="B35" i="184"/>
  <c r="E31" i="181"/>
  <c r="B32" i="181"/>
  <c r="E30" i="173"/>
  <c r="B31" i="173"/>
  <c r="B7" i="172"/>
  <c r="C7" i="172"/>
  <c r="E27" i="172"/>
  <c r="B28" i="172"/>
  <c r="E26" i="170"/>
  <c r="E27" i="170"/>
  <c r="B28" i="169"/>
  <c r="E27" i="169"/>
  <c r="B27" i="165"/>
  <c r="B28" i="165" s="1"/>
  <c r="E26" i="165"/>
  <c r="A33" i="163"/>
  <c r="A34" i="163" s="1"/>
  <c r="B9" i="163" s="1"/>
  <c r="E20" i="163"/>
  <c r="B21" i="163"/>
  <c r="B23" i="164"/>
  <c r="O72" i="161"/>
  <c r="A46" i="161"/>
  <c r="A51" i="161"/>
  <c r="A52" i="161" s="1"/>
  <c r="A53" i="161" s="1"/>
  <c r="A54" i="161" s="1"/>
  <c r="A56" i="161" s="1"/>
  <c r="E16" i="161"/>
  <c r="B17" i="161"/>
  <c r="B7" i="161"/>
  <c r="G1321" i="2"/>
  <c r="J1321" i="2"/>
  <c r="G1322" i="2"/>
  <c r="J1322" i="2"/>
  <c r="G1323" i="2"/>
  <c r="J1323" i="2"/>
  <c r="G1324" i="2"/>
  <c r="J1324" i="2"/>
  <c r="E33" i="190" l="1"/>
  <c r="B40" i="187"/>
  <c r="E40" i="187" s="1"/>
  <c r="E39" i="187"/>
  <c r="E38" i="187"/>
  <c r="E35" i="184"/>
  <c r="B36" i="184"/>
  <c r="C7" i="184" s="1"/>
  <c r="E32" i="181"/>
  <c r="B33" i="181"/>
  <c r="E31" i="179"/>
  <c r="B32" i="179"/>
  <c r="E31" i="173"/>
  <c r="B32" i="173"/>
  <c r="B33" i="173" s="1"/>
  <c r="E28" i="172"/>
  <c r="B29" i="172"/>
  <c r="E28" i="170"/>
  <c r="E28" i="169"/>
  <c r="B29" i="169"/>
  <c r="E27" i="165"/>
  <c r="A35" i="163"/>
  <c r="B22" i="163"/>
  <c r="E21" i="163"/>
  <c r="E23" i="164"/>
  <c r="B24" i="164"/>
  <c r="A57" i="161"/>
  <c r="A58" i="161" s="1"/>
  <c r="A59" i="161" s="1"/>
  <c r="A60" i="161" s="1"/>
  <c r="A61" i="161" s="1"/>
  <c r="A62" i="161" s="1"/>
  <c r="A63" i="161" s="1"/>
  <c r="A64" i="161" s="1"/>
  <c r="A65" i="161" s="1"/>
  <c r="A66" i="161" s="1"/>
  <c r="A67" i="161" s="1"/>
  <c r="A68" i="161" s="1"/>
  <c r="E17" i="161"/>
  <c r="B18" i="161"/>
  <c r="B8" i="161"/>
  <c r="G1438" i="2"/>
  <c r="J1438" i="2"/>
  <c r="J1437" i="2"/>
  <c r="J1320" i="2"/>
  <c r="G1319" i="2"/>
  <c r="J1439" i="2"/>
  <c r="J1319" i="2"/>
  <c r="J1318" i="2"/>
  <c r="J1317" i="2"/>
  <c r="J1316" i="2"/>
  <c r="J1315" i="2"/>
  <c r="G1315" i="2"/>
  <c r="J1314" i="2"/>
  <c r="G1314" i="2"/>
  <c r="B11" i="159"/>
  <c r="B41" i="187" l="1"/>
  <c r="E36" i="184"/>
  <c r="B37" i="184"/>
  <c r="B34" i="181"/>
  <c r="E33" i="181"/>
  <c r="B33" i="179"/>
  <c r="E32" i="179"/>
  <c r="E33" i="173"/>
  <c r="B34" i="173"/>
  <c r="E32" i="173"/>
  <c r="E29" i="172"/>
  <c r="B30" i="172"/>
  <c r="E29" i="170"/>
  <c r="E29" i="169"/>
  <c r="B30" i="169"/>
  <c r="E28" i="165"/>
  <c r="B29" i="165"/>
  <c r="E22" i="163"/>
  <c r="B23" i="163"/>
  <c r="E24" i="164"/>
  <c r="C8" i="164"/>
  <c r="E25" i="164"/>
  <c r="E18" i="161"/>
  <c r="B19" i="161"/>
  <c r="B9" i="161"/>
  <c r="J1311" i="2"/>
  <c r="J1312" i="2"/>
  <c r="J1313" i="2"/>
  <c r="J1310" i="2"/>
  <c r="G1310" i="2"/>
  <c r="J1585" i="2"/>
  <c r="J1584" i="2"/>
  <c r="J1583" i="2"/>
  <c r="B41" i="159"/>
  <c r="K36" i="159"/>
  <c r="J36" i="159"/>
  <c r="I36" i="159"/>
  <c r="H36" i="159"/>
  <c r="C36" i="159"/>
  <c r="C37" i="159" s="1"/>
  <c r="D35" i="159"/>
  <c r="D34" i="159"/>
  <c r="D33" i="159"/>
  <c r="D29" i="159"/>
  <c r="D28" i="159"/>
  <c r="D27" i="159"/>
  <c r="M26" i="159"/>
  <c r="O26" i="159" s="1"/>
  <c r="D25" i="159"/>
  <c r="D24" i="159"/>
  <c r="D23" i="159"/>
  <c r="D22" i="159"/>
  <c r="M20" i="159"/>
  <c r="D19" i="159"/>
  <c r="D18" i="159"/>
  <c r="L17" i="159"/>
  <c r="O17" i="159" s="1"/>
  <c r="D17" i="159"/>
  <c r="M16" i="159"/>
  <c r="D16" i="159"/>
  <c r="L14" i="159"/>
  <c r="L36" i="159" s="1"/>
  <c r="D14" i="159"/>
  <c r="O13" i="159"/>
  <c r="D13" i="159"/>
  <c r="D12" i="159"/>
  <c r="D11" i="159"/>
  <c r="E11" i="159"/>
  <c r="A8" i="159"/>
  <c r="A7" i="159"/>
  <c r="B3" i="159"/>
  <c r="B2" i="159"/>
  <c r="E34" i="190" l="1"/>
  <c r="B35" i="190"/>
  <c r="B42" i="187"/>
  <c r="E41" i="187"/>
  <c r="B38" i="184"/>
  <c r="E37" i="184"/>
  <c r="E34" i="181"/>
  <c r="B35" i="181"/>
  <c r="E33" i="179"/>
  <c r="B34" i="179"/>
  <c r="C9" i="173"/>
  <c r="E34" i="173"/>
  <c r="B35" i="173"/>
  <c r="E35" i="173" s="1"/>
  <c r="E30" i="172"/>
  <c r="B31" i="172"/>
  <c r="E30" i="170"/>
  <c r="E30" i="169"/>
  <c r="B31" i="169"/>
  <c r="E29" i="165"/>
  <c r="B30" i="165"/>
  <c r="E23" i="163"/>
  <c r="B24" i="163"/>
  <c r="E26" i="164"/>
  <c r="O25" i="159"/>
  <c r="E19" i="161"/>
  <c r="B20" i="161"/>
  <c r="M36" i="159"/>
  <c r="D36" i="159"/>
  <c r="D37" i="159" s="1"/>
  <c r="A12" i="159"/>
  <c r="A13" i="159" s="1"/>
  <c r="A14" i="159" s="1"/>
  <c r="O12" i="159"/>
  <c r="O18" i="159"/>
  <c r="B12" i="159"/>
  <c r="E12" i="159" s="1"/>
  <c r="G1499" i="2"/>
  <c r="J1499" i="2"/>
  <c r="G1309" i="2"/>
  <c r="J1309" i="2"/>
  <c r="G1306" i="2"/>
  <c r="J1306" i="2"/>
  <c r="G1307" i="2"/>
  <c r="J1307" i="2"/>
  <c r="G1308" i="2"/>
  <c r="J1308" i="2"/>
  <c r="E35" i="190" l="1"/>
  <c r="B36" i="190"/>
  <c r="B43" i="187"/>
  <c r="C8" i="187"/>
  <c r="B39" i="184"/>
  <c r="E38" i="184"/>
  <c r="B36" i="181"/>
  <c r="E35" i="181"/>
  <c r="C7" i="181"/>
  <c r="E34" i="179"/>
  <c r="B35" i="179"/>
  <c r="E31" i="172"/>
  <c r="B32" i="172"/>
  <c r="E31" i="170"/>
  <c r="E31" i="169"/>
  <c r="B32" i="169"/>
  <c r="E30" i="165"/>
  <c r="B31" i="165"/>
  <c r="E24" i="163"/>
  <c r="B25" i="163"/>
  <c r="E25" i="163" s="1"/>
  <c r="B26" i="163"/>
  <c r="C8" i="163"/>
  <c r="B28" i="164"/>
  <c r="B21" i="161"/>
  <c r="E20" i="161"/>
  <c r="B13" i="159"/>
  <c r="E13" i="159" s="1"/>
  <c r="A22" i="159"/>
  <c r="A23" i="159" s="1"/>
  <c r="A24" i="159" s="1"/>
  <c r="A25" i="159" s="1"/>
  <c r="A26" i="159" s="1"/>
  <c r="A27" i="159" s="1"/>
  <c r="B16" i="159"/>
  <c r="A16" i="159"/>
  <c r="A17" i="159" s="1"/>
  <c r="A18" i="159" s="1"/>
  <c r="A19" i="159" s="1"/>
  <c r="A20" i="159" s="1"/>
  <c r="A21" i="159" s="1"/>
  <c r="C7" i="159"/>
  <c r="B7" i="159"/>
  <c r="F1583" i="2" s="1"/>
  <c r="G1583" i="2" s="1"/>
  <c r="J1305" i="2"/>
  <c r="J1303" i="2"/>
  <c r="J1304" i="2"/>
  <c r="J1582" i="2"/>
  <c r="J1581" i="2"/>
  <c r="J1580" i="2"/>
  <c r="E36" i="190" l="1"/>
  <c r="B37" i="190"/>
  <c r="B44" i="187"/>
  <c r="E43" i="187"/>
  <c r="E39" i="184"/>
  <c r="B40" i="184"/>
  <c r="E36" i="181"/>
  <c r="B37" i="181"/>
  <c r="E35" i="179"/>
  <c r="C7" i="179"/>
  <c r="B36" i="179"/>
  <c r="E32" i="172"/>
  <c r="B33" i="172"/>
  <c r="E32" i="170"/>
  <c r="B33" i="169"/>
  <c r="E32" i="169"/>
  <c r="E31" i="165"/>
  <c r="B32" i="165"/>
  <c r="B27" i="163"/>
  <c r="B28" i="163" s="1"/>
  <c r="E26" i="163"/>
  <c r="E28" i="164"/>
  <c r="B29" i="164"/>
  <c r="B22" i="161"/>
  <c r="E21" i="161"/>
  <c r="B14" i="159"/>
  <c r="E14" i="159" s="1"/>
  <c r="E16" i="159"/>
  <c r="B17" i="159"/>
  <c r="A28" i="159"/>
  <c r="A29" i="159" s="1"/>
  <c r="A30" i="159" s="1"/>
  <c r="A31" i="159" s="1"/>
  <c r="A32" i="159"/>
  <c r="A33" i="159" s="1"/>
  <c r="A34" i="159" s="1"/>
  <c r="G1498" i="2"/>
  <c r="J1498" i="2"/>
  <c r="B38" i="190" l="1"/>
  <c r="E37" i="190"/>
  <c r="E44" i="187"/>
  <c r="B45" i="187"/>
  <c r="B41" i="184"/>
  <c r="E40" i="184"/>
  <c r="E37" i="181"/>
  <c r="B38" i="181"/>
  <c r="B37" i="179"/>
  <c r="E36" i="179"/>
  <c r="E33" i="172"/>
  <c r="B35" i="172"/>
  <c r="B34" i="172"/>
  <c r="E33" i="170"/>
  <c r="C9" i="170"/>
  <c r="E34" i="170"/>
  <c r="B34" i="169"/>
  <c r="E34" i="169" s="1"/>
  <c r="E33" i="169"/>
  <c r="C9" i="169"/>
  <c r="E32" i="165"/>
  <c r="B33" i="165"/>
  <c r="E27" i="163"/>
  <c r="E29" i="164"/>
  <c r="B30" i="164"/>
  <c r="B23" i="161"/>
  <c r="E22" i="161"/>
  <c r="B22" i="159"/>
  <c r="E22" i="159" s="1"/>
  <c r="B8" i="159"/>
  <c r="F1584" i="2" s="1"/>
  <c r="G1584" i="2" s="1"/>
  <c r="A35" i="159"/>
  <c r="F1585" i="2" s="1"/>
  <c r="G1585" i="2" s="1"/>
  <c r="E17" i="159"/>
  <c r="B18" i="159"/>
  <c r="G1497" i="2"/>
  <c r="J1497" i="2"/>
  <c r="G1293" i="2"/>
  <c r="J1293" i="2"/>
  <c r="G1294" i="2"/>
  <c r="J1294" i="2"/>
  <c r="G1295" i="2"/>
  <c r="J1295" i="2"/>
  <c r="G1556" i="2"/>
  <c r="J1556" i="2"/>
  <c r="G1557" i="2"/>
  <c r="J1557" i="2"/>
  <c r="B39" i="190" l="1"/>
  <c r="E38" i="190"/>
  <c r="E45" i="187"/>
  <c r="B47" i="187"/>
  <c r="B42" i="184"/>
  <c r="E41" i="184"/>
  <c r="B39" i="181"/>
  <c r="E38" i="181"/>
  <c r="B38" i="179"/>
  <c r="E37" i="179"/>
  <c r="C8" i="172"/>
  <c r="B8" i="172"/>
  <c r="E35" i="172"/>
  <c r="B36" i="172"/>
  <c r="E33" i="165"/>
  <c r="C9" i="165"/>
  <c r="B34" i="165"/>
  <c r="E34" i="165" s="1"/>
  <c r="E28" i="163"/>
  <c r="B29" i="163"/>
  <c r="E30" i="164"/>
  <c r="B31" i="164"/>
  <c r="E23" i="161"/>
  <c r="B24" i="161"/>
  <c r="B23" i="159"/>
  <c r="E23" i="159" s="1"/>
  <c r="B24" i="159"/>
  <c r="B19" i="159"/>
  <c r="E18" i="159"/>
  <c r="G1297" i="2"/>
  <c r="J1297" i="2"/>
  <c r="G1298" i="2"/>
  <c r="J1298" i="2"/>
  <c r="G1299" i="2"/>
  <c r="J1299" i="2"/>
  <c r="G1300" i="2"/>
  <c r="J1300" i="2"/>
  <c r="G1301" i="2"/>
  <c r="J1301" i="2"/>
  <c r="B41" i="158"/>
  <c r="K36" i="158"/>
  <c r="J36" i="158"/>
  <c r="I36" i="158"/>
  <c r="H36" i="158"/>
  <c r="C36" i="158"/>
  <c r="C37" i="158" s="1"/>
  <c r="D35" i="158"/>
  <c r="D34" i="158"/>
  <c r="D33" i="158"/>
  <c r="D29" i="158"/>
  <c r="D28" i="158"/>
  <c r="D27" i="158"/>
  <c r="M26" i="158"/>
  <c r="O25" i="158" s="1"/>
  <c r="D25" i="158"/>
  <c r="D24" i="158"/>
  <c r="D23" i="158"/>
  <c r="D22" i="158"/>
  <c r="M20" i="158"/>
  <c r="D19" i="158"/>
  <c r="D18" i="158"/>
  <c r="L17" i="158"/>
  <c r="O17" i="158" s="1"/>
  <c r="D17" i="158"/>
  <c r="M16" i="158"/>
  <c r="D16" i="158"/>
  <c r="L14" i="158"/>
  <c r="D14" i="158"/>
  <c r="O13" i="158"/>
  <c r="D13" i="158"/>
  <c r="D12" i="158"/>
  <c r="D11" i="158"/>
  <c r="B11" i="158"/>
  <c r="E11" i="158" s="1"/>
  <c r="A8" i="158"/>
  <c r="A7" i="158"/>
  <c r="B3" i="158"/>
  <c r="B2" i="158"/>
  <c r="B40" i="190" l="1"/>
  <c r="E39" i="190"/>
  <c r="B48" i="187"/>
  <c r="E47" i="187"/>
  <c r="B43" i="184"/>
  <c r="E42" i="184"/>
  <c r="E39" i="181"/>
  <c r="B40" i="181"/>
  <c r="E38" i="179"/>
  <c r="B39" i="179"/>
  <c r="E36" i="172"/>
  <c r="B37" i="172"/>
  <c r="E29" i="163"/>
  <c r="B30" i="163"/>
  <c r="E31" i="164"/>
  <c r="B32" i="164"/>
  <c r="L36" i="158"/>
  <c r="B26" i="161"/>
  <c r="E24" i="161"/>
  <c r="O18" i="158"/>
  <c r="B42" i="159"/>
  <c r="B25" i="159"/>
  <c r="E24" i="159"/>
  <c r="B20" i="159"/>
  <c r="E19" i="159"/>
  <c r="O12" i="158"/>
  <c r="D36" i="158"/>
  <c r="D37" i="158" s="1"/>
  <c r="O26" i="158"/>
  <c r="A12" i="158"/>
  <c r="A13" i="158" s="1"/>
  <c r="A14" i="158" s="1"/>
  <c r="M36" i="158"/>
  <c r="B12" i="158"/>
  <c r="G1496" i="2"/>
  <c r="J1496" i="2"/>
  <c r="G1288" i="2"/>
  <c r="J1288" i="2"/>
  <c r="G1289" i="2"/>
  <c r="J1289" i="2"/>
  <c r="G1290" i="2"/>
  <c r="J1290" i="2"/>
  <c r="G1291" i="2"/>
  <c r="J1291" i="2"/>
  <c r="G1292" i="2"/>
  <c r="J1292" i="2"/>
  <c r="G1296" i="2"/>
  <c r="J1296" i="2"/>
  <c r="G1302" i="2"/>
  <c r="J1302" i="2"/>
  <c r="E40" i="190" l="1"/>
  <c r="B41" i="190"/>
  <c r="E48" i="187"/>
  <c r="B49" i="187"/>
  <c r="B44" i="184"/>
  <c r="E43" i="184"/>
  <c r="B41" i="181"/>
  <c r="E40" i="181"/>
  <c r="B40" i="179"/>
  <c r="E39" i="179"/>
  <c r="E37" i="172"/>
  <c r="B38" i="172"/>
  <c r="E30" i="163"/>
  <c r="B31" i="163"/>
  <c r="E32" i="164"/>
  <c r="B33" i="164"/>
  <c r="E26" i="161"/>
  <c r="B25" i="161"/>
  <c r="B21" i="159"/>
  <c r="E21" i="159" s="1"/>
  <c r="E20" i="159"/>
  <c r="E25" i="159"/>
  <c r="B26" i="159"/>
  <c r="B16" i="158"/>
  <c r="A16" i="158"/>
  <c r="A17" i="158" s="1"/>
  <c r="A18" i="158" s="1"/>
  <c r="A19" i="158" s="1"/>
  <c r="A20" i="158" s="1"/>
  <c r="A21" i="158" s="1"/>
  <c r="A22" i="158"/>
  <c r="A23" i="158" s="1"/>
  <c r="A24" i="158" s="1"/>
  <c r="A25" i="158" s="1"/>
  <c r="A26" i="158" s="1"/>
  <c r="A27" i="158" s="1"/>
  <c r="B13" i="158"/>
  <c r="E12" i="158"/>
  <c r="G1495" i="2"/>
  <c r="J1495" i="2"/>
  <c r="G1283" i="2"/>
  <c r="J1283" i="2"/>
  <c r="G1284" i="2"/>
  <c r="J1284" i="2"/>
  <c r="G1285" i="2"/>
  <c r="J1285" i="2"/>
  <c r="G1286" i="2"/>
  <c r="J1286" i="2"/>
  <c r="G1287" i="2"/>
  <c r="J1287" i="2"/>
  <c r="B43" i="157"/>
  <c r="K38" i="157"/>
  <c r="J38" i="157"/>
  <c r="I38" i="157"/>
  <c r="H38" i="157"/>
  <c r="C38" i="157"/>
  <c r="C39" i="157" s="1"/>
  <c r="D37" i="157"/>
  <c r="D36" i="157"/>
  <c r="D35" i="157"/>
  <c r="D30" i="157"/>
  <c r="D29" i="157"/>
  <c r="D28" i="157"/>
  <c r="M27" i="157"/>
  <c r="O27" i="157" s="1"/>
  <c r="O26" i="157"/>
  <c r="D26" i="157"/>
  <c r="D24" i="157"/>
  <c r="D23" i="157"/>
  <c r="D22" i="157"/>
  <c r="M20" i="157"/>
  <c r="D19" i="157"/>
  <c r="D18" i="157"/>
  <c r="L17" i="157"/>
  <c r="O17" i="157" s="1"/>
  <c r="D17" i="157"/>
  <c r="M16" i="157"/>
  <c r="D16" i="157"/>
  <c r="L14" i="157"/>
  <c r="D14" i="157"/>
  <c r="O13" i="157"/>
  <c r="D13" i="157"/>
  <c r="D12" i="157"/>
  <c r="D11" i="157"/>
  <c r="A12" i="157" s="1"/>
  <c r="B11" i="157"/>
  <c r="E11" i="157" s="1"/>
  <c r="A8" i="157"/>
  <c r="A7" i="157"/>
  <c r="B3" i="157"/>
  <c r="B2" i="157"/>
  <c r="E41" i="190" l="1"/>
  <c r="B42" i="190"/>
  <c r="E49" i="187"/>
  <c r="B50" i="187"/>
  <c r="B45" i="184"/>
  <c r="E44" i="184"/>
  <c r="B42" i="181"/>
  <c r="E41" i="181"/>
  <c r="B41" i="179"/>
  <c r="E40" i="179"/>
  <c r="E38" i="172"/>
  <c r="B40" i="172"/>
  <c r="E31" i="163"/>
  <c r="B32" i="163"/>
  <c r="B33" i="163" s="1"/>
  <c r="E33" i="163" s="1"/>
  <c r="C9" i="164"/>
  <c r="E33" i="164"/>
  <c r="B34" i="164"/>
  <c r="E34" i="164" s="1"/>
  <c r="B27" i="161"/>
  <c r="E25" i="161"/>
  <c r="B27" i="159"/>
  <c r="E26" i="159"/>
  <c r="L38" i="157"/>
  <c r="C7" i="158"/>
  <c r="E13" i="158"/>
  <c r="B14" i="158"/>
  <c r="B7" i="158"/>
  <c r="F1580" i="2" s="1"/>
  <c r="A32" i="158"/>
  <c r="A33" i="158" s="1"/>
  <c r="A34" i="158" s="1"/>
  <c r="G1581" i="2" s="1"/>
  <c r="A28" i="158"/>
  <c r="A29" i="158" s="1"/>
  <c r="A30" i="158" s="1"/>
  <c r="A31" i="158" s="1"/>
  <c r="E16" i="158"/>
  <c r="B17" i="158"/>
  <c r="M38" i="157"/>
  <c r="O12" i="157"/>
  <c r="B12" i="157"/>
  <c r="E12" i="157" s="1"/>
  <c r="D38" i="157"/>
  <c r="D39" i="157" s="1"/>
  <c r="O18" i="157"/>
  <c r="A13" i="157"/>
  <c r="A14" i="157" s="1"/>
  <c r="G1494" i="2"/>
  <c r="J1494" i="2"/>
  <c r="G1280" i="2"/>
  <c r="J1280" i="2"/>
  <c r="G1281" i="2"/>
  <c r="J1281" i="2"/>
  <c r="G1282" i="2"/>
  <c r="J1282" i="2"/>
  <c r="B43" i="190" l="1"/>
  <c r="E42" i="190"/>
  <c r="E50" i="187"/>
  <c r="B51" i="187"/>
  <c r="B46" i="184"/>
  <c r="E45" i="184"/>
  <c r="B43" i="181"/>
  <c r="E42" i="181"/>
  <c r="B42" i="179"/>
  <c r="E41" i="179"/>
  <c r="B41" i="172"/>
  <c r="E40" i="172"/>
  <c r="B34" i="163"/>
  <c r="C9" i="163" s="1"/>
  <c r="E32" i="163"/>
  <c r="E27" i="161"/>
  <c r="B28" i="161"/>
  <c r="E27" i="159"/>
  <c r="B28" i="159"/>
  <c r="B32" i="159"/>
  <c r="B18" i="158"/>
  <c r="E17" i="158"/>
  <c r="B8" i="158"/>
  <c r="F1581" i="2" s="1"/>
  <c r="A35" i="158"/>
  <c r="E14" i="158"/>
  <c r="B22" i="158"/>
  <c r="B13" i="157"/>
  <c r="B7" i="157" s="1"/>
  <c r="B16" i="157"/>
  <c r="A22" i="157"/>
  <c r="A23" i="157" s="1"/>
  <c r="A24" i="157" s="1"/>
  <c r="A16" i="157"/>
  <c r="A17" i="157" s="1"/>
  <c r="A18" i="157" s="1"/>
  <c r="A19" i="157" s="1"/>
  <c r="A20" i="157" s="1"/>
  <c r="A21" i="157" s="1"/>
  <c r="C7" i="157"/>
  <c r="G1493" i="2"/>
  <c r="J1493" i="2"/>
  <c r="G1275" i="2"/>
  <c r="J1275" i="2"/>
  <c r="G1276" i="2"/>
  <c r="J1276" i="2"/>
  <c r="G1277" i="2"/>
  <c r="J1277" i="2"/>
  <c r="G1278" i="2"/>
  <c r="J1278" i="2"/>
  <c r="G1279" i="2"/>
  <c r="J1279" i="2"/>
  <c r="E43" i="190" l="1"/>
  <c r="B44" i="190"/>
  <c r="B52" i="187"/>
  <c r="E51" i="187"/>
  <c r="B47" i="184"/>
  <c r="E46" i="184"/>
  <c r="E43" i="181"/>
  <c r="B44" i="181"/>
  <c r="B43" i="179"/>
  <c r="E42" i="179"/>
  <c r="E41" i="172"/>
  <c r="B42" i="172"/>
  <c r="E34" i="163"/>
  <c r="B35" i="163"/>
  <c r="E35" i="163" s="1"/>
  <c r="B29" i="161"/>
  <c r="E28" i="161"/>
  <c r="E32" i="159"/>
  <c r="B33" i="159"/>
  <c r="B29" i="159"/>
  <c r="E28" i="159"/>
  <c r="F1582" i="2"/>
  <c r="G1582" i="2"/>
  <c r="B14" i="157"/>
  <c r="B22" i="157" s="1"/>
  <c r="E18" i="158"/>
  <c r="B19" i="158"/>
  <c r="E22" i="158"/>
  <c r="B23" i="158"/>
  <c r="A25" i="157"/>
  <c r="A26" i="157" s="1"/>
  <c r="A27" i="157" s="1"/>
  <c r="E13" i="157"/>
  <c r="E16" i="157"/>
  <c r="B17" i="157"/>
  <c r="E14" i="157"/>
  <c r="B41" i="156"/>
  <c r="K36" i="156"/>
  <c r="J36" i="156"/>
  <c r="I36" i="156"/>
  <c r="H36" i="156"/>
  <c r="C36" i="156"/>
  <c r="C37" i="156" s="1"/>
  <c r="D35" i="156"/>
  <c r="D34" i="156"/>
  <c r="D33" i="156"/>
  <c r="D29" i="156"/>
  <c r="D28" i="156"/>
  <c r="D27" i="156"/>
  <c r="M26" i="156"/>
  <c r="O26" i="156" s="1"/>
  <c r="D25" i="156"/>
  <c r="D24" i="156"/>
  <c r="D23" i="156"/>
  <c r="D22" i="156"/>
  <c r="M20" i="156"/>
  <c r="D19" i="156"/>
  <c r="D18" i="156"/>
  <c r="L17" i="156"/>
  <c r="O17" i="156" s="1"/>
  <c r="D17" i="156"/>
  <c r="M16" i="156"/>
  <c r="D16" i="156"/>
  <c r="L14" i="156"/>
  <c r="O12" i="156" s="1"/>
  <c r="D14" i="156"/>
  <c r="O13" i="156"/>
  <c r="D13" i="156"/>
  <c r="D12" i="156"/>
  <c r="D11" i="156"/>
  <c r="A12" i="156" s="1"/>
  <c r="B11" i="156"/>
  <c r="E11" i="156" s="1"/>
  <c r="A8" i="156"/>
  <c r="A7" i="156"/>
  <c r="B3" i="156"/>
  <c r="B2" i="156"/>
  <c r="B45" i="190" l="1"/>
  <c r="E44" i="190"/>
  <c r="B53" i="187"/>
  <c r="E52" i="187"/>
  <c r="B48" i="184"/>
  <c r="C8" i="184" s="1"/>
  <c r="E47" i="184"/>
  <c r="B45" i="181"/>
  <c r="E44" i="181"/>
  <c r="B44" i="179"/>
  <c r="E43" i="179"/>
  <c r="E42" i="172"/>
  <c r="B43" i="172"/>
  <c r="B30" i="161"/>
  <c r="B31" i="161" s="1"/>
  <c r="E29" i="161"/>
  <c r="O25" i="156"/>
  <c r="E29" i="159"/>
  <c r="B30" i="159"/>
  <c r="E33" i="159"/>
  <c r="B34" i="159"/>
  <c r="E23" i="158"/>
  <c r="B24" i="158"/>
  <c r="E19" i="158"/>
  <c r="B20" i="158"/>
  <c r="A28" i="157"/>
  <c r="A29" i="157" s="1"/>
  <c r="A30" i="157" s="1"/>
  <c r="A31" i="157" s="1"/>
  <c r="A32" i="157" s="1"/>
  <c r="A33" i="157" s="1"/>
  <c r="A34" i="157" s="1"/>
  <c r="A35" i="157" s="1"/>
  <c r="A36" i="157" s="1"/>
  <c r="B8" i="157" s="1"/>
  <c r="B18" i="157"/>
  <c r="E17" i="157"/>
  <c r="E22" i="157"/>
  <c r="B23" i="157"/>
  <c r="M36" i="156"/>
  <c r="D36" i="156"/>
  <c r="D37" i="156" s="1"/>
  <c r="O18" i="156"/>
  <c r="L36" i="156"/>
  <c r="A13" i="156"/>
  <c r="A14" i="156" s="1"/>
  <c r="B12" i="156"/>
  <c r="E12" i="156" s="1"/>
  <c r="G1274" i="2"/>
  <c r="J1274" i="2"/>
  <c r="B3" i="155"/>
  <c r="B16" i="155" s="1"/>
  <c r="G1265" i="2"/>
  <c r="J1265" i="2"/>
  <c r="G1266" i="2"/>
  <c r="J1266" i="2"/>
  <c r="G1267" i="2"/>
  <c r="J1267" i="2"/>
  <c r="G1268" i="2"/>
  <c r="J1268" i="2"/>
  <c r="G1269" i="2"/>
  <c r="J1269" i="2"/>
  <c r="G1270" i="2"/>
  <c r="J1270" i="2"/>
  <c r="G1271" i="2"/>
  <c r="J1271" i="2"/>
  <c r="G1272" i="2"/>
  <c r="J1272" i="2"/>
  <c r="G1273" i="2"/>
  <c r="J1273" i="2"/>
  <c r="E45" i="190" l="1"/>
  <c r="B46" i="190"/>
  <c r="E53" i="187"/>
  <c r="B54" i="187"/>
  <c r="B49" i="184"/>
  <c r="B50" i="184" s="1"/>
  <c r="E50" i="184" s="1"/>
  <c r="E48" i="184"/>
  <c r="E45" i="181"/>
  <c r="B46" i="181"/>
  <c r="B45" i="179"/>
  <c r="E44" i="179"/>
  <c r="E43" i="172"/>
  <c r="B44" i="172"/>
  <c r="E31" i="161"/>
  <c r="B32" i="161"/>
  <c r="E34" i="159"/>
  <c r="B35" i="159"/>
  <c r="E35" i="159" s="1"/>
  <c r="C8" i="159"/>
  <c r="B31" i="159"/>
  <c r="E31" i="159" s="1"/>
  <c r="E30" i="159"/>
  <c r="B21" i="158"/>
  <c r="E21" i="158" s="1"/>
  <c r="E20" i="158"/>
  <c r="B42" i="158"/>
  <c r="E24" i="158"/>
  <c r="B25" i="158"/>
  <c r="A37" i="157"/>
  <c r="E23" i="157"/>
  <c r="B24" i="157"/>
  <c r="B25" i="157" s="1"/>
  <c r="E18" i="157"/>
  <c r="B19" i="157"/>
  <c r="A22" i="156"/>
  <c r="A23" i="156" s="1"/>
  <c r="A24" i="156" s="1"/>
  <c r="A25" i="156" s="1"/>
  <c r="A26" i="156" s="1"/>
  <c r="A27" i="156" s="1"/>
  <c r="A16" i="156"/>
  <c r="A17" i="156" s="1"/>
  <c r="A18" i="156" s="1"/>
  <c r="A19" i="156" s="1"/>
  <c r="A20" i="156" s="1"/>
  <c r="A21" i="156" s="1"/>
  <c r="B16" i="156"/>
  <c r="B13" i="156"/>
  <c r="B100" i="155"/>
  <c r="B12" i="155"/>
  <c r="B72" i="155"/>
  <c r="D80" i="155"/>
  <c r="D81" i="155"/>
  <c r="D94" i="155"/>
  <c r="D79" i="155"/>
  <c r="D77" i="155"/>
  <c r="D76" i="155"/>
  <c r="D75" i="155"/>
  <c r="D74" i="155"/>
  <c r="D73" i="155"/>
  <c r="D72" i="155"/>
  <c r="D70" i="155"/>
  <c r="D68" i="155"/>
  <c r="D66" i="155"/>
  <c r="O61" i="155"/>
  <c r="O45" i="155"/>
  <c r="O42" i="155"/>
  <c r="D38" i="155"/>
  <c r="L29" i="155"/>
  <c r="O28" i="155"/>
  <c r="L25" i="155"/>
  <c r="L23" i="155"/>
  <c r="L22" i="155"/>
  <c r="L19" i="155"/>
  <c r="L18" i="155"/>
  <c r="L17" i="155"/>
  <c r="A17" i="155"/>
  <c r="A18" i="155" s="1"/>
  <c r="A19" i="155" s="1"/>
  <c r="A20" i="155" s="1"/>
  <c r="A21" i="155" s="1"/>
  <c r="A22" i="155" s="1"/>
  <c r="A23" i="155" s="1"/>
  <c r="A24" i="155" s="1"/>
  <c r="A25" i="155" s="1"/>
  <c r="B17" i="155"/>
  <c r="B2" i="155"/>
  <c r="G1257" i="2"/>
  <c r="J1257" i="2"/>
  <c r="G1491" i="2"/>
  <c r="J1491" i="2"/>
  <c r="G1490" i="2"/>
  <c r="J1490" i="2"/>
  <c r="G1260" i="2"/>
  <c r="J1260" i="2"/>
  <c r="G1261" i="2"/>
  <c r="J1261" i="2"/>
  <c r="G1262" i="2"/>
  <c r="J1262" i="2"/>
  <c r="G1263" i="2"/>
  <c r="J1263" i="2"/>
  <c r="E46" i="190" l="1"/>
  <c r="B47" i="190"/>
  <c r="B55" i="187"/>
  <c r="E54" i="187"/>
  <c r="E49" i="184"/>
  <c r="B51" i="184"/>
  <c r="B47" i="181"/>
  <c r="E46" i="181"/>
  <c r="B46" i="179"/>
  <c r="E45" i="179"/>
  <c r="E44" i="172"/>
  <c r="B45" i="172"/>
  <c r="B73" i="155"/>
  <c r="C7" i="161"/>
  <c r="B26" i="158"/>
  <c r="E25" i="158"/>
  <c r="B26" i="157"/>
  <c r="E26" i="157" s="1"/>
  <c r="E25" i="157"/>
  <c r="E19" i="157"/>
  <c r="B20" i="157"/>
  <c r="E24" i="157"/>
  <c r="B44" i="157"/>
  <c r="B7" i="156"/>
  <c r="C7" i="156"/>
  <c r="E13" i="156"/>
  <c r="B14" i="156"/>
  <c r="E16" i="156"/>
  <c r="B17" i="156"/>
  <c r="A28" i="156"/>
  <c r="A29" i="156" s="1"/>
  <c r="A30" i="156" s="1"/>
  <c r="A31" i="156" s="1"/>
  <c r="A32" i="156"/>
  <c r="A33" i="156" s="1"/>
  <c r="A34" i="156" s="1"/>
  <c r="B8" i="156" s="1"/>
  <c r="A73" i="155"/>
  <c r="O62" i="155"/>
  <c r="A28" i="155"/>
  <c r="A29" i="155" s="1"/>
  <c r="A30" i="155" s="1"/>
  <c r="A31" i="155" s="1"/>
  <c r="A32" i="155" s="1"/>
  <c r="A27" i="155"/>
  <c r="E17" i="155"/>
  <c r="B18" i="155"/>
  <c r="E16" i="155"/>
  <c r="E47" i="190" l="1"/>
  <c r="B48" i="190"/>
  <c r="B49" i="190" s="1"/>
  <c r="E55" i="187"/>
  <c r="B56" i="187"/>
  <c r="E51" i="184"/>
  <c r="B52" i="184"/>
  <c r="E47" i="181"/>
  <c r="B48" i="181"/>
  <c r="C8" i="181"/>
  <c r="B47" i="179"/>
  <c r="E46" i="179"/>
  <c r="E45" i="172"/>
  <c r="B46" i="172"/>
  <c r="E26" i="158"/>
  <c r="B27" i="158"/>
  <c r="B21" i="157"/>
  <c r="E21" i="157" s="1"/>
  <c r="E20" i="157"/>
  <c r="B27" i="157"/>
  <c r="B28" i="157" s="1"/>
  <c r="A35" i="156"/>
  <c r="E17" i="156"/>
  <c r="B18" i="156"/>
  <c r="E14" i="156"/>
  <c r="B22" i="156"/>
  <c r="D96" i="155"/>
  <c r="E18" i="155"/>
  <c r="B19" i="155"/>
  <c r="A34" i="155"/>
  <c r="A35" i="155" s="1"/>
  <c r="A36" i="155" s="1"/>
  <c r="A38" i="155" s="1"/>
  <c r="A39" i="155" s="1"/>
  <c r="A40" i="155" s="1"/>
  <c r="A41" i="155" s="1"/>
  <c r="A42" i="155" s="1"/>
  <c r="A33" i="155"/>
  <c r="B7" i="155" s="1"/>
  <c r="E48" i="190" l="1"/>
  <c r="B50" i="190"/>
  <c r="E50" i="190" s="1"/>
  <c r="B57" i="187"/>
  <c r="E56" i="187"/>
  <c r="B54" i="184"/>
  <c r="E52" i="184"/>
  <c r="B49" i="181"/>
  <c r="E48" i="181"/>
  <c r="B48" i="179"/>
  <c r="E47" i="179"/>
  <c r="C8" i="179"/>
  <c r="E46" i="172"/>
  <c r="B48" i="172"/>
  <c r="B28" i="158"/>
  <c r="B32" i="158"/>
  <c r="E27" i="158"/>
  <c r="E27" i="157"/>
  <c r="B29" i="157"/>
  <c r="B23" i="156"/>
  <c r="E22" i="156"/>
  <c r="B19" i="156"/>
  <c r="E18" i="156"/>
  <c r="E19" i="155"/>
  <c r="B20" i="155"/>
  <c r="A45" i="155"/>
  <c r="A46" i="155" s="1"/>
  <c r="A47" i="155" s="1"/>
  <c r="A48" i="155" s="1"/>
  <c r="A49" i="155" s="1"/>
  <c r="A50" i="155" s="1"/>
  <c r="A44" i="155"/>
  <c r="B51" i="190" l="1"/>
  <c r="E49" i="190"/>
  <c r="E57" i="187"/>
  <c r="B58" i="187"/>
  <c r="B59" i="187" s="1"/>
  <c r="B55" i="184"/>
  <c r="E54" i="184"/>
  <c r="B50" i="181"/>
  <c r="E49" i="181"/>
  <c r="B49" i="179"/>
  <c r="E48" i="179"/>
  <c r="B49" i="172"/>
  <c r="E48" i="172"/>
  <c r="B33" i="158"/>
  <c r="E32" i="158"/>
  <c r="B29" i="158"/>
  <c r="E28" i="158"/>
  <c r="E29" i="157"/>
  <c r="B30" i="157"/>
  <c r="E28" i="157"/>
  <c r="E19" i="156"/>
  <c r="B20" i="156"/>
  <c r="B24" i="156"/>
  <c r="E23" i="156"/>
  <c r="A51" i="155"/>
  <c r="A52" i="155" s="1"/>
  <c r="B21" i="155"/>
  <c r="E20" i="155"/>
  <c r="E51" i="190" l="1"/>
  <c r="B52" i="190"/>
  <c r="E58" i="187"/>
  <c r="B56" i="184"/>
  <c r="E55" i="184"/>
  <c r="B52" i="181"/>
  <c r="E50" i="181"/>
  <c r="E49" i="179"/>
  <c r="B50" i="179"/>
  <c r="E49" i="172"/>
  <c r="B50" i="172"/>
  <c r="E29" i="158"/>
  <c r="B30" i="158"/>
  <c r="E33" i="158"/>
  <c r="B34" i="158"/>
  <c r="E30" i="157"/>
  <c r="B31" i="157"/>
  <c r="B42" i="156"/>
  <c r="B25" i="156"/>
  <c r="E24" i="156"/>
  <c r="B21" i="156"/>
  <c r="E21" i="156" s="1"/>
  <c r="E20" i="156"/>
  <c r="A53" i="155"/>
  <c r="A55" i="155" s="1"/>
  <c r="A56" i="155" s="1"/>
  <c r="A57" i="155" s="1"/>
  <c r="A58" i="155" s="1"/>
  <c r="A59" i="155" s="1"/>
  <c r="A60" i="155" s="1"/>
  <c r="A61" i="155" s="1"/>
  <c r="A62" i="155" s="1"/>
  <c r="A63" i="155" s="1"/>
  <c r="B8" i="155"/>
  <c r="B22" i="155"/>
  <c r="E21" i="155"/>
  <c r="B53" i="190" l="1"/>
  <c r="B54" i="190" s="1"/>
  <c r="B56" i="190" s="1"/>
  <c r="B57" i="190" s="1"/>
  <c r="C8" i="190"/>
  <c r="B60" i="187"/>
  <c r="E59" i="187"/>
  <c r="E56" i="184"/>
  <c r="B57" i="184"/>
  <c r="B53" i="181"/>
  <c r="E52" i="181"/>
  <c r="B52" i="179"/>
  <c r="E50" i="179"/>
  <c r="E50" i="172"/>
  <c r="B51" i="172"/>
  <c r="C8" i="158"/>
  <c r="E34" i="158"/>
  <c r="B35" i="158"/>
  <c r="E35" i="158" s="1"/>
  <c r="B31" i="158"/>
  <c r="E31" i="158" s="1"/>
  <c r="E30" i="158"/>
  <c r="E31" i="157"/>
  <c r="B32" i="157"/>
  <c r="E25" i="156"/>
  <c r="B26" i="156"/>
  <c r="A64" i="155"/>
  <c r="A65" i="155" s="1"/>
  <c r="A66" i="155" s="1"/>
  <c r="A67" i="155" s="1"/>
  <c r="A68" i="155" s="1"/>
  <c r="E22" i="155"/>
  <c r="B23" i="155"/>
  <c r="E53" i="190" l="1"/>
  <c r="B61" i="187"/>
  <c r="E60" i="187"/>
  <c r="E57" i="184"/>
  <c r="B58" i="184"/>
  <c r="B59" i="184" s="1"/>
  <c r="E53" i="181"/>
  <c r="B54" i="181"/>
  <c r="B53" i="179"/>
  <c r="E52" i="179"/>
  <c r="B52" i="172"/>
  <c r="E51" i="172"/>
  <c r="B33" i="157"/>
  <c r="E32" i="157"/>
  <c r="B27" i="156"/>
  <c r="E26" i="156"/>
  <c r="A69" i="155"/>
  <c r="B24" i="155"/>
  <c r="E23" i="155"/>
  <c r="B62" i="187" l="1"/>
  <c r="E62" i="187" s="1"/>
  <c r="E61" i="187"/>
  <c r="B60" i="184"/>
  <c r="E60" i="184" s="1"/>
  <c r="E59" i="184"/>
  <c r="E58" i="184"/>
  <c r="B55" i="181"/>
  <c r="E54" i="181"/>
  <c r="B54" i="179"/>
  <c r="E53" i="179"/>
  <c r="B53" i="172"/>
  <c r="E52" i="172"/>
  <c r="B34" i="157"/>
  <c r="E33" i="157"/>
  <c r="B28" i="156"/>
  <c r="E27" i="156"/>
  <c r="B32" i="156"/>
  <c r="A70" i="155"/>
  <c r="A74" i="155" s="1"/>
  <c r="A75" i="155" s="1"/>
  <c r="A76" i="155" s="1"/>
  <c r="A77" i="155" s="1"/>
  <c r="A78" i="155" s="1"/>
  <c r="B9" i="155"/>
  <c r="E24" i="155"/>
  <c r="B25" i="155"/>
  <c r="B63" i="187" l="1"/>
  <c r="B61" i="184"/>
  <c r="E55" i="181"/>
  <c r="B56" i="181"/>
  <c r="E54" i="179"/>
  <c r="B55" i="179"/>
  <c r="E53" i="172"/>
  <c r="B54" i="172"/>
  <c r="B35" i="157"/>
  <c r="E34" i="157"/>
  <c r="E32" i="156"/>
  <c r="B33" i="156"/>
  <c r="B29" i="156"/>
  <c r="E28" i="156"/>
  <c r="A79" i="155"/>
  <c r="A80" i="155" s="1"/>
  <c r="A81" i="155" s="1"/>
  <c r="A83" i="155" s="1"/>
  <c r="A84" i="155" s="1"/>
  <c r="A85" i="155" s="1"/>
  <c r="A86" i="155" s="1"/>
  <c r="A87" i="155" s="1"/>
  <c r="A88" i="155" s="1"/>
  <c r="A89" i="155" s="1"/>
  <c r="A90" i="155" s="1"/>
  <c r="A91" i="155" s="1"/>
  <c r="A92" i="155" s="1"/>
  <c r="A93" i="155" s="1"/>
  <c r="A94" i="155" s="1"/>
  <c r="A95" i="155" s="1"/>
  <c r="B10" i="155"/>
  <c r="B27" i="155"/>
  <c r="E27" i="155" s="1"/>
  <c r="E25" i="155"/>
  <c r="B28" i="155"/>
  <c r="E63" i="187" l="1"/>
  <c r="B64" i="187"/>
  <c r="E61" i="184"/>
  <c r="B62" i="184"/>
  <c r="B57" i="181"/>
  <c r="E56" i="181"/>
  <c r="E55" i="179"/>
  <c r="B56" i="179"/>
  <c r="B55" i="172"/>
  <c r="E54" i="172"/>
  <c r="E35" i="157"/>
  <c r="B36" i="157"/>
  <c r="B30" i="156"/>
  <c r="E29" i="156"/>
  <c r="E33" i="156"/>
  <c r="B34" i="156"/>
  <c r="A96" i="155"/>
  <c r="A97" i="155" s="1"/>
  <c r="A98" i="155" s="1"/>
  <c r="B11" i="155"/>
  <c r="B29" i="155"/>
  <c r="E28" i="155"/>
  <c r="E64" i="187" l="1"/>
  <c r="B65" i="187"/>
  <c r="E62" i="184"/>
  <c r="B63" i="184"/>
  <c r="B57" i="172"/>
  <c r="B56" i="172"/>
  <c r="E56" i="172" s="1"/>
  <c r="B58" i="181"/>
  <c r="B59" i="181" s="1"/>
  <c r="E57" i="181"/>
  <c r="E56" i="179"/>
  <c r="B57" i="179"/>
  <c r="B58" i="179" s="1"/>
  <c r="E55" i="172"/>
  <c r="C8" i="157"/>
  <c r="E36" i="157"/>
  <c r="B37" i="157"/>
  <c r="E37" i="157" s="1"/>
  <c r="E34" i="156"/>
  <c r="B35" i="156"/>
  <c r="E35" i="156" s="1"/>
  <c r="C8" i="156"/>
  <c r="B31" i="156"/>
  <c r="E31" i="156" s="1"/>
  <c r="E30" i="156"/>
  <c r="E29" i="155"/>
  <c r="B30" i="155"/>
  <c r="B66" i="187" l="1"/>
  <c r="E65" i="187"/>
  <c r="E63" i="184"/>
  <c r="B64" i="184"/>
  <c r="B59" i="179"/>
  <c r="B58" i="172"/>
  <c r="E58" i="172" s="1"/>
  <c r="E57" i="172"/>
  <c r="E58" i="181"/>
  <c r="E57" i="179"/>
  <c r="E30" i="155"/>
  <c r="B31" i="155"/>
  <c r="B67" i="187" l="1"/>
  <c r="C9" i="187"/>
  <c r="E64" i="184"/>
  <c r="B65" i="184"/>
  <c r="B59" i="172"/>
  <c r="E59" i="172" s="1"/>
  <c r="E58" i="179"/>
  <c r="B32" i="155"/>
  <c r="E31" i="155"/>
  <c r="B68" i="187" l="1"/>
  <c r="E67" i="187"/>
  <c r="E65" i="184"/>
  <c r="B66" i="184"/>
  <c r="B60" i="172"/>
  <c r="E59" i="181"/>
  <c r="B60" i="181"/>
  <c r="B60" i="179"/>
  <c r="E59" i="179"/>
  <c r="B61" i="172"/>
  <c r="E60" i="172"/>
  <c r="E32" i="155"/>
  <c r="B33" i="155"/>
  <c r="C7" i="155" s="1"/>
  <c r="B34" i="155"/>
  <c r="E68" i="187" l="1"/>
  <c r="B69" i="187"/>
  <c r="E66" i="184"/>
  <c r="B67" i="184"/>
  <c r="E60" i="181"/>
  <c r="B61" i="181"/>
  <c r="E60" i="179"/>
  <c r="B61" i="179"/>
  <c r="E61" i="172"/>
  <c r="B62" i="172"/>
  <c r="B35" i="155"/>
  <c r="E34" i="155"/>
  <c r="E54" i="190" l="1"/>
  <c r="B70" i="187"/>
  <c r="E69" i="187"/>
  <c r="B68" i="184"/>
  <c r="C9" i="184" s="1"/>
  <c r="E67" i="184"/>
  <c r="E62" i="172"/>
  <c r="B63" i="172"/>
  <c r="E61" i="181"/>
  <c r="B62" i="181"/>
  <c r="B62" i="179"/>
  <c r="E61" i="179"/>
  <c r="B9" i="172"/>
  <c r="C9" i="172"/>
  <c r="E35" i="155"/>
  <c r="B36" i="155"/>
  <c r="B38" i="155" s="1"/>
  <c r="G1252" i="2"/>
  <c r="J1252" i="2"/>
  <c r="G1253" i="2"/>
  <c r="J1253" i="2"/>
  <c r="G1254" i="2"/>
  <c r="J1254" i="2"/>
  <c r="G1255" i="2"/>
  <c r="J1255" i="2"/>
  <c r="G1256" i="2"/>
  <c r="J1256" i="2"/>
  <c r="G1258" i="2"/>
  <c r="J1258" i="2"/>
  <c r="G1259" i="2"/>
  <c r="J1259" i="2"/>
  <c r="G1264" i="2"/>
  <c r="J1264" i="2"/>
  <c r="M98" i="151"/>
  <c r="J98" i="151"/>
  <c r="I98" i="151"/>
  <c r="H98" i="151"/>
  <c r="D98" i="151"/>
  <c r="D99" i="151" s="1"/>
  <c r="C98" i="151"/>
  <c r="C99" i="151" s="1"/>
  <c r="K97" i="151"/>
  <c r="K98" i="151" s="1"/>
  <c r="D90" i="151"/>
  <c r="D88" i="151"/>
  <c r="D87" i="151"/>
  <c r="O82" i="151"/>
  <c r="O72" i="151"/>
  <c r="O71" i="151"/>
  <c r="O70" i="151"/>
  <c r="L70" i="151"/>
  <c r="L69" i="151"/>
  <c r="L68" i="151"/>
  <c r="L67" i="151"/>
  <c r="L65" i="151"/>
  <c r="O58" i="151"/>
  <c r="D53" i="151"/>
  <c r="D49" i="151"/>
  <c r="O42" i="151"/>
  <c r="O40" i="151"/>
  <c r="L40" i="151"/>
  <c r="L39" i="151"/>
  <c r="L37" i="151"/>
  <c r="L36" i="151"/>
  <c r="L35" i="151"/>
  <c r="D30" i="151"/>
  <c r="D29" i="151"/>
  <c r="L28" i="151"/>
  <c r="D28" i="151"/>
  <c r="O27" i="151"/>
  <c r="D27" i="151"/>
  <c r="L24" i="151"/>
  <c r="D24" i="151"/>
  <c r="L23" i="151"/>
  <c r="D23" i="151"/>
  <c r="L22" i="151"/>
  <c r="D22" i="151"/>
  <c r="D21" i="151"/>
  <c r="L19" i="151"/>
  <c r="D19" i="151"/>
  <c r="L18" i="151"/>
  <c r="D18" i="151"/>
  <c r="L17" i="151"/>
  <c r="D17" i="151"/>
  <c r="B16" i="151"/>
  <c r="A16" i="151"/>
  <c r="A17" i="151" s="1"/>
  <c r="E70" i="187" l="1"/>
  <c r="B71" i="187"/>
  <c r="B72" i="187" s="1"/>
  <c r="B69" i="184"/>
  <c r="E68" i="184"/>
  <c r="B64" i="172"/>
  <c r="E63" i="172"/>
  <c r="E62" i="181"/>
  <c r="B63" i="181"/>
  <c r="B63" i="179"/>
  <c r="E62" i="179"/>
  <c r="A18" i="151"/>
  <c r="L97" i="151"/>
  <c r="E16" i="151"/>
  <c r="B17" i="151"/>
  <c r="E17" i="151" s="1"/>
  <c r="E36" i="155"/>
  <c r="B18" i="151"/>
  <c r="O83" i="151"/>
  <c r="A19" i="151"/>
  <c r="A20" i="151" s="1"/>
  <c r="A21" i="151" s="1"/>
  <c r="A22" i="151" s="1"/>
  <c r="A23" i="151" s="1"/>
  <c r="A24" i="151" s="1"/>
  <c r="L98" i="151"/>
  <c r="E56" i="190" l="1"/>
  <c r="B73" i="187"/>
  <c r="E72" i="187"/>
  <c r="E69" i="184"/>
  <c r="B70" i="184"/>
  <c r="B65" i="172"/>
  <c r="E64" i="172"/>
  <c r="E63" i="181"/>
  <c r="B64" i="181"/>
  <c r="B64" i="179"/>
  <c r="E63" i="179"/>
  <c r="E18" i="151"/>
  <c r="B19" i="151"/>
  <c r="E38" i="155"/>
  <c r="B39" i="155"/>
  <c r="B40" i="155" s="1"/>
  <c r="A26" i="151"/>
  <c r="A27" i="151"/>
  <c r="A28" i="151" s="1"/>
  <c r="A29" i="151" s="1"/>
  <c r="A30" i="151" s="1"/>
  <c r="A31" i="151" s="1"/>
  <c r="B20" i="151"/>
  <c r="E19" i="151"/>
  <c r="B74" i="187" l="1"/>
  <c r="E73" i="187"/>
  <c r="E70" i="184"/>
  <c r="B71" i="184"/>
  <c r="E65" i="172"/>
  <c r="B65" i="181"/>
  <c r="E64" i="181"/>
  <c r="B65" i="179"/>
  <c r="E64" i="179"/>
  <c r="E39" i="155"/>
  <c r="E20" i="151"/>
  <c r="B21" i="151"/>
  <c r="A32" i="151"/>
  <c r="B7" i="151" s="1"/>
  <c r="A33" i="151"/>
  <c r="A35" i="151" s="1"/>
  <c r="A36" i="151" s="1"/>
  <c r="A37" i="151" s="1"/>
  <c r="A38" i="151" s="1"/>
  <c r="A39" i="151" s="1"/>
  <c r="A40" i="151" s="1"/>
  <c r="A41" i="151" s="1"/>
  <c r="A42" i="151" s="1"/>
  <c r="B58" i="190" l="1"/>
  <c r="E57" i="190"/>
  <c r="E74" i="187"/>
  <c r="B75" i="187"/>
  <c r="E71" i="184"/>
  <c r="B72" i="184"/>
  <c r="C9" i="181"/>
  <c r="E65" i="181"/>
  <c r="B66" i="181"/>
  <c r="B66" i="179"/>
  <c r="E65" i="179"/>
  <c r="C9" i="179"/>
  <c r="B41" i="155"/>
  <c r="B42" i="155" s="1"/>
  <c r="E40" i="155"/>
  <c r="B8" i="151"/>
  <c r="A43" i="151"/>
  <c r="A44" i="151" s="1"/>
  <c r="A45" i="151" s="1"/>
  <c r="A46" i="151" s="1"/>
  <c r="A47" i="151" s="1"/>
  <c r="A49" i="151" s="1"/>
  <c r="A50" i="151" s="1"/>
  <c r="A51" i="151" s="1"/>
  <c r="A52" i="151" s="1"/>
  <c r="A53" i="151" s="1"/>
  <c r="A54" i="151" s="1"/>
  <c r="E21" i="151"/>
  <c r="B22" i="151"/>
  <c r="E58" i="190" l="1"/>
  <c r="B59" i="190"/>
  <c r="B76" i="187"/>
  <c r="C10" i="187"/>
  <c r="B73" i="184"/>
  <c r="E72" i="184"/>
  <c r="E66" i="172"/>
  <c r="B67" i="172"/>
  <c r="E66" i="181"/>
  <c r="B67" i="181"/>
  <c r="B67" i="179"/>
  <c r="E66" i="179"/>
  <c r="E41" i="155"/>
  <c r="A57" i="151"/>
  <c r="A58" i="151" s="1"/>
  <c r="A59" i="151" s="1"/>
  <c r="A60" i="151" s="1"/>
  <c r="A61" i="151" s="1"/>
  <c r="A56" i="151"/>
  <c r="E22" i="151"/>
  <c r="B23" i="151"/>
  <c r="B60" i="190" l="1"/>
  <c r="E59" i="190"/>
  <c r="E76" i="187"/>
  <c r="B77" i="187"/>
  <c r="E73" i="184"/>
  <c r="A76" i="184" s="1"/>
  <c r="B76" i="184" s="1"/>
  <c r="E76" i="184" s="1"/>
  <c r="B74" i="184"/>
  <c r="E67" i="172"/>
  <c r="B68" i="172"/>
  <c r="B68" i="181"/>
  <c r="E67" i="181"/>
  <c r="E67" i="179"/>
  <c r="B68" i="179"/>
  <c r="B44" i="155"/>
  <c r="E44" i="155" s="1"/>
  <c r="E42" i="155"/>
  <c r="B45" i="155"/>
  <c r="B46" i="155" s="1"/>
  <c r="B24" i="151"/>
  <c r="E23" i="151"/>
  <c r="A62" i="151"/>
  <c r="B9" i="151" s="1"/>
  <c r="A63" i="151"/>
  <c r="A64" i="151" s="1"/>
  <c r="A65" i="151" s="1"/>
  <c r="A67" i="151" s="1"/>
  <c r="A68" i="151" s="1"/>
  <c r="A69" i="151" s="1"/>
  <c r="A70" i="151" s="1"/>
  <c r="A71" i="151" s="1"/>
  <c r="E60" i="190" l="1"/>
  <c r="B61" i="190"/>
  <c r="B62" i="190" s="1"/>
  <c r="B78" i="187"/>
  <c r="E77" i="187"/>
  <c r="E74" i="184"/>
  <c r="B77" i="184"/>
  <c r="E77" i="184" s="1"/>
  <c r="E68" i="172"/>
  <c r="B69" i="172"/>
  <c r="E68" i="181"/>
  <c r="B69" i="181"/>
  <c r="E68" i="179"/>
  <c r="B69" i="179"/>
  <c r="E45" i="155"/>
  <c r="A72" i="151"/>
  <c r="B10" i="151" s="1"/>
  <c r="A73" i="151"/>
  <c r="A74" i="151" s="1"/>
  <c r="A75" i="151" s="1"/>
  <c r="A77" i="151" s="1"/>
  <c r="A78" i="151" s="1"/>
  <c r="A79" i="151" s="1"/>
  <c r="A80" i="151" s="1"/>
  <c r="A81" i="151" s="1"/>
  <c r="A82" i="151" s="1"/>
  <c r="A83" i="151" s="1"/>
  <c r="A84" i="151" s="1"/>
  <c r="A85" i="151" s="1"/>
  <c r="A86" i="151" s="1"/>
  <c r="A87" i="151" s="1"/>
  <c r="A88" i="151" s="1"/>
  <c r="E24" i="151"/>
  <c r="B27" i="151"/>
  <c r="B26" i="151"/>
  <c r="E26" i="151" s="1"/>
  <c r="E62" i="190" l="1"/>
  <c r="B63" i="190"/>
  <c r="B64" i="190" s="1"/>
  <c r="B65" i="190" s="1"/>
  <c r="B66" i="190" s="1"/>
  <c r="B67" i="190" s="1"/>
  <c r="B68" i="190" s="1"/>
  <c r="E78" i="187"/>
  <c r="B80" i="187"/>
  <c r="B10" i="184"/>
  <c r="E69" i="172"/>
  <c r="B71" i="172"/>
  <c r="B70" i="172"/>
  <c r="B70" i="181"/>
  <c r="E69" i="181"/>
  <c r="B70" i="179"/>
  <c r="E69" i="179"/>
  <c r="B47" i="155"/>
  <c r="B48" i="155" s="1"/>
  <c r="E46" i="155"/>
  <c r="B28" i="151"/>
  <c r="E27" i="151"/>
  <c r="A90" i="151"/>
  <c r="A96" i="151" s="1"/>
  <c r="B12" i="151" s="1"/>
  <c r="A89" i="151"/>
  <c r="B11" i="151" s="1"/>
  <c r="B69" i="190" l="1"/>
  <c r="B70" i="190" s="1"/>
  <c r="B71" i="190" s="1"/>
  <c r="E68" i="190"/>
  <c r="E63" i="190"/>
  <c r="B81" i="187"/>
  <c r="E80" i="187"/>
  <c r="C10" i="172"/>
  <c r="B10" i="172"/>
  <c r="E71" i="172"/>
  <c r="B72" i="172"/>
  <c r="B71" i="181"/>
  <c r="E70" i="181"/>
  <c r="A74" i="181" s="1"/>
  <c r="B74" i="181" s="1"/>
  <c r="E74" i="181" s="1"/>
  <c r="E70" i="179"/>
  <c r="A73" i="179" s="1"/>
  <c r="B73" i="179" s="1"/>
  <c r="E73" i="179" s="1"/>
  <c r="B71" i="179"/>
  <c r="E47" i="155"/>
  <c r="B29" i="151"/>
  <c r="E28" i="151"/>
  <c r="E64" i="190" l="1"/>
  <c r="E81" i="187"/>
  <c r="B82" i="187"/>
  <c r="E72" i="172"/>
  <c r="B73" i="172"/>
  <c r="E73" i="172" s="1"/>
  <c r="B75" i="172"/>
  <c r="E71" i="181"/>
  <c r="E75" i="181"/>
  <c r="E71" i="179"/>
  <c r="B74" i="179"/>
  <c r="E74" i="179" s="1"/>
  <c r="B49" i="155"/>
  <c r="B50" i="155" s="1"/>
  <c r="E48" i="155"/>
  <c r="E29" i="151"/>
  <c r="B30" i="151"/>
  <c r="E65" i="190" l="1"/>
  <c r="B83" i="187"/>
  <c r="E82" i="187"/>
  <c r="B76" i="172"/>
  <c r="E75" i="172"/>
  <c r="B10" i="181"/>
  <c r="C10" i="181"/>
  <c r="C10" i="179"/>
  <c r="B10" i="179"/>
  <c r="E49" i="155"/>
  <c r="B51" i="155"/>
  <c r="B52" i="155" s="1"/>
  <c r="C8" i="155" s="1"/>
  <c r="E30" i="151"/>
  <c r="B31" i="151"/>
  <c r="E66" i="190" l="1"/>
  <c r="E83" i="187"/>
  <c r="B84" i="187"/>
  <c r="B77" i="172"/>
  <c r="E76" i="172"/>
  <c r="E51" i="155"/>
  <c r="E50" i="155"/>
  <c r="B32" i="151"/>
  <c r="C7" i="151" s="1"/>
  <c r="E31" i="151"/>
  <c r="B33" i="151"/>
  <c r="E67" i="190" l="1"/>
  <c r="B85" i="187"/>
  <c r="E84" i="187"/>
  <c r="B78" i="172"/>
  <c r="E77" i="172"/>
  <c r="B53" i="155"/>
  <c r="B55" i="155" s="1"/>
  <c r="B56" i="155" s="1"/>
  <c r="B57" i="155" s="1"/>
  <c r="E52" i="155"/>
  <c r="B35" i="151"/>
  <c r="E33" i="151"/>
  <c r="E69" i="190" l="1"/>
  <c r="E85" i="187"/>
  <c r="B86" i="187"/>
  <c r="B87" i="187" s="1"/>
  <c r="B88" i="187" s="1"/>
  <c r="B79" i="172"/>
  <c r="E78" i="172"/>
  <c r="E53" i="155"/>
  <c r="E55" i="155"/>
  <c r="E35" i="151"/>
  <c r="B36" i="151"/>
  <c r="C9" i="190" l="1"/>
  <c r="E71" i="190"/>
  <c r="E87" i="187"/>
  <c r="B80" i="172"/>
  <c r="E79" i="172"/>
  <c r="E56" i="155"/>
  <c r="B58" i="155"/>
  <c r="B59" i="155" s="1"/>
  <c r="B60" i="155" s="1"/>
  <c r="B61" i="155" s="1"/>
  <c r="B62" i="155" s="1"/>
  <c r="B63" i="155" s="1"/>
  <c r="B64" i="155" s="1"/>
  <c r="B65" i="155" s="1"/>
  <c r="B66" i="155" s="1"/>
  <c r="B67" i="155" s="1"/>
  <c r="B68" i="155" s="1"/>
  <c r="B69" i="155" s="1"/>
  <c r="B37" i="151"/>
  <c r="E36" i="151"/>
  <c r="E88" i="187" l="1"/>
  <c r="B89" i="187"/>
  <c r="B90" i="187" s="1"/>
  <c r="E80" i="172"/>
  <c r="B81" i="172"/>
  <c r="B70" i="155"/>
  <c r="B74" i="155" s="1"/>
  <c r="C9" i="155"/>
  <c r="E57" i="155"/>
  <c r="E37" i="151"/>
  <c r="B38" i="151"/>
  <c r="B98" i="187" l="1"/>
  <c r="E90" i="187"/>
  <c r="B91" i="187"/>
  <c r="E81" i="172"/>
  <c r="B82" i="172"/>
  <c r="E58" i="155"/>
  <c r="B39" i="151"/>
  <c r="E38" i="151"/>
  <c r="E91" i="187" l="1"/>
  <c r="B92" i="187"/>
  <c r="B12" i="187"/>
  <c r="E98" i="187"/>
  <c r="B99" i="187"/>
  <c r="B83" i="172"/>
  <c r="E82" i="172"/>
  <c r="E59" i="155"/>
  <c r="E39" i="151"/>
  <c r="B40" i="151"/>
  <c r="B13" i="187" l="1"/>
  <c r="E99" i="187"/>
  <c r="C13" i="187" s="1"/>
  <c r="B93" i="187"/>
  <c r="E92" i="187"/>
  <c r="A98" i="187"/>
  <c r="A99" i="187" s="1"/>
  <c r="C12" i="187"/>
  <c r="E83" i="172"/>
  <c r="B84" i="172"/>
  <c r="E60" i="155"/>
  <c r="B41" i="151"/>
  <c r="B42" i="151" s="1"/>
  <c r="E40" i="151"/>
  <c r="E93" i="187" l="1"/>
  <c r="B94" i="187"/>
  <c r="E84" i="172"/>
  <c r="B85" i="172"/>
  <c r="E61" i="155"/>
  <c r="C8" i="151"/>
  <c r="B43" i="151"/>
  <c r="E94" i="187" l="1"/>
  <c r="B95" i="187"/>
  <c r="B86" i="172"/>
  <c r="E85" i="172"/>
  <c r="E62" i="155"/>
  <c r="B44" i="151"/>
  <c r="E43" i="151"/>
  <c r="B96" i="187" l="1"/>
  <c r="E96" i="187" s="1"/>
  <c r="C11" i="187"/>
  <c r="E86" i="172"/>
  <c r="B87" i="172"/>
  <c r="E63" i="155"/>
  <c r="B45" i="151"/>
  <c r="E44" i="151"/>
  <c r="B89" i="172" l="1"/>
  <c r="E89" i="172" s="1"/>
  <c r="E87" i="172"/>
  <c r="B88" i="172"/>
  <c r="E64" i="155"/>
  <c r="B46" i="151"/>
  <c r="E45" i="151"/>
  <c r="C11" i="172" l="1"/>
  <c r="B11" i="172"/>
  <c r="E65" i="155"/>
  <c r="B47" i="151"/>
  <c r="E46" i="151"/>
  <c r="E66" i="155" l="1"/>
  <c r="E47" i="151"/>
  <c r="B49" i="151"/>
  <c r="E68" i="155" l="1"/>
  <c r="E49" i="151"/>
  <c r="B50" i="151"/>
  <c r="E70" i="155" l="1"/>
  <c r="B51" i="151"/>
  <c r="E50" i="151"/>
  <c r="B52" i="151" l="1"/>
  <c r="E51" i="151"/>
  <c r="B53" i="151" l="1"/>
  <c r="E52" i="151"/>
  <c r="E53" i="151" l="1"/>
  <c r="B54" i="151"/>
  <c r="B57" i="151" l="1"/>
  <c r="B56" i="151"/>
  <c r="E56" i="151" s="1"/>
  <c r="E54" i="151"/>
  <c r="B58" i="151" l="1"/>
  <c r="E57" i="151"/>
  <c r="B59" i="151" l="1"/>
  <c r="E58" i="151"/>
  <c r="E59" i="151" l="1"/>
  <c r="B60" i="151"/>
  <c r="B61" i="151" l="1"/>
  <c r="E60" i="151"/>
  <c r="B62" i="151" l="1"/>
  <c r="C9" i="151" s="1"/>
  <c r="E61" i="151"/>
  <c r="B63" i="151"/>
  <c r="B64" i="151" l="1"/>
  <c r="E63" i="151"/>
  <c r="B65" i="151" l="1"/>
  <c r="E64" i="151"/>
  <c r="E72" i="155" l="1"/>
  <c r="B67" i="151"/>
  <c r="E65" i="151"/>
  <c r="E73" i="155" l="1"/>
  <c r="B68" i="151"/>
  <c r="E67" i="151"/>
  <c r="E74" i="155" l="1"/>
  <c r="B75" i="155"/>
  <c r="B69" i="151"/>
  <c r="E68" i="151"/>
  <c r="E75" i="155" l="1"/>
  <c r="B76" i="155"/>
  <c r="B77" i="155" s="1"/>
  <c r="B78" i="155" s="1"/>
  <c r="B70" i="151"/>
  <c r="E69" i="151"/>
  <c r="B79" i="155" l="1"/>
  <c r="B80" i="155" s="1"/>
  <c r="B81" i="155" s="1"/>
  <c r="B83" i="155" s="1"/>
  <c r="C10" i="155"/>
  <c r="E76" i="155"/>
  <c r="B71" i="151"/>
  <c r="E70" i="151"/>
  <c r="E81" i="155" l="1"/>
  <c r="E83" i="155"/>
  <c r="B84" i="155"/>
  <c r="E77" i="155"/>
  <c r="E71" i="151"/>
  <c r="B73" i="151"/>
  <c r="B72" i="151"/>
  <c r="C10" i="151" s="1"/>
  <c r="B85" i="155" l="1"/>
  <c r="E84" i="155"/>
  <c r="E80" i="155"/>
  <c r="E79" i="155"/>
  <c r="B74" i="151"/>
  <c r="E73" i="151"/>
  <c r="B86" i="155" l="1"/>
  <c r="E85" i="155"/>
  <c r="E74" i="151"/>
  <c r="B75" i="151"/>
  <c r="B87" i="155" l="1"/>
  <c r="E86" i="155"/>
  <c r="B77" i="151"/>
  <c r="E75" i="151"/>
  <c r="B88" i="155" l="1"/>
  <c r="E87" i="155"/>
  <c r="B78" i="151"/>
  <c r="E77" i="151"/>
  <c r="B89" i="155" l="1"/>
  <c r="E88" i="155"/>
  <c r="B79" i="151"/>
  <c r="E78" i="151"/>
  <c r="B90" i="155" l="1"/>
  <c r="E89" i="155"/>
  <c r="B80" i="151"/>
  <c r="E79" i="151"/>
  <c r="B91" i="155" l="1"/>
  <c r="E90" i="155"/>
  <c r="E80" i="151"/>
  <c r="B81" i="151"/>
  <c r="B92" i="155" l="1"/>
  <c r="E91" i="155"/>
  <c r="B82" i="151"/>
  <c r="E81" i="151"/>
  <c r="B93" i="155" l="1"/>
  <c r="E92" i="155"/>
  <c r="B83" i="151"/>
  <c r="E82" i="151"/>
  <c r="B94" i="155" l="1"/>
  <c r="E93" i="155"/>
  <c r="B84" i="151"/>
  <c r="E83" i="151"/>
  <c r="E94" i="155" l="1"/>
  <c r="B95" i="155"/>
  <c r="B85" i="151"/>
  <c r="E84" i="151"/>
  <c r="B96" i="155" l="1"/>
  <c r="C11" i="155"/>
  <c r="E96" i="155"/>
  <c r="B97" i="155"/>
  <c r="E85" i="151"/>
  <c r="B96" i="151"/>
  <c r="E96" i="151" s="1"/>
  <c r="C12" i="151" s="1"/>
  <c r="B86" i="151"/>
  <c r="E97" i="155" l="1"/>
  <c r="B98" i="155"/>
  <c r="B87" i="151"/>
  <c r="E86" i="151"/>
  <c r="E98" i="155" l="1"/>
  <c r="E100" i="155"/>
  <c r="C12" i="155" s="1"/>
  <c r="E87" i="151"/>
  <c r="B88" i="151"/>
  <c r="B90" i="151" l="1"/>
  <c r="E90" i="151" s="1"/>
  <c r="B89" i="151"/>
  <c r="C11" i="151" s="1"/>
  <c r="E88" i="151"/>
  <c r="C30" i="149" l="1"/>
  <c r="C31" i="149" s="1"/>
  <c r="D29" i="149"/>
  <c r="K28" i="149"/>
  <c r="D28" i="149"/>
  <c r="K27" i="149"/>
  <c r="D27" i="149"/>
  <c r="D26" i="149"/>
  <c r="D25" i="149"/>
  <c r="D24" i="149"/>
  <c r="I23" i="149"/>
  <c r="H23" i="149"/>
  <c r="D23" i="149"/>
  <c r="I22" i="149"/>
  <c r="I30" i="149" s="1"/>
  <c r="H22" i="149"/>
  <c r="K22" i="149" s="1"/>
  <c r="D22" i="149"/>
  <c r="D21" i="149"/>
  <c r="D20" i="149"/>
  <c r="H19" i="149"/>
  <c r="K19" i="149" s="1"/>
  <c r="J18" i="149"/>
  <c r="D18" i="149"/>
  <c r="J13" i="149"/>
  <c r="J30" i="149" s="1"/>
  <c r="D11" i="149"/>
  <c r="B11" i="149"/>
  <c r="E11" i="149" s="1"/>
  <c r="A7" i="149"/>
  <c r="B3" i="149"/>
  <c r="B2" i="149"/>
  <c r="G1249" i="2"/>
  <c r="J1249" i="2"/>
  <c r="G1250" i="2"/>
  <c r="J1250" i="2"/>
  <c r="G1248" i="2"/>
  <c r="J1248" i="2"/>
  <c r="G1251" i="2"/>
  <c r="J1251" i="2"/>
  <c r="K23" i="149" l="1"/>
  <c r="B12" i="149"/>
  <c r="E12" i="149" s="1"/>
  <c r="K30" i="149"/>
  <c r="D30" i="149"/>
  <c r="D31" i="149" s="1"/>
  <c r="H30" i="149"/>
  <c r="A12" i="149"/>
  <c r="A13" i="149" s="1"/>
  <c r="A14" i="149" s="1"/>
  <c r="A15" i="149" s="1"/>
  <c r="A16" i="149" s="1"/>
  <c r="C7" i="149" s="1"/>
  <c r="B13" i="149" l="1"/>
  <c r="B14" i="149"/>
  <c r="E13" i="149"/>
  <c r="B7" i="149"/>
  <c r="A17" i="149"/>
  <c r="A18" i="149" s="1"/>
  <c r="A19" i="149" s="1"/>
  <c r="A20" i="149" s="1"/>
  <c r="A21" i="149" s="1"/>
  <c r="A22" i="149" s="1"/>
  <c r="A23" i="149" s="1"/>
  <c r="A24" i="149" s="1"/>
  <c r="A25" i="149" s="1"/>
  <c r="C8" i="149" l="1"/>
  <c r="B8" i="149"/>
  <c r="A26" i="149"/>
  <c r="A27" i="149" s="1"/>
  <c r="A28" i="149" s="1"/>
  <c r="A29" i="149" s="1"/>
  <c r="B15" i="149"/>
  <c r="E14" i="149"/>
  <c r="G1240" i="2"/>
  <c r="J1240" i="2"/>
  <c r="G1241" i="2"/>
  <c r="J1241" i="2"/>
  <c r="G1242" i="2"/>
  <c r="J1242" i="2"/>
  <c r="G1243" i="2"/>
  <c r="J1243" i="2"/>
  <c r="G1244" i="2"/>
  <c r="J1244" i="2"/>
  <c r="G1245" i="2"/>
  <c r="J1245" i="2"/>
  <c r="E15" i="149" l="1"/>
  <c r="B16" i="149"/>
  <c r="G1239" i="2"/>
  <c r="G1238" i="2"/>
  <c r="B17" i="149" l="1"/>
  <c r="E16" i="149"/>
  <c r="G1235" i="2"/>
  <c r="J1235" i="2"/>
  <c r="G1236" i="2"/>
  <c r="J1236" i="2"/>
  <c r="C30" i="148"/>
  <c r="C31" i="148" s="1"/>
  <c r="D29" i="148"/>
  <c r="K28" i="148"/>
  <c r="D28" i="148"/>
  <c r="K27" i="148"/>
  <c r="D27" i="148"/>
  <c r="D26" i="148"/>
  <c r="D25" i="148"/>
  <c r="D24" i="148"/>
  <c r="I23" i="148"/>
  <c r="H23" i="148"/>
  <c r="D23" i="148"/>
  <c r="I22" i="148"/>
  <c r="H22" i="148"/>
  <c r="K22" i="148" s="1"/>
  <c r="D22" i="148"/>
  <c r="D21" i="148"/>
  <c r="D20" i="148"/>
  <c r="H19" i="148"/>
  <c r="K19" i="148" s="1"/>
  <c r="J18" i="148"/>
  <c r="D18" i="148"/>
  <c r="J13" i="148"/>
  <c r="J30" i="148" s="1"/>
  <c r="D11" i="148"/>
  <c r="B11" i="148"/>
  <c r="E11" i="148" s="1"/>
  <c r="A7" i="148"/>
  <c r="B3" i="148"/>
  <c r="B2" i="148"/>
  <c r="I30" i="148" l="1"/>
  <c r="K23" i="148"/>
  <c r="K30" i="148" s="1"/>
  <c r="B12" i="148"/>
  <c r="B18" i="149"/>
  <c r="E17" i="149"/>
  <c r="B13" i="148"/>
  <c r="E12" i="148"/>
  <c r="D30" i="148"/>
  <c r="D31" i="148" s="1"/>
  <c r="H30" i="148"/>
  <c r="A12" i="148"/>
  <c r="A13" i="148" s="1"/>
  <c r="A14" i="148" s="1"/>
  <c r="A15" i="148" s="1"/>
  <c r="A16" i="148" s="1"/>
  <c r="C7" i="148" s="1"/>
  <c r="E18" i="149" l="1"/>
  <c r="B19" i="149"/>
  <c r="B7" i="148"/>
  <c r="A17" i="148"/>
  <c r="A18" i="148" s="1"/>
  <c r="A19" i="148" s="1"/>
  <c r="A20" i="148" s="1"/>
  <c r="A21" i="148" s="1"/>
  <c r="A22" i="148" s="1"/>
  <c r="A23" i="148" s="1"/>
  <c r="A24" i="148" s="1"/>
  <c r="A25" i="148" s="1"/>
  <c r="B14" i="148"/>
  <c r="E13" i="148"/>
  <c r="E19" i="149" l="1"/>
  <c r="B20" i="149"/>
  <c r="B15" i="148"/>
  <c r="E14" i="148"/>
  <c r="C8" i="148"/>
  <c r="A26" i="148"/>
  <c r="A27" i="148" s="1"/>
  <c r="A28" i="148" s="1"/>
  <c r="A29" i="148" s="1"/>
  <c r="B8" i="148"/>
  <c r="G1229" i="2"/>
  <c r="J1229" i="2"/>
  <c r="G1230" i="2"/>
  <c r="J1230" i="2"/>
  <c r="G1231" i="2"/>
  <c r="J1231" i="2"/>
  <c r="G1232" i="2"/>
  <c r="J1232" i="2"/>
  <c r="G1233" i="2"/>
  <c r="J1233" i="2"/>
  <c r="G1234" i="2"/>
  <c r="J1234" i="2"/>
  <c r="G1237" i="2"/>
  <c r="J1237" i="2"/>
  <c r="J1238" i="2"/>
  <c r="J1239" i="2"/>
  <c r="G1246" i="2"/>
  <c r="J1246" i="2"/>
  <c r="G1247" i="2"/>
  <c r="J1247" i="2"/>
  <c r="E20" i="149" l="1"/>
  <c r="B21" i="149"/>
  <c r="E15" i="148"/>
  <c r="B16" i="148"/>
  <c r="G1223" i="2"/>
  <c r="J1223" i="2"/>
  <c r="G1222" i="2"/>
  <c r="J1222" i="2"/>
  <c r="G1224" i="2"/>
  <c r="J1224" i="2"/>
  <c r="G1225" i="2"/>
  <c r="J1225" i="2"/>
  <c r="G1217" i="2"/>
  <c r="J1217" i="2"/>
  <c r="G1218" i="2"/>
  <c r="J1218" i="2"/>
  <c r="G1219" i="2"/>
  <c r="J1219" i="2"/>
  <c r="G1220" i="2"/>
  <c r="J1220" i="2"/>
  <c r="G1215" i="2"/>
  <c r="J1215" i="2"/>
  <c r="G1210" i="2"/>
  <c r="J1210" i="2"/>
  <c r="G1211" i="2"/>
  <c r="J1211" i="2"/>
  <c r="G1212" i="2"/>
  <c r="J1212" i="2"/>
  <c r="G1213" i="2"/>
  <c r="J1213" i="2"/>
  <c r="G1214" i="2"/>
  <c r="J1214" i="2"/>
  <c r="G1216" i="2"/>
  <c r="J1216" i="2"/>
  <c r="G1221" i="2"/>
  <c r="J1221" i="2"/>
  <c r="G1226" i="2"/>
  <c r="J1226" i="2"/>
  <c r="G1227" i="2"/>
  <c r="J1227" i="2"/>
  <c r="G1228" i="2"/>
  <c r="J1228" i="2"/>
  <c r="C30" i="147"/>
  <c r="C31" i="147" s="1"/>
  <c r="D29" i="147"/>
  <c r="K28" i="147"/>
  <c r="D28" i="147"/>
  <c r="K27" i="147"/>
  <c r="D27" i="147"/>
  <c r="D26" i="147"/>
  <c r="D25" i="147"/>
  <c r="D24" i="147"/>
  <c r="I23" i="147"/>
  <c r="H23" i="147"/>
  <c r="D23" i="147"/>
  <c r="I22" i="147"/>
  <c r="H22" i="147"/>
  <c r="K22" i="147" s="1"/>
  <c r="D22" i="147"/>
  <c r="D21" i="147"/>
  <c r="D20" i="147"/>
  <c r="H19" i="147"/>
  <c r="K19" i="147" s="1"/>
  <c r="J18" i="147"/>
  <c r="D18" i="147"/>
  <c r="J13" i="147"/>
  <c r="D11" i="147"/>
  <c r="A12" i="147" s="1"/>
  <c r="A13" i="147" s="1"/>
  <c r="A14" i="147" s="1"/>
  <c r="A15" i="147" s="1"/>
  <c r="A16" i="147" s="1"/>
  <c r="B11" i="147"/>
  <c r="E11" i="147" s="1"/>
  <c r="A7" i="147"/>
  <c r="B3" i="147"/>
  <c r="B2" i="147"/>
  <c r="J30" i="147" l="1"/>
  <c r="I30" i="147"/>
  <c r="K23" i="147"/>
  <c r="K30" i="147" s="1"/>
  <c r="E21" i="149"/>
  <c r="B22" i="149"/>
  <c r="B17" i="148"/>
  <c r="E16" i="148"/>
  <c r="B12" i="147"/>
  <c r="B13" i="147" s="1"/>
  <c r="B14" i="147" s="1"/>
  <c r="B7" i="147"/>
  <c r="A17" i="147"/>
  <c r="A18" i="147" s="1"/>
  <c r="A19" i="147" s="1"/>
  <c r="A20" i="147" s="1"/>
  <c r="A21" i="147" s="1"/>
  <c r="A22" i="147" s="1"/>
  <c r="A23" i="147" s="1"/>
  <c r="A24" i="147" s="1"/>
  <c r="A25" i="147" s="1"/>
  <c r="C7" i="147"/>
  <c r="D30" i="147"/>
  <c r="D31" i="147" s="1"/>
  <c r="H30" i="147"/>
  <c r="E12" i="147" l="1"/>
  <c r="E22" i="149"/>
  <c r="B23" i="149"/>
  <c r="B18" i="148"/>
  <c r="E17" i="148"/>
  <c r="E13" i="147"/>
  <c r="C8" i="147"/>
  <c r="A26" i="147"/>
  <c r="A27" i="147" s="1"/>
  <c r="A28" i="147" s="1"/>
  <c r="A29" i="147" s="1"/>
  <c r="B8" i="147"/>
  <c r="B15" i="147"/>
  <c r="E14" i="147"/>
  <c r="E23" i="149" l="1"/>
  <c r="B24" i="149"/>
  <c r="E18" i="148"/>
  <c r="B19" i="148"/>
  <c r="E15" i="147"/>
  <c r="B16" i="147"/>
  <c r="G1206" i="2"/>
  <c r="J1206" i="2"/>
  <c r="G1207" i="2"/>
  <c r="J1207" i="2"/>
  <c r="E24" i="149" l="1"/>
  <c r="B25" i="149"/>
  <c r="E19" i="148"/>
  <c r="B20" i="148"/>
  <c r="B17" i="147"/>
  <c r="E16" i="147"/>
  <c r="G1492" i="2"/>
  <c r="J1492" i="2"/>
  <c r="G1201" i="2"/>
  <c r="J1201" i="2"/>
  <c r="G1202" i="2"/>
  <c r="J1202" i="2"/>
  <c r="G1203" i="2"/>
  <c r="J1203" i="2"/>
  <c r="G1204" i="2"/>
  <c r="J1204" i="2"/>
  <c r="G1205" i="2"/>
  <c r="J1205" i="2"/>
  <c r="G1208" i="2"/>
  <c r="J1208" i="2"/>
  <c r="G1209" i="2"/>
  <c r="J1209" i="2"/>
  <c r="C30" i="146"/>
  <c r="C31" i="146" s="1"/>
  <c r="D29" i="146"/>
  <c r="K28" i="146"/>
  <c r="D28" i="146"/>
  <c r="K27" i="146"/>
  <c r="D27" i="146"/>
  <c r="D26" i="146"/>
  <c r="D25" i="146"/>
  <c r="D24" i="146"/>
  <c r="I23" i="146"/>
  <c r="H23" i="146"/>
  <c r="D23" i="146"/>
  <c r="I22" i="146"/>
  <c r="H22" i="146"/>
  <c r="K22" i="146" s="1"/>
  <c r="D22" i="146"/>
  <c r="D21" i="146"/>
  <c r="D20" i="146"/>
  <c r="H19" i="146"/>
  <c r="K19" i="146" s="1"/>
  <c r="J18" i="146"/>
  <c r="D18" i="146"/>
  <c r="J13" i="146"/>
  <c r="J30" i="146" s="1"/>
  <c r="D11" i="146"/>
  <c r="B11" i="146"/>
  <c r="E11" i="146" s="1"/>
  <c r="A7" i="146"/>
  <c r="B3" i="146"/>
  <c r="B2" i="146"/>
  <c r="K23" i="146" l="1"/>
  <c r="K30" i="146" s="1"/>
  <c r="I30" i="146"/>
  <c r="E25" i="149"/>
  <c r="B26" i="149"/>
  <c r="E20" i="148"/>
  <c r="B21" i="148"/>
  <c r="B18" i="147"/>
  <c r="E17" i="147"/>
  <c r="B12" i="146"/>
  <c r="E12" i="146" s="1"/>
  <c r="B13" i="146"/>
  <c r="D30" i="146"/>
  <c r="D31" i="146" s="1"/>
  <c r="H30" i="146"/>
  <c r="A12" i="146"/>
  <c r="A13" i="146" s="1"/>
  <c r="A14" i="146" s="1"/>
  <c r="A15" i="146" s="1"/>
  <c r="A16" i="146" s="1"/>
  <c r="A17" i="146" s="1"/>
  <c r="A18" i="146" s="1"/>
  <c r="A19" i="146" s="1"/>
  <c r="A20" i="146" s="1"/>
  <c r="A21" i="146" s="1"/>
  <c r="A22" i="146" s="1"/>
  <c r="A23" i="146" s="1"/>
  <c r="A24" i="146" s="1"/>
  <c r="A25" i="146" s="1"/>
  <c r="G1191" i="2"/>
  <c r="J1191" i="2"/>
  <c r="G1192" i="2"/>
  <c r="J1192" i="2"/>
  <c r="G1193" i="2"/>
  <c r="J1193" i="2"/>
  <c r="G1194" i="2"/>
  <c r="J1194" i="2"/>
  <c r="G1195" i="2"/>
  <c r="J1195" i="2"/>
  <c r="G1196" i="2"/>
  <c r="J1196" i="2"/>
  <c r="E26" i="149" l="1"/>
  <c r="B27" i="149"/>
  <c r="E21" i="148"/>
  <c r="B22" i="148"/>
  <c r="B19" i="147"/>
  <c r="E18" i="147"/>
  <c r="C8" i="146"/>
  <c r="B8" i="146"/>
  <c r="A26" i="146"/>
  <c r="A27" i="146" s="1"/>
  <c r="A28" i="146" s="1"/>
  <c r="A29" i="146" s="1"/>
  <c r="C7" i="146"/>
  <c r="E13" i="146"/>
  <c r="B14" i="146"/>
  <c r="B7" i="146"/>
  <c r="G1185" i="2"/>
  <c r="J1185" i="2"/>
  <c r="G1186" i="2"/>
  <c r="J1186" i="2"/>
  <c r="G1187" i="2"/>
  <c r="J1187" i="2"/>
  <c r="G1188" i="2"/>
  <c r="J1188" i="2"/>
  <c r="G1189" i="2"/>
  <c r="J1189" i="2"/>
  <c r="G1190" i="2"/>
  <c r="J1190" i="2"/>
  <c r="G1197" i="2"/>
  <c r="J1197" i="2"/>
  <c r="G1198" i="2"/>
  <c r="J1198" i="2"/>
  <c r="G1199" i="2"/>
  <c r="J1199" i="2"/>
  <c r="G1200" i="2"/>
  <c r="J1200" i="2"/>
  <c r="C30" i="145"/>
  <c r="C31" i="145" s="1"/>
  <c r="D29" i="145"/>
  <c r="K28" i="145"/>
  <c r="D28" i="145"/>
  <c r="K27" i="145"/>
  <c r="D27" i="145"/>
  <c r="D26" i="145"/>
  <c r="D25" i="145"/>
  <c r="D24" i="145"/>
  <c r="I23" i="145"/>
  <c r="H23" i="145"/>
  <c r="D23" i="145"/>
  <c r="I22" i="145"/>
  <c r="I30" i="145" s="1"/>
  <c r="H22" i="145"/>
  <c r="D22" i="145"/>
  <c r="D21" i="145"/>
  <c r="D20" i="145"/>
  <c r="H19" i="145"/>
  <c r="K19" i="145" s="1"/>
  <c r="J18" i="145"/>
  <c r="D18" i="145"/>
  <c r="J13" i="145"/>
  <c r="J30" i="145" s="1"/>
  <c r="D11" i="145"/>
  <c r="B11" i="145"/>
  <c r="E11" i="145" s="1"/>
  <c r="A7" i="145"/>
  <c r="B3" i="145"/>
  <c r="B2" i="145"/>
  <c r="K22" i="145" l="1"/>
  <c r="K23" i="145"/>
  <c r="E27" i="149"/>
  <c r="B28" i="149"/>
  <c r="E22" i="148"/>
  <c r="B23" i="148"/>
  <c r="E19" i="147"/>
  <c r="B20" i="147"/>
  <c r="B15" i="146"/>
  <c r="E14" i="146"/>
  <c r="B12" i="145"/>
  <c r="B13" i="145" s="1"/>
  <c r="K30" i="145"/>
  <c r="D30" i="145"/>
  <c r="D31" i="145" s="1"/>
  <c r="A12" i="145"/>
  <c r="A13" i="145" s="1"/>
  <c r="A14" i="145" s="1"/>
  <c r="A15" i="145" s="1"/>
  <c r="A16" i="145" s="1"/>
  <c r="H30" i="145"/>
  <c r="G1178" i="2"/>
  <c r="J1178" i="2"/>
  <c r="E28" i="149" l="1"/>
  <c r="B29" i="149"/>
  <c r="E29" i="149" s="1"/>
  <c r="E23" i="148"/>
  <c r="B24" i="148"/>
  <c r="E20" i="147"/>
  <c r="B21" i="147"/>
  <c r="E15" i="146"/>
  <c r="B16" i="146"/>
  <c r="E12" i="145"/>
  <c r="C7" i="145"/>
  <c r="A17" i="145"/>
  <c r="A18" i="145" s="1"/>
  <c r="A19" i="145" s="1"/>
  <c r="A20" i="145" s="1"/>
  <c r="A21" i="145" s="1"/>
  <c r="A22" i="145" s="1"/>
  <c r="A23" i="145" s="1"/>
  <c r="A24" i="145" s="1"/>
  <c r="A25" i="145" s="1"/>
  <c r="B7" i="145"/>
  <c r="E13" i="145"/>
  <c r="B14" i="145"/>
  <c r="G1175" i="2"/>
  <c r="J1175" i="2"/>
  <c r="G1489" i="2"/>
  <c r="J1489" i="2"/>
  <c r="G1180" i="2"/>
  <c r="J1180" i="2"/>
  <c r="G1181" i="2"/>
  <c r="J1181" i="2"/>
  <c r="G1182" i="2"/>
  <c r="J1182" i="2"/>
  <c r="G1183" i="2"/>
  <c r="J1183" i="2"/>
  <c r="G1184" i="2"/>
  <c r="J1184" i="2"/>
  <c r="E24" i="148" l="1"/>
  <c r="B25" i="148"/>
  <c r="E21" i="147"/>
  <c r="B22" i="147"/>
  <c r="B17" i="146"/>
  <c r="E16" i="146"/>
  <c r="A26" i="145"/>
  <c r="A27" i="145" s="1"/>
  <c r="A28" i="145" s="1"/>
  <c r="A29" i="145" s="1"/>
  <c r="B8" i="145"/>
  <c r="C8" i="145"/>
  <c r="B15" i="145"/>
  <c r="E14" i="145"/>
  <c r="G1173" i="2"/>
  <c r="J1173" i="2"/>
  <c r="G1174" i="2"/>
  <c r="J1174" i="2"/>
  <c r="G1176" i="2"/>
  <c r="J1176" i="2"/>
  <c r="G1177" i="2"/>
  <c r="J1177" i="2"/>
  <c r="C30" i="144"/>
  <c r="C31" i="144" s="1"/>
  <c r="D29" i="144"/>
  <c r="K28" i="144"/>
  <c r="D28" i="144"/>
  <c r="K27" i="144"/>
  <c r="D27" i="144"/>
  <c r="D26" i="144"/>
  <c r="D25" i="144"/>
  <c r="D24" i="144"/>
  <c r="I23" i="144"/>
  <c r="H23" i="144"/>
  <c r="D23" i="144"/>
  <c r="I22" i="144"/>
  <c r="H22" i="144"/>
  <c r="D22" i="144"/>
  <c r="D21" i="144"/>
  <c r="H19" i="144"/>
  <c r="K19" i="144" s="1"/>
  <c r="J18" i="144"/>
  <c r="D18" i="144"/>
  <c r="D15" i="144"/>
  <c r="J13" i="144"/>
  <c r="J30" i="144" s="1"/>
  <c r="D11" i="144"/>
  <c r="A12" i="144" s="1"/>
  <c r="B11" i="144"/>
  <c r="E11" i="144" s="1"/>
  <c r="A7" i="144"/>
  <c r="B3" i="144"/>
  <c r="B2" i="144"/>
  <c r="K23" i="144" l="1"/>
  <c r="K22" i="144"/>
  <c r="K30" i="144" s="1"/>
  <c r="E25" i="148"/>
  <c r="B26" i="148"/>
  <c r="E22" i="147"/>
  <c r="B23" i="147"/>
  <c r="B18" i="146"/>
  <c r="E17" i="146"/>
  <c r="E15" i="145"/>
  <c r="B16" i="145"/>
  <c r="I30" i="144"/>
  <c r="B12" i="144"/>
  <c r="B13" i="144" s="1"/>
  <c r="E13" i="144" s="1"/>
  <c r="A13" i="144"/>
  <c r="A14" i="144" s="1"/>
  <c r="A15" i="144" s="1"/>
  <c r="A16" i="144" s="1"/>
  <c r="D30" i="144"/>
  <c r="D31" i="144" s="1"/>
  <c r="H30" i="144"/>
  <c r="G1488" i="2"/>
  <c r="J1488" i="2"/>
  <c r="G1169" i="2"/>
  <c r="J1169" i="2"/>
  <c r="E26" i="148" l="1"/>
  <c r="B27" i="148"/>
  <c r="E23" i="147"/>
  <c r="B24" i="147"/>
  <c r="E18" i="146"/>
  <c r="B19" i="146"/>
  <c r="B17" i="145"/>
  <c r="E16" i="145"/>
  <c r="E12" i="144"/>
  <c r="B14" i="144"/>
  <c r="C7" i="144"/>
  <c r="B7" i="144"/>
  <c r="A17" i="144"/>
  <c r="A18" i="144" s="1"/>
  <c r="A19" i="144" s="1"/>
  <c r="A20" i="144" s="1"/>
  <c r="A21" i="144" s="1"/>
  <c r="A22" i="144" s="1"/>
  <c r="A23" i="144" s="1"/>
  <c r="A24" i="144" s="1"/>
  <c r="A25" i="144" s="1"/>
  <c r="G1172" i="2"/>
  <c r="J1172" i="2"/>
  <c r="G1179" i="2"/>
  <c r="J1179" i="2"/>
  <c r="G1164" i="2"/>
  <c r="J1164" i="2"/>
  <c r="G1165" i="2"/>
  <c r="J1165" i="2"/>
  <c r="G1166" i="2"/>
  <c r="J1166" i="2"/>
  <c r="G1167" i="2"/>
  <c r="J1167" i="2"/>
  <c r="G1168" i="2"/>
  <c r="J1168" i="2"/>
  <c r="G1170" i="2"/>
  <c r="J1170" i="2"/>
  <c r="G1171" i="2"/>
  <c r="J1171" i="2"/>
  <c r="E27" i="148" l="1"/>
  <c r="B28" i="148"/>
  <c r="E24" i="147"/>
  <c r="B25" i="147"/>
  <c r="E19" i="146"/>
  <c r="B20" i="146"/>
  <c r="B18" i="145"/>
  <c r="E17" i="145"/>
  <c r="E14" i="144"/>
  <c r="B15" i="144"/>
  <c r="C8" i="144"/>
  <c r="B8" i="144"/>
  <c r="A26" i="144"/>
  <c r="A27" i="144" s="1"/>
  <c r="A28" i="144" s="1"/>
  <c r="A29" i="144" s="1"/>
  <c r="A7" i="141"/>
  <c r="E28" i="148" l="1"/>
  <c r="B29" i="148"/>
  <c r="E29" i="148" s="1"/>
  <c r="E25" i="147"/>
  <c r="B26" i="147"/>
  <c r="E20" i="146"/>
  <c r="B21" i="146"/>
  <c r="E18" i="145"/>
  <c r="B19" i="145"/>
  <c r="E15" i="144"/>
  <c r="B16" i="144"/>
  <c r="K55" i="143"/>
  <c r="J55" i="143"/>
  <c r="I55" i="143"/>
  <c r="H55" i="143"/>
  <c r="D55" i="143"/>
  <c r="D56" i="143" s="1"/>
  <c r="D54" i="143"/>
  <c r="N50" i="143"/>
  <c r="L50" i="143"/>
  <c r="N51" i="143" s="1"/>
  <c r="L46" i="143"/>
  <c r="L43" i="143"/>
  <c r="L42" i="143"/>
  <c r="L41" i="143"/>
  <c r="N40" i="143"/>
  <c r="L40" i="143"/>
  <c r="N41" i="143" s="1"/>
  <c r="L27" i="143"/>
  <c r="L24" i="143"/>
  <c r="N23" i="143"/>
  <c r="L23" i="143"/>
  <c r="N24" i="143" s="1"/>
  <c r="L22" i="143"/>
  <c r="L21" i="143"/>
  <c r="L20" i="143"/>
  <c r="L19" i="143"/>
  <c r="L18" i="143"/>
  <c r="L17" i="143"/>
  <c r="L16" i="143"/>
  <c r="N15" i="143"/>
  <c r="N14" i="143"/>
  <c r="A14" i="143"/>
  <c r="A15" i="143" s="1"/>
  <c r="A16" i="143" s="1"/>
  <c r="A17" i="143" s="1"/>
  <c r="A18" i="143" s="1"/>
  <c r="A19" i="143" s="1"/>
  <c r="A20" i="143" s="1"/>
  <c r="A21" i="143" s="1"/>
  <c r="A22" i="143" s="1"/>
  <c r="A23" i="143" s="1"/>
  <c r="A24" i="143" s="1"/>
  <c r="A25" i="143" s="1"/>
  <c r="A26" i="143" s="1"/>
  <c r="A27" i="143" s="1"/>
  <c r="A28" i="143" s="1"/>
  <c r="A29" i="143" s="1"/>
  <c r="A30" i="143" s="1"/>
  <c r="A31" i="143" s="1"/>
  <c r="A32" i="143" s="1"/>
  <c r="A33" i="143" s="1"/>
  <c r="N13" i="143"/>
  <c r="B13" i="143"/>
  <c r="B14" i="143" s="1"/>
  <c r="A7" i="143"/>
  <c r="B3" i="143"/>
  <c r="B2" i="143"/>
  <c r="B26" i="142"/>
  <c r="D21" i="142"/>
  <c r="D22" i="142" s="1"/>
  <c r="C21" i="142"/>
  <c r="C22" i="142" s="1"/>
  <c r="A12" i="142"/>
  <c r="A13" i="142" s="1"/>
  <c r="A14" i="142" s="1"/>
  <c r="A15" i="142" s="1"/>
  <c r="A16" i="142" s="1"/>
  <c r="A17" i="142" s="1"/>
  <c r="A18" i="142" s="1"/>
  <c r="A19" i="142" s="1"/>
  <c r="A20" i="142" s="1"/>
  <c r="B11" i="142"/>
  <c r="B12" i="142" s="1"/>
  <c r="A8" i="142"/>
  <c r="A7" i="142"/>
  <c r="B3" i="142"/>
  <c r="B2" i="142"/>
  <c r="L55" i="143" l="1"/>
  <c r="C7" i="142"/>
  <c r="C8" i="142"/>
  <c r="E26" i="147"/>
  <c r="B27" i="147"/>
  <c r="E21" i="146"/>
  <c r="B22" i="146"/>
  <c r="E19" i="145"/>
  <c r="B20" i="145"/>
  <c r="B17" i="144"/>
  <c r="E16" i="144"/>
  <c r="N16" i="143"/>
  <c r="E14" i="143"/>
  <c r="B15" i="143"/>
  <c r="A34" i="143"/>
  <c r="A35" i="143" s="1"/>
  <c r="A36" i="143" s="1"/>
  <c r="A38" i="143" s="1"/>
  <c r="A39" i="143" s="1"/>
  <c r="A40" i="143" s="1"/>
  <c r="A41" i="143" s="1"/>
  <c r="A42" i="143" s="1"/>
  <c r="A43" i="143" s="1"/>
  <c r="A44" i="143" s="1"/>
  <c r="A45" i="143" s="1"/>
  <c r="A46" i="143" s="1"/>
  <c r="A47" i="143" s="1"/>
  <c r="A48" i="143" s="1"/>
  <c r="A49" i="143" s="1"/>
  <c r="A50" i="143" s="1"/>
  <c r="A51" i="143" s="1"/>
  <c r="B7" i="143"/>
  <c r="E13" i="143"/>
  <c r="B13" i="142"/>
  <c r="E12" i="142"/>
  <c r="E11" i="142"/>
  <c r="B7" i="142"/>
  <c r="B8" i="142"/>
  <c r="G1565" i="2"/>
  <c r="G1564" i="2"/>
  <c r="G1562" i="2"/>
  <c r="J1562" i="2"/>
  <c r="G1563" i="2"/>
  <c r="J1563" i="2"/>
  <c r="E27" i="147" l="1"/>
  <c r="B28" i="147"/>
  <c r="E22" i="146"/>
  <c r="B23" i="146"/>
  <c r="E20" i="145"/>
  <c r="B21" i="145"/>
  <c r="E17" i="144"/>
  <c r="B18" i="144"/>
  <c r="C8" i="143"/>
  <c r="B8" i="143"/>
  <c r="A52" i="143"/>
  <c r="B16" i="143"/>
  <c r="E15" i="143"/>
  <c r="B14" i="142"/>
  <c r="E13" i="142"/>
  <c r="G1155" i="2"/>
  <c r="J1155" i="2"/>
  <c r="G1156" i="2"/>
  <c r="J1156" i="2"/>
  <c r="G1157" i="2"/>
  <c r="J1157" i="2"/>
  <c r="G1158" i="2"/>
  <c r="J1158" i="2"/>
  <c r="G1159" i="2"/>
  <c r="J1159" i="2"/>
  <c r="G1160" i="2"/>
  <c r="J1160" i="2"/>
  <c r="G1161" i="2"/>
  <c r="J1161" i="2"/>
  <c r="G1162" i="2"/>
  <c r="J1162" i="2"/>
  <c r="G1163" i="2"/>
  <c r="J1163" i="2"/>
  <c r="E28" i="147" l="1"/>
  <c r="B29" i="147"/>
  <c r="E29" i="147" s="1"/>
  <c r="E23" i="146"/>
  <c r="B24" i="146"/>
  <c r="E21" i="145"/>
  <c r="B22" i="145"/>
  <c r="E18" i="144"/>
  <c r="B19" i="144"/>
  <c r="E16" i="143"/>
  <c r="B17" i="143"/>
  <c r="B15" i="142"/>
  <c r="E14" i="142"/>
  <c r="B26" i="141"/>
  <c r="D21" i="141"/>
  <c r="D22" i="141" s="1"/>
  <c r="C21" i="141"/>
  <c r="C22" i="141" s="1"/>
  <c r="A12" i="141"/>
  <c r="A13" i="141" s="1"/>
  <c r="A14" i="141" s="1"/>
  <c r="A15" i="141" s="1"/>
  <c r="A16" i="141" s="1"/>
  <c r="A17" i="141" s="1"/>
  <c r="A18" i="141" s="1"/>
  <c r="A19" i="141" s="1"/>
  <c r="A20" i="141" s="1"/>
  <c r="B11" i="141"/>
  <c r="E11" i="141" s="1"/>
  <c r="A8" i="141"/>
  <c r="B3" i="141"/>
  <c r="B2" i="141"/>
  <c r="B26" i="140"/>
  <c r="D21" i="140"/>
  <c r="D22" i="140" s="1"/>
  <c r="C21" i="140"/>
  <c r="C22" i="140" s="1"/>
  <c r="A12" i="140"/>
  <c r="A13" i="140" s="1"/>
  <c r="A14" i="140" s="1"/>
  <c r="A15" i="140" s="1"/>
  <c r="A16" i="140" s="1"/>
  <c r="A17" i="140" s="1"/>
  <c r="A18" i="140" s="1"/>
  <c r="A19" i="140" s="1"/>
  <c r="A20" i="140" s="1"/>
  <c r="B11" i="140"/>
  <c r="E11" i="140" s="1"/>
  <c r="A8" i="140"/>
  <c r="A7" i="140"/>
  <c r="B3" i="140"/>
  <c r="B2" i="140"/>
  <c r="B7" i="140" l="1"/>
  <c r="E24" i="146"/>
  <c r="B25" i="146"/>
  <c r="E22" i="145"/>
  <c r="B23" i="145"/>
  <c r="E19" i="144"/>
  <c r="B20" i="144"/>
  <c r="C8" i="140"/>
  <c r="B12" i="141"/>
  <c r="B13" i="141" s="1"/>
  <c r="B18" i="143"/>
  <c r="E17" i="143"/>
  <c r="E15" i="142"/>
  <c r="B16" i="142"/>
  <c r="C8" i="141"/>
  <c r="B7" i="141"/>
  <c r="B14" i="141"/>
  <c r="E13" i="141"/>
  <c r="C7" i="141"/>
  <c r="E12" i="141"/>
  <c r="B8" i="141"/>
  <c r="B12" i="140"/>
  <c r="E12" i="140" s="1"/>
  <c r="C7" i="140"/>
  <c r="B8" i="140"/>
  <c r="G1152" i="2"/>
  <c r="J1152" i="2"/>
  <c r="G1153" i="2"/>
  <c r="J1153" i="2"/>
  <c r="G1154" i="2"/>
  <c r="J1154" i="2"/>
  <c r="G1149" i="2"/>
  <c r="J1149" i="2"/>
  <c r="G1150" i="2"/>
  <c r="J1150" i="2"/>
  <c r="G1141" i="2"/>
  <c r="J1141" i="2"/>
  <c r="G1142" i="2"/>
  <c r="J1142" i="2"/>
  <c r="G1143" i="2"/>
  <c r="J1143" i="2"/>
  <c r="G1144" i="2"/>
  <c r="J1144" i="2"/>
  <c r="G1145" i="2"/>
  <c r="J1145" i="2"/>
  <c r="G1146" i="2"/>
  <c r="J1146" i="2"/>
  <c r="G1147" i="2"/>
  <c r="J1147" i="2"/>
  <c r="G1148" i="2"/>
  <c r="J1148" i="2"/>
  <c r="G1151" i="2"/>
  <c r="J1151" i="2"/>
  <c r="G1486" i="2"/>
  <c r="J1486" i="2"/>
  <c r="G1487" i="2"/>
  <c r="J1487" i="2"/>
  <c r="G1135" i="2"/>
  <c r="J1135" i="2"/>
  <c r="G1136" i="2"/>
  <c r="J1136" i="2"/>
  <c r="G1137" i="2"/>
  <c r="J1137" i="2"/>
  <c r="G1138" i="2"/>
  <c r="J1138" i="2"/>
  <c r="G1139" i="2"/>
  <c r="J1139" i="2"/>
  <c r="G1140" i="2"/>
  <c r="J1140" i="2"/>
  <c r="E25" i="146" l="1"/>
  <c r="B26" i="146"/>
  <c r="E23" i="145"/>
  <c r="B24" i="145"/>
  <c r="E20" i="144"/>
  <c r="B21" i="144"/>
  <c r="E18" i="143"/>
  <c r="B19" i="143"/>
  <c r="E16" i="142"/>
  <c r="B17" i="142"/>
  <c r="E14" i="141"/>
  <c r="B15" i="141"/>
  <c r="B13" i="140"/>
  <c r="B14" i="140" s="1"/>
  <c r="G1573" i="2"/>
  <c r="J1573" i="2"/>
  <c r="G1574" i="2"/>
  <c r="J1574" i="2"/>
  <c r="G1575" i="2"/>
  <c r="J1575" i="2"/>
  <c r="G1572" i="2"/>
  <c r="J1572" i="2"/>
  <c r="B46" i="139"/>
  <c r="E46" i="139" s="1"/>
  <c r="G1132" i="2"/>
  <c r="J1132" i="2"/>
  <c r="G1133" i="2"/>
  <c r="J1133" i="2"/>
  <c r="J1130" i="2"/>
  <c r="G1130" i="2"/>
  <c r="G1131" i="2"/>
  <c r="J1131" i="2"/>
  <c r="G1134" i="2"/>
  <c r="J1134" i="2"/>
  <c r="E26" i="146" l="1"/>
  <c r="B27" i="146"/>
  <c r="E24" i="145"/>
  <c r="B25" i="145"/>
  <c r="E21" i="144"/>
  <c r="B22" i="144"/>
  <c r="B20" i="143"/>
  <c r="E19" i="143"/>
  <c r="B18" i="142"/>
  <c r="E17" i="142"/>
  <c r="E15" i="141"/>
  <c r="B16" i="141"/>
  <c r="E13" i="140"/>
  <c r="E14" i="140"/>
  <c r="B15" i="140"/>
  <c r="G1571" i="2"/>
  <c r="J1571" i="2"/>
  <c r="G1485" i="2"/>
  <c r="J1485" i="2"/>
  <c r="E27" i="146" l="1"/>
  <c r="B28" i="146"/>
  <c r="E25" i="145"/>
  <c r="B26" i="145"/>
  <c r="B23" i="144"/>
  <c r="E22" i="144"/>
  <c r="E20" i="143"/>
  <c r="B21" i="143"/>
  <c r="B27" i="142"/>
  <c r="B19" i="142"/>
  <c r="E18" i="142"/>
  <c r="B17" i="141"/>
  <c r="E16" i="141"/>
  <c r="B16" i="140"/>
  <c r="E15" i="140"/>
  <c r="G1576" i="2"/>
  <c r="J1576" i="2"/>
  <c r="G1577" i="2"/>
  <c r="J1577" i="2"/>
  <c r="B3" i="139"/>
  <c r="B14" i="139" s="1"/>
  <c r="M62" i="139"/>
  <c r="K62" i="139"/>
  <c r="J62" i="139"/>
  <c r="I62" i="139"/>
  <c r="H62" i="139"/>
  <c r="C62" i="139"/>
  <c r="C63" i="139" s="1"/>
  <c r="D59" i="139"/>
  <c r="D58" i="139"/>
  <c r="L56" i="139"/>
  <c r="D56" i="139"/>
  <c r="D55" i="139"/>
  <c r="D54" i="139"/>
  <c r="L53" i="139"/>
  <c r="D53" i="139"/>
  <c r="D51" i="139"/>
  <c r="L50" i="139"/>
  <c r="D50" i="139"/>
  <c r="L49" i="139"/>
  <c r="D49" i="139"/>
  <c r="L48" i="139"/>
  <c r="D48" i="139"/>
  <c r="L47" i="139"/>
  <c r="D47" i="139"/>
  <c r="L45" i="139"/>
  <c r="D45" i="139"/>
  <c r="D43" i="139"/>
  <c r="D41" i="139"/>
  <c r="L40" i="139"/>
  <c r="D40" i="139"/>
  <c r="L39" i="139"/>
  <c r="D39" i="139"/>
  <c r="L38" i="139"/>
  <c r="D38" i="139"/>
  <c r="L37" i="139"/>
  <c r="L36" i="139"/>
  <c r="D34" i="139"/>
  <c r="L32" i="139"/>
  <c r="D32" i="139"/>
  <c r="D30" i="139"/>
  <c r="D29" i="139"/>
  <c r="L28" i="139"/>
  <c r="D28" i="139"/>
  <c r="D27" i="139"/>
  <c r="L26" i="139"/>
  <c r="D26" i="139"/>
  <c r="L25" i="139"/>
  <c r="D25" i="139"/>
  <c r="D24" i="139"/>
  <c r="L23" i="139"/>
  <c r="D23" i="139"/>
  <c r="D22" i="139"/>
  <c r="L21" i="139"/>
  <c r="D21" i="139"/>
  <c r="L20" i="139"/>
  <c r="D20" i="139"/>
  <c r="L19" i="139"/>
  <c r="D19" i="139"/>
  <c r="L18" i="139"/>
  <c r="D18" i="139"/>
  <c r="D17" i="139"/>
  <c r="L16" i="139"/>
  <c r="D16" i="139"/>
  <c r="L15" i="139"/>
  <c r="D15" i="139"/>
  <c r="L14" i="139"/>
  <c r="D14" i="139"/>
  <c r="A14" i="139"/>
  <c r="A10" i="139"/>
  <c r="A9" i="139"/>
  <c r="A8" i="139"/>
  <c r="A7" i="139"/>
  <c r="E28" i="146" l="1"/>
  <c r="B29" i="146"/>
  <c r="E29" i="146" s="1"/>
  <c r="E26" i="145"/>
  <c r="B27" i="145"/>
  <c r="E23" i="144"/>
  <c r="B24" i="144"/>
  <c r="B22" i="143"/>
  <c r="E21" i="143"/>
  <c r="E19" i="142"/>
  <c r="B20" i="142"/>
  <c r="E20" i="142" s="1"/>
  <c r="B18" i="141"/>
  <c r="E17" i="141"/>
  <c r="B17" i="140"/>
  <c r="E16" i="140"/>
  <c r="A15" i="139"/>
  <c r="A16" i="139" s="1"/>
  <c r="A17" i="139" s="1"/>
  <c r="A18" i="139" s="1"/>
  <c r="A19" i="139" s="1"/>
  <c r="A20" i="139" s="1"/>
  <c r="A21" i="139" s="1"/>
  <c r="A22" i="139" s="1"/>
  <c r="A23" i="139" s="1"/>
  <c r="A24" i="139" s="1"/>
  <c r="A25" i="139" s="1"/>
  <c r="A26" i="139" s="1"/>
  <c r="A27" i="139" s="1"/>
  <c r="A28" i="139" s="1"/>
  <c r="A29" i="139" s="1"/>
  <c r="A30" i="139" s="1"/>
  <c r="A31" i="139" s="1"/>
  <c r="A32" i="139" s="1"/>
  <c r="O21" i="139"/>
  <c r="O26" i="139"/>
  <c r="O40" i="139"/>
  <c r="O59" i="139"/>
  <c r="E14" i="139"/>
  <c r="B15" i="139"/>
  <c r="E15" i="139" s="1"/>
  <c r="D62" i="139"/>
  <c r="D63" i="139" s="1"/>
  <c r="L62" i="139"/>
  <c r="E27" i="145" l="1"/>
  <c r="B28" i="145"/>
  <c r="E24" i="144"/>
  <c r="B25" i="144"/>
  <c r="E22" i="143"/>
  <c r="B23" i="143"/>
  <c r="B27" i="141"/>
  <c r="B19" i="141"/>
  <c r="E18" i="141"/>
  <c r="E17" i="140"/>
  <c r="B18" i="140"/>
  <c r="B16" i="139"/>
  <c r="E16" i="139" s="1"/>
  <c r="A34" i="139"/>
  <c r="A36" i="139" s="1"/>
  <c r="A37" i="139" s="1"/>
  <c r="A38" i="139" s="1"/>
  <c r="A39" i="139" s="1"/>
  <c r="A40" i="139" s="1"/>
  <c r="A41" i="139" s="1"/>
  <c r="A33" i="139"/>
  <c r="B7" i="139" s="1"/>
  <c r="E28" i="145" l="1"/>
  <c r="B29" i="145"/>
  <c r="E29" i="145" s="1"/>
  <c r="E25" i="144"/>
  <c r="B26" i="144"/>
  <c r="B24" i="143"/>
  <c r="E23" i="143"/>
  <c r="E19" i="141"/>
  <c r="B20" i="141"/>
  <c r="E20" i="141" s="1"/>
  <c r="B27" i="140"/>
  <c r="B19" i="140"/>
  <c r="E18" i="140"/>
  <c r="B17" i="139"/>
  <c r="E17" i="139" s="1"/>
  <c r="A42" i="139"/>
  <c r="B8" i="139" s="1"/>
  <c r="A43" i="139"/>
  <c r="A45" i="139" s="1"/>
  <c r="E26" i="144" l="1"/>
  <c r="B27" i="144"/>
  <c r="B25" i="143"/>
  <c r="E24" i="143"/>
  <c r="E19" i="140"/>
  <c r="B20" i="140"/>
  <c r="E20" i="140" s="1"/>
  <c r="A47" i="139"/>
  <c r="A48" i="139" s="1"/>
  <c r="A49" i="139" s="1"/>
  <c r="A50" i="139" s="1"/>
  <c r="A51" i="139" s="1"/>
  <c r="A52" i="139" s="1"/>
  <c r="A53" i="139" s="1"/>
  <c r="A54" i="139" s="1"/>
  <c r="A55" i="139" s="1"/>
  <c r="A56" i="139" s="1"/>
  <c r="A46" i="139"/>
  <c r="B18" i="139"/>
  <c r="E18" i="139" s="1"/>
  <c r="E27" i="144" l="1"/>
  <c r="B28" i="144"/>
  <c r="B26" i="143"/>
  <c r="E25" i="143"/>
  <c r="A58" i="139"/>
  <c r="A59" i="139" s="1"/>
  <c r="A57" i="139"/>
  <c r="B9" i="139" s="1"/>
  <c r="B19" i="139"/>
  <c r="B20" i="139" s="1"/>
  <c r="E20" i="139" s="1"/>
  <c r="B29" i="144" l="1"/>
  <c r="E29" i="144" s="1"/>
  <c r="E28" i="144"/>
  <c r="E26" i="143"/>
  <c r="B27" i="143"/>
  <c r="B21" i="139"/>
  <c r="E21" i="139" s="1"/>
  <c r="E19" i="139"/>
  <c r="B28" i="143" l="1"/>
  <c r="E27" i="143"/>
  <c r="B22" i="139"/>
  <c r="E22" i="139" s="1"/>
  <c r="B23" i="139" l="1"/>
  <c r="E28" i="143"/>
  <c r="B29" i="143"/>
  <c r="E23" i="139"/>
  <c r="B24" i="139"/>
  <c r="B30" i="143" l="1"/>
  <c r="E29" i="143"/>
  <c r="B25" i="139"/>
  <c r="E24" i="139"/>
  <c r="B31" i="143" l="1"/>
  <c r="E30" i="143"/>
  <c r="E25" i="139"/>
  <c r="B26" i="139"/>
  <c r="E31" i="143" l="1"/>
  <c r="B32" i="143"/>
  <c r="E26" i="139"/>
  <c r="B27" i="139"/>
  <c r="B33" i="143" l="1"/>
  <c r="E32" i="143"/>
  <c r="E27" i="139"/>
  <c r="B28" i="139"/>
  <c r="B34" i="143" l="1"/>
  <c r="E33" i="143"/>
  <c r="C7" i="143"/>
  <c r="E28" i="139"/>
  <c r="B29" i="139"/>
  <c r="E34" i="143" l="1"/>
  <c r="B35" i="143"/>
  <c r="E29" i="139"/>
  <c r="B30" i="139"/>
  <c r="B31" i="139" s="1"/>
  <c r="B36" i="143" l="1"/>
  <c r="E35" i="143"/>
  <c r="B32" i="139"/>
  <c r="E31" i="139"/>
  <c r="E30" i="139"/>
  <c r="E36" i="143" l="1"/>
  <c r="B38" i="143"/>
  <c r="B34" i="139"/>
  <c r="E32" i="139"/>
  <c r="B33" i="139"/>
  <c r="C7" i="139" s="1"/>
  <c r="B27" i="138"/>
  <c r="D22" i="138"/>
  <c r="D23" i="138" s="1"/>
  <c r="C22" i="138"/>
  <c r="C23" i="138" s="1"/>
  <c r="J21" i="138"/>
  <c r="I21" i="138"/>
  <c r="H21" i="138"/>
  <c r="A12" i="138"/>
  <c r="A13" i="138" s="1"/>
  <c r="A14" i="138" s="1"/>
  <c r="A15" i="138" s="1"/>
  <c r="A16" i="138" s="1"/>
  <c r="A17" i="138" s="1"/>
  <c r="A18" i="138" s="1"/>
  <c r="A19" i="138" s="1"/>
  <c r="A20" i="138" s="1"/>
  <c r="A21" i="138" s="1"/>
  <c r="B11" i="138"/>
  <c r="B12" i="138" s="1"/>
  <c r="A8" i="138"/>
  <c r="B8" i="138" s="1"/>
  <c r="A7" i="138"/>
  <c r="B7" i="138" s="1"/>
  <c r="B3" i="138"/>
  <c r="B2" i="138"/>
  <c r="B27" i="137"/>
  <c r="D22" i="137"/>
  <c r="D23" i="137" s="1"/>
  <c r="C22" i="137"/>
  <c r="C23" i="137" s="1"/>
  <c r="J21" i="137"/>
  <c r="I21" i="137"/>
  <c r="H21" i="137"/>
  <c r="A12" i="137"/>
  <c r="A13" i="137" s="1"/>
  <c r="A14" i="137" s="1"/>
  <c r="A15" i="137" s="1"/>
  <c r="A16" i="137" s="1"/>
  <c r="A17" i="137" s="1"/>
  <c r="A18" i="137" s="1"/>
  <c r="A19" i="137" s="1"/>
  <c r="A20" i="137" s="1"/>
  <c r="A21" i="137" s="1"/>
  <c r="B11" i="137"/>
  <c r="A8" i="137"/>
  <c r="A7" i="137"/>
  <c r="B3" i="137"/>
  <c r="B2" i="137"/>
  <c r="B12" i="137" l="1"/>
  <c r="E11" i="137"/>
  <c r="B39" i="143"/>
  <c r="E38" i="143"/>
  <c r="E34" i="139"/>
  <c r="B36" i="139"/>
  <c r="B13" i="138"/>
  <c r="E12" i="138"/>
  <c r="E11" i="138"/>
  <c r="B7" i="137"/>
  <c r="B8" i="137"/>
  <c r="B13" i="137"/>
  <c r="E12" i="137"/>
  <c r="B40" i="143" l="1"/>
  <c r="E39" i="143"/>
  <c r="B37" i="139"/>
  <c r="E36" i="139"/>
  <c r="E13" i="138"/>
  <c r="B14" i="138"/>
  <c r="E13" i="137"/>
  <c r="B14" i="137"/>
  <c r="G1484" i="2"/>
  <c r="J1484" i="2"/>
  <c r="G1483" i="2"/>
  <c r="J1483" i="2"/>
  <c r="G1481" i="2"/>
  <c r="J1481" i="2"/>
  <c r="G1578" i="2"/>
  <c r="J1578" i="2"/>
  <c r="G1579" i="2"/>
  <c r="J1579" i="2"/>
  <c r="G1479" i="2"/>
  <c r="J1479" i="2"/>
  <c r="G1480" i="2"/>
  <c r="J1480" i="2"/>
  <c r="G1482" i="2"/>
  <c r="J1482" i="2"/>
  <c r="B41" i="143" l="1"/>
  <c r="E40" i="143"/>
  <c r="E37" i="139"/>
  <c r="B38" i="139"/>
  <c r="C7" i="138"/>
  <c r="B15" i="138"/>
  <c r="E14" i="138"/>
  <c r="B15" i="137"/>
  <c r="C7" i="137"/>
  <c r="E14" i="137"/>
  <c r="G1478" i="2"/>
  <c r="J1478" i="2"/>
  <c r="G1125" i="2"/>
  <c r="J1125" i="2"/>
  <c r="G1121" i="2"/>
  <c r="J1121" i="2"/>
  <c r="G1474" i="2"/>
  <c r="J1474" i="2"/>
  <c r="G1124" i="2"/>
  <c r="J1124" i="2"/>
  <c r="G1122" i="2"/>
  <c r="J1122" i="2"/>
  <c r="G1123" i="2"/>
  <c r="J1123" i="2"/>
  <c r="B27" i="136"/>
  <c r="J21" i="136"/>
  <c r="I21" i="136"/>
  <c r="H21" i="136"/>
  <c r="D22" i="136"/>
  <c r="D23" i="136" s="1"/>
  <c r="C22" i="136"/>
  <c r="C23" i="136" s="1"/>
  <c r="A12" i="136"/>
  <c r="A13" i="136" s="1"/>
  <c r="A14" i="136" s="1"/>
  <c r="A15" i="136" s="1"/>
  <c r="A16" i="136" s="1"/>
  <c r="A17" i="136" s="1"/>
  <c r="A18" i="136" s="1"/>
  <c r="A19" i="136" s="1"/>
  <c r="A20" i="136" s="1"/>
  <c r="A21" i="136" s="1"/>
  <c r="B11" i="136"/>
  <c r="B12" i="136" s="1"/>
  <c r="A8" i="136"/>
  <c r="A7" i="136"/>
  <c r="B3" i="136"/>
  <c r="B2" i="136"/>
  <c r="E41" i="143" l="1"/>
  <c r="B42" i="143"/>
  <c r="E38" i="139"/>
  <c r="B39" i="139"/>
  <c r="B16" i="138"/>
  <c r="E15" i="138"/>
  <c r="B16" i="137"/>
  <c r="E15" i="137"/>
  <c r="B7" i="136"/>
  <c r="B8" i="136"/>
  <c r="E12" i="136"/>
  <c r="B13" i="136"/>
  <c r="E11" i="136"/>
  <c r="B43" i="143" l="1"/>
  <c r="E42" i="143"/>
  <c r="B40" i="139"/>
  <c r="E39" i="139"/>
  <c r="E16" i="138"/>
  <c r="B17" i="138"/>
  <c r="E16" i="137"/>
  <c r="B17" i="137"/>
  <c r="B14" i="136"/>
  <c r="E13" i="136"/>
  <c r="E43" i="143" l="1"/>
  <c r="B44" i="143"/>
  <c r="A54" i="143" s="1"/>
  <c r="E40" i="139"/>
  <c r="B41" i="139"/>
  <c r="B18" i="138"/>
  <c r="E17" i="138"/>
  <c r="B18" i="137"/>
  <c r="E17" i="137"/>
  <c r="B15" i="136"/>
  <c r="C7" i="136"/>
  <c r="E14" i="136"/>
  <c r="B45" i="143" l="1"/>
  <c r="E44" i="143"/>
  <c r="E41" i="139"/>
  <c r="B42" i="139"/>
  <c r="C8" i="139" s="1"/>
  <c r="B43" i="139"/>
  <c r="E18" i="138"/>
  <c r="B28" i="138"/>
  <c r="B19" i="138"/>
  <c r="B28" i="137"/>
  <c r="B19" i="137"/>
  <c r="E18" i="137"/>
  <c r="E15" i="136"/>
  <c r="B16" i="136"/>
  <c r="B46" i="143" l="1"/>
  <c r="E45" i="143"/>
  <c r="E43" i="139"/>
  <c r="B45" i="139"/>
  <c r="B47" i="139" s="1"/>
  <c r="E47" i="139" s="1"/>
  <c r="C8" i="138"/>
  <c r="E19" i="138"/>
  <c r="B20" i="138"/>
  <c r="C8" i="137"/>
  <c r="E19" i="137"/>
  <c r="B20" i="137"/>
  <c r="B17" i="136"/>
  <c r="E16" i="136"/>
  <c r="E46" i="143" l="1"/>
  <c r="B47" i="143"/>
  <c r="E45" i="139"/>
  <c r="B21" i="138"/>
  <c r="E21" i="138" s="1"/>
  <c r="E20" i="138"/>
  <c r="B21" i="137"/>
  <c r="E21" i="137" s="1"/>
  <c r="E20" i="137"/>
  <c r="B18" i="136"/>
  <c r="E17" i="136"/>
  <c r="B48" i="143" l="1"/>
  <c r="E47" i="143"/>
  <c r="B48" i="139"/>
  <c r="B28" i="136"/>
  <c r="B19" i="136"/>
  <c r="E18" i="136"/>
  <c r="E48" i="143" l="1"/>
  <c r="B49" i="143"/>
  <c r="E48" i="139"/>
  <c r="B49" i="139"/>
  <c r="B20" i="136"/>
  <c r="E19" i="136"/>
  <c r="C8" i="136"/>
  <c r="B50" i="143" l="1"/>
  <c r="E49" i="143"/>
  <c r="E49" i="139"/>
  <c r="B50" i="139"/>
  <c r="E20" i="136"/>
  <c r="B21" i="136"/>
  <c r="E21" i="136" s="1"/>
  <c r="G1120" i="2"/>
  <c r="J1120" i="2"/>
  <c r="G1129" i="2"/>
  <c r="J1129" i="2"/>
  <c r="G1119" i="2"/>
  <c r="J1119" i="2"/>
  <c r="G1126" i="2"/>
  <c r="J1126" i="2"/>
  <c r="G1127" i="2"/>
  <c r="J1127" i="2"/>
  <c r="G1128" i="2"/>
  <c r="J1128" i="2"/>
  <c r="E50" i="143" l="1"/>
  <c r="B51" i="143"/>
  <c r="E50" i="139"/>
  <c r="B51" i="139"/>
  <c r="G1118" i="2"/>
  <c r="J1118" i="2"/>
  <c r="B52" i="143" l="1"/>
  <c r="E52" i="143" s="1"/>
  <c r="B54" i="143" s="1"/>
  <c r="E51" i="143"/>
  <c r="E51" i="139"/>
  <c r="B52" i="139"/>
  <c r="G1115" i="2"/>
  <c r="J1115" i="2"/>
  <c r="G1116" i="2"/>
  <c r="J1116" i="2"/>
  <c r="E54" i="143" l="1"/>
  <c r="B53" i="139"/>
  <c r="E52" i="139"/>
  <c r="G1113" i="2"/>
  <c r="J1113" i="2"/>
  <c r="G1114" i="2"/>
  <c r="J1114" i="2"/>
  <c r="G1117" i="2"/>
  <c r="J1117" i="2"/>
  <c r="G1109" i="2"/>
  <c r="J1109" i="2"/>
  <c r="G1110" i="2"/>
  <c r="J1110" i="2"/>
  <c r="G1111" i="2"/>
  <c r="J1111" i="2"/>
  <c r="G1112" i="2"/>
  <c r="J1112" i="2"/>
  <c r="C9" i="143" l="1"/>
  <c r="B9" i="143"/>
  <c r="B54" i="139"/>
  <c r="E53" i="139"/>
  <c r="J35" i="135"/>
  <c r="H35" i="135"/>
  <c r="C35" i="135"/>
  <c r="C36" i="135" s="1"/>
  <c r="D34" i="135"/>
  <c r="D33" i="135"/>
  <c r="D32" i="135"/>
  <c r="D31" i="135"/>
  <c r="D30" i="135"/>
  <c r="D29" i="135"/>
  <c r="D28" i="135"/>
  <c r="D27" i="135"/>
  <c r="D26" i="135"/>
  <c r="D25" i="135"/>
  <c r="D24" i="135"/>
  <c r="D23" i="135"/>
  <c r="D22" i="135"/>
  <c r="I20" i="135"/>
  <c r="I35" i="135" s="1"/>
  <c r="D20" i="135"/>
  <c r="D19" i="135"/>
  <c r="D18" i="135"/>
  <c r="D17" i="135"/>
  <c r="D16" i="135"/>
  <c r="D14" i="135"/>
  <c r="D13" i="135"/>
  <c r="A13" i="135"/>
  <c r="B12" i="135"/>
  <c r="B3" i="135" s="1"/>
  <c r="A8" i="135"/>
  <c r="A7" i="135"/>
  <c r="B2" i="135"/>
  <c r="E12" i="135" l="1"/>
  <c r="B13" i="135"/>
  <c r="E13" i="135" s="1"/>
  <c r="A14" i="135"/>
  <c r="E54" i="139"/>
  <c r="B55" i="139"/>
  <c r="A15" i="135"/>
  <c r="A16" i="135" s="1"/>
  <c r="A17" i="135" s="1"/>
  <c r="B7" i="135"/>
  <c r="B14" i="135"/>
  <c r="D35" i="135"/>
  <c r="D36" i="135" s="1"/>
  <c r="G1100" i="2"/>
  <c r="J1100" i="2"/>
  <c r="G1095" i="2"/>
  <c r="J1095" i="2"/>
  <c r="G1475" i="2"/>
  <c r="J1475" i="2"/>
  <c r="G1103" i="2"/>
  <c r="J1103" i="2"/>
  <c r="G1104" i="2"/>
  <c r="J1104" i="2"/>
  <c r="G1105" i="2"/>
  <c r="J1105" i="2"/>
  <c r="G1106" i="2"/>
  <c r="J1106" i="2"/>
  <c r="A18" i="135" l="1"/>
  <c r="B56" i="139"/>
  <c r="B58" i="139" s="1"/>
  <c r="B59" i="139" s="1"/>
  <c r="E55" i="139"/>
  <c r="B15" i="135"/>
  <c r="E14" i="135"/>
  <c r="G1096" i="2"/>
  <c r="J1096" i="2"/>
  <c r="G1097" i="2"/>
  <c r="J1097" i="2"/>
  <c r="G1093" i="2"/>
  <c r="J1093" i="2"/>
  <c r="G1092" i="2"/>
  <c r="J1092" i="2"/>
  <c r="A19" i="135" l="1"/>
  <c r="A20" i="135"/>
  <c r="A21" i="135" s="1"/>
  <c r="A22" i="135" s="1"/>
  <c r="A23" i="135" s="1"/>
  <c r="A24" i="135" s="1"/>
  <c r="E56" i="139"/>
  <c r="B57" i="139"/>
  <c r="C9" i="139" s="1"/>
  <c r="B16" i="135"/>
  <c r="E15" i="135"/>
  <c r="C7" i="135"/>
  <c r="G1090" i="2"/>
  <c r="J1090" i="2"/>
  <c r="G1091" i="2"/>
  <c r="J1091" i="2"/>
  <c r="G1094" i="2"/>
  <c r="J1094" i="2"/>
  <c r="G1098" i="2"/>
  <c r="J1098" i="2"/>
  <c r="G1099" i="2"/>
  <c r="J1099" i="2"/>
  <c r="G1101" i="2"/>
  <c r="J1101" i="2"/>
  <c r="G1102" i="2"/>
  <c r="J1102" i="2"/>
  <c r="G1107" i="2"/>
  <c r="J1107" i="2"/>
  <c r="G1108" i="2"/>
  <c r="J1108" i="2"/>
  <c r="J35" i="134"/>
  <c r="H35" i="134"/>
  <c r="C35" i="134"/>
  <c r="C36" i="134" s="1"/>
  <c r="D34" i="134"/>
  <c r="D33" i="134"/>
  <c r="D32" i="134"/>
  <c r="D31" i="134"/>
  <c r="D30" i="134"/>
  <c r="D29" i="134"/>
  <c r="D28" i="134"/>
  <c r="D27" i="134"/>
  <c r="D26" i="134"/>
  <c r="D25" i="134"/>
  <c r="D24" i="134"/>
  <c r="D23" i="134"/>
  <c r="D22" i="134"/>
  <c r="I20" i="134"/>
  <c r="I35" i="134" s="1"/>
  <c r="D20" i="134"/>
  <c r="D19" i="134"/>
  <c r="D18" i="134"/>
  <c r="D17" i="134"/>
  <c r="D16" i="134"/>
  <c r="D14" i="134"/>
  <c r="D13" i="134"/>
  <c r="A13" i="134"/>
  <c r="B12" i="134"/>
  <c r="A8" i="134"/>
  <c r="A7" i="134"/>
  <c r="B2" i="134"/>
  <c r="A25" i="135" l="1"/>
  <c r="A26" i="135" s="1"/>
  <c r="A27" i="135" s="1"/>
  <c r="A28" i="135" s="1"/>
  <c r="A29" i="135" s="1"/>
  <c r="A30" i="135" s="1"/>
  <c r="A31" i="135" s="1"/>
  <c r="A32" i="135" s="1"/>
  <c r="A33" i="135" s="1"/>
  <c r="B8" i="135"/>
  <c r="E12" i="134"/>
  <c r="B13" i="134"/>
  <c r="E13" i="134" s="1"/>
  <c r="E58" i="139"/>
  <c r="E16" i="135"/>
  <c r="B17" i="135" s="1"/>
  <c r="E17" i="135" s="1"/>
  <c r="B19" i="135" s="1"/>
  <c r="E19" i="135" s="1"/>
  <c r="B18" i="135"/>
  <c r="A14" i="134"/>
  <c r="A15" i="134" s="1"/>
  <c r="A16" i="134" s="1"/>
  <c r="A17" i="134" s="1"/>
  <c r="B3" i="134"/>
  <c r="B14" i="134"/>
  <c r="D35" i="134"/>
  <c r="D36" i="134" s="1"/>
  <c r="G1081" i="2"/>
  <c r="J1081" i="2"/>
  <c r="G1080" i="2"/>
  <c r="J1080" i="2"/>
  <c r="G1084" i="2"/>
  <c r="J1084" i="2"/>
  <c r="G1085" i="2"/>
  <c r="J1085" i="2"/>
  <c r="G1086" i="2"/>
  <c r="J1086" i="2"/>
  <c r="G1087" i="2"/>
  <c r="J1087" i="2"/>
  <c r="G1077" i="2"/>
  <c r="J1077" i="2"/>
  <c r="G1078" i="2"/>
  <c r="J1078" i="2"/>
  <c r="B7" i="134" l="1"/>
  <c r="A34" i="135"/>
  <c r="B9" i="135"/>
  <c r="E18" i="135"/>
  <c r="B20" i="135"/>
  <c r="A18" i="134"/>
  <c r="A19" i="134" s="1"/>
  <c r="B15" i="134"/>
  <c r="E14" i="134"/>
  <c r="G1075" i="2"/>
  <c r="J1075" i="2"/>
  <c r="G1076" i="2"/>
  <c r="J1076" i="2"/>
  <c r="G1079" i="2"/>
  <c r="J1079" i="2"/>
  <c r="G1082" i="2"/>
  <c r="J1082" i="2"/>
  <c r="G1083" i="2"/>
  <c r="J1083" i="2"/>
  <c r="G1088" i="2"/>
  <c r="J1088" i="2"/>
  <c r="G1089" i="2"/>
  <c r="J1089" i="2"/>
  <c r="J35" i="133"/>
  <c r="H35" i="133"/>
  <c r="C35" i="133"/>
  <c r="C36" i="133" s="1"/>
  <c r="D34" i="133"/>
  <c r="D33" i="133"/>
  <c r="D32" i="133"/>
  <c r="D31" i="133"/>
  <c r="D30" i="133"/>
  <c r="D29" i="133"/>
  <c r="D28" i="133"/>
  <c r="D27" i="133"/>
  <c r="D26" i="133"/>
  <c r="D25" i="133"/>
  <c r="D24" i="133"/>
  <c r="D23" i="133"/>
  <c r="D22" i="133"/>
  <c r="I20" i="133"/>
  <c r="I35" i="133" s="1"/>
  <c r="D20" i="133"/>
  <c r="D19" i="133"/>
  <c r="D18" i="133"/>
  <c r="D17" i="133"/>
  <c r="D16" i="133"/>
  <c r="D14" i="133"/>
  <c r="D13" i="133"/>
  <c r="A13" i="133"/>
  <c r="B12" i="133"/>
  <c r="A8" i="133"/>
  <c r="A7" i="133"/>
  <c r="B2" i="133"/>
  <c r="B3" i="133" l="1"/>
  <c r="E12" i="133"/>
  <c r="B21" i="135"/>
  <c r="E20" i="135"/>
  <c r="A20" i="134"/>
  <c r="A21" i="134" s="1"/>
  <c r="A22" i="134" s="1"/>
  <c r="A23" i="134" s="1"/>
  <c r="A24" i="134" s="1"/>
  <c r="A25" i="134" s="1"/>
  <c r="A26" i="134" s="1"/>
  <c r="A27" i="134" s="1"/>
  <c r="A28" i="134" s="1"/>
  <c r="A29" i="134" s="1"/>
  <c r="A30" i="134" s="1"/>
  <c r="A31" i="134" s="1"/>
  <c r="A32" i="134" s="1"/>
  <c r="A33" i="134" s="1"/>
  <c r="C7" i="134"/>
  <c r="B16" i="134"/>
  <c r="E15" i="134"/>
  <c r="A14" i="133"/>
  <c r="A15" i="133" s="1"/>
  <c r="A16" i="133" s="1"/>
  <c r="A17" i="133" s="1"/>
  <c r="D35" i="133"/>
  <c r="D36" i="133" s="1"/>
  <c r="B13" i="133"/>
  <c r="E13" i="133" s="1"/>
  <c r="K89" i="132"/>
  <c r="J89" i="132"/>
  <c r="I89" i="132"/>
  <c r="H89" i="132"/>
  <c r="C89" i="132"/>
  <c r="C90" i="132" s="1"/>
  <c r="D88" i="132"/>
  <c r="D86" i="132"/>
  <c r="D85" i="132"/>
  <c r="D84" i="132"/>
  <c r="D83" i="132"/>
  <c r="D82" i="132"/>
  <c r="D80" i="132"/>
  <c r="D79" i="132"/>
  <c r="M78" i="132"/>
  <c r="D78" i="132"/>
  <c r="D77" i="132"/>
  <c r="D72" i="132"/>
  <c r="D71" i="132"/>
  <c r="D70" i="132"/>
  <c r="D68" i="132"/>
  <c r="D67" i="132"/>
  <c r="D66" i="132"/>
  <c r="M65" i="132"/>
  <c r="D65" i="132"/>
  <c r="D64" i="132"/>
  <c r="D63" i="132"/>
  <c r="M61" i="132"/>
  <c r="D61" i="132"/>
  <c r="D59" i="132"/>
  <c r="D58" i="132"/>
  <c r="D56" i="132"/>
  <c r="D55" i="132"/>
  <c r="D54" i="132"/>
  <c r="D53" i="132"/>
  <c r="D51" i="132"/>
  <c r="D50" i="132"/>
  <c r="D47" i="132"/>
  <c r="D46" i="132"/>
  <c r="M45" i="132"/>
  <c r="D45" i="132"/>
  <c r="D44" i="132"/>
  <c r="D43" i="132"/>
  <c r="D42" i="132"/>
  <c r="D39" i="132"/>
  <c r="D38" i="132"/>
  <c r="D37" i="132"/>
  <c r="D36" i="132"/>
  <c r="M34" i="132"/>
  <c r="D34" i="132"/>
  <c r="D33" i="132"/>
  <c r="D32" i="132"/>
  <c r="D31" i="132"/>
  <c r="D30" i="132"/>
  <c r="D29" i="132"/>
  <c r="D28" i="132"/>
  <c r="M26" i="132"/>
  <c r="D26" i="132"/>
  <c r="M24" i="132"/>
  <c r="D24" i="132"/>
  <c r="D23" i="132"/>
  <c r="D22" i="132"/>
  <c r="M21" i="132"/>
  <c r="D21" i="132"/>
  <c r="D19" i="132"/>
  <c r="D18" i="132"/>
  <c r="D17" i="132"/>
  <c r="D16" i="132"/>
  <c r="M15" i="132"/>
  <c r="D15" i="132"/>
  <c r="A16" i="132" s="1"/>
  <c r="A11" i="132"/>
  <c r="A10" i="132"/>
  <c r="A9" i="132"/>
  <c r="A8" i="132"/>
  <c r="A7" i="132"/>
  <c r="B3" i="132"/>
  <c r="B15" i="132" s="1"/>
  <c r="B2" i="132"/>
  <c r="A18" i="133" l="1"/>
  <c r="A19" i="133" s="1"/>
  <c r="B8" i="134"/>
  <c r="E59" i="139"/>
  <c r="B22" i="135"/>
  <c r="E21" i="135"/>
  <c r="E16" i="134"/>
  <c r="B17" i="134" s="1"/>
  <c r="E17" i="134" s="1"/>
  <c r="B19" i="134" s="1"/>
  <c r="E19" i="134" s="1"/>
  <c r="B18" i="134"/>
  <c r="B9" i="134"/>
  <c r="A34" i="134"/>
  <c r="B14" i="133"/>
  <c r="E14" i="133" s="1"/>
  <c r="B7" i="133"/>
  <c r="A20" i="133"/>
  <c r="A21" i="133" s="1"/>
  <c r="A22" i="133" s="1"/>
  <c r="A23" i="133" s="1"/>
  <c r="A24" i="133" s="1"/>
  <c r="A25" i="133" s="1"/>
  <c r="A26" i="133" s="1"/>
  <c r="A27" i="133" s="1"/>
  <c r="A28" i="133" s="1"/>
  <c r="A29" i="133" s="1"/>
  <c r="A30" i="133" s="1"/>
  <c r="A31" i="133" s="1"/>
  <c r="A32" i="133" s="1"/>
  <c r="A33" i="133" s="1"/>
  <c r="B9" i="133" s="1"/>
  <c r="B8" i="133"/>
  <c r="B15" i="133"/>
  <c r="D89" i="132"/>
  <c r="D90" i="132" s="1"/>
  <c r="B16" i="132"/>
  <c r="E16" i="132" s="1"/>
  <c r="E15" i="132"/>
  <c r="A17" i="132"/>
  <c r="A18" i="132" s="1"/>
  <c r="A19" i="132" s="1"/>
  <c r="G1067" i="2"/>
  <c r="J1067" i="2"/>
  <c r="G1074" i="2"/>
  <c r="J1074" i="2"/>
  <c r="G1066" i="2"/>
  <c r="J1066" i="2"/>
  <c r="G1064" i="2"/>
  <c r="J1064" i="2"/>
  <c r="G1065" i="2"/>
  <c r="J1065" i="2"/>
  <c r="G1536" i="2"/>
  <c r="J1536" i="2"/>
  <c r="G1537" i="2"/>
  <c r="J1537" i="2"/>
  <c r="G1538" i="2"/>
  <c r="J1538" i="2"/>
  <c r="G1539" i="2"/>
  <c r="J1539" i="2"/>
  <c r="G1540" i="2"/>
  <c r="J1540" i="2"/>
  <c r="B61" i="139" l="1"/>
  <c r="E61" i="139" s="1"/>
  <c r="A61" i="139"/>
  <c r="A20" i="132"/>
  <c r="A21" i="132" s="1"/>
  <c r="A22" i="132" s="1"/>
  <c r="A23" i="132" s="1"/>
  <c r="A24" i="132" s="1"/>
  <c r="A25" i="132" s="1"/>
  <c r="A26" i="132" s="1"/>
  <c r="E22" i="135"/>
  <c r="B23" i="135"/>
  <c r="E18" i="134"/>
  <c r="B20" i="134"/>
  <c r="A34" i="133"/>
  <c r="E15" i="133"/>
  <c r="B16" i="133"/>
  <c r="C7" i="133"/>
  <c r="B17" i="132"/>
  <c r="G1471" i="2"/>
  <c r="J1471" i="2"/>
  <c r="G1472" i="2"/>
  <c r="J1472" i="2"/>
  <c r="B10" i="139" l="1"/>
  <c r="C10" i="139"/>
  <c r="A28" i="132"/>
  <c r="A29" i="132" s="1"/>
  <c r="A30" i="132" s="1"/>
  <c r="A31" i="132" s="1"/>
  <c r="A32" i="132" s="1"/>
  <c r="A33" i="132" s="1"/>
  <c r="A34" i="132" s="1"/>
  <c r="A35" i="132" s="1"/>
  <c r="A27" i="132"/>
  <c r="E23" i="135"/>
  <c r="B24" i="135"/>
  <c r="B21" i="134"/>
  <c r="E20" i="134"/>
  <c r="E16" i="133"/>
  <c r="B17" i="133" s="1"/>
  <c r="E17" i="133" s="1"/>
  <c r="B19" i="133" s="1"/>
  <c r="E19" i="133" s="1"/>
  <c r="B18" i="133"/>
  <c r="E17" i="132"/>
  <c r="B18" i="132"/>
  <c r="G1068" i="2"/>
  <c r="J1068" i="2"/>
  <c r="G1069" i="2"/>
  <c r="J1069" i="2"/>
  <c r="G1070" i="2"/>
  <c r="J1070" i="2"/>
  <c r="G1071" i="2"/>
  <c r="J1071" i="2"/>
  <c r="G1072" i="2"/>
  <c r="J1072" i="2"/>
  <c r="A36" i="132" l="1"/>
  <c r="A37" i="132" s="1"/>
  <c r="A38" i="132" s="1"/>
  <c r="A39" i="132" s="1"/>
  <c r="A41" i="132" s="1"/>
  <c r="A42" i="132" s="1"/>
  <c r="A43" i="132" s="1"/>
  <c r="A44" i="132" s="1"/>
  <c r="A45" i="132" s="1"/>
  <c r="A46" i="132" s="1"/>
  <c r="A47" i="132" s="1"/>
  <c r="A49" i="132" s="1"/>
  <c r="A50" i="132" s="1"/>
  <c r="A51" i="132" s="1"/>
  <c r="A52" i="132" s="1"/>
  <c r="A53" i="132" s="1"/>
  <c r="A54" i="132" s="1"/>
  <c r="A55" i="132" s="1"/>
  <c r="A56" i="132" s="1"/>
  <c r="A57" i="132" s="1"/>
  <c r="A58" i="132" s="1"/>
  <c r="A59" i="132" s="1"/>
  <c r="A60" i="132" s="1"/>
  <c r="A61" i="132" s="1"/>
  <c r="A62" i="132" s="1"/>
  <c r="B26" i="135"/>
  <c r="E24" i="135"/>
  <c r="B25" i="135"/>
  <c r="E25" i="135" s="1"/>
  <c r="C8" i="135"/>
  <c r="E21" i="134"/>
  <c r="B22" i="134"/>
  <c r="E18" i="133"/>
  <c r="B20" i="133"/>
  <c r="E18" i="132"/>
  <c r="B19" i="132"/>
  <c r="B20" i="132" s="1"/>
  <c r="E20" i="132" s="1"/>
  <c r="G1062" i="2"/>
  <c r="J1062" i="2"/>
  <c r="G1063" i="2"/>
  <c r="J1063" i="2"/>
  <c r="G1473" i="2"/>
  <c r="J1473" i="2"/>
  <c r="G1476" i="2"/>
  <c r="J1476" i="2"/>
  <c r="A63" i="132" l="1"/>
  <c r="A64" i="132" s="1"/>
  <c r="A65" i="132" s="1"/>
  <c r="A66" i="132" s="1"/>
  <c r="A67" i="132" s="1"/>
  <c r="A68" i="132" s="1"/>
  <c r="A70" i="132" s="1"/>
  <c r="B21" i="132"/>
  <c r="E21" i="132" s="1"/>
  <c r="B27" i="135"/>
  <c r="E26" i="135"/>
  <c r="B23" i="134"/>
  <c r="E22" i="134"/>
  <c r="E20" i="133"/>
  <c r="B21" i="133"/>
  <c r="E19" i="132"/>
  <c r="A71" i="132" l="1"/>
  <c r="A69" i="132"/>
  <c r="E27" i="135"/>
  <c r="B28" i="135"/>
  <c r="E23" i="134"/>
  <c r="B24" i="134"/>
  <c r="B22" i="133"/>
  <c r="E21" i="133"/>
  <c r="B22" i="132"/>
  <c r="B12" i="131"/>
  <c r="E12" i="131" s="1"/>
  <c r="J35" i="131"/>
  <c r="H35" i="131"/>
  <c r="C35" i="131"/>
  <c r="C36" i="131" s="1"/>
  <c r="D34" i="131"/>
  <c r="D33" i="131"/>
  <c r="D32" i="131"/>
  <c r="D31" i="131"/>
  <c r="D30" i="131"/>
  <c r="D29" i="131"/>
  <c r="D28" i="131"/>
  <c r="D27" i="131"/>
  <c r="D26" i="131"/>
  <c r="D25" i="131"/>
  <c r="D24" i="131"/>
  <c r="D23" i="131"/>
  <c r="D22" i="131"/>
  <c r="I20" i="131"/>
  <c r="I35" i="131" s="1"/>
  <c r="D20" i="131"/>
  <c r="D19" i="131"/>
  <c r="D18" i="131"/>
  <c r="D17" i="131"/>
  <c r="D16" i="131"/>
  <c r="D14" i="131"/>
  <c r="D13" i="131"/>
  <c r="D12" i="131"/>
  <c r="B13" i="131" s="1"/>
  <c r="E13" i="131" s="1"/>
  <c r="A8" i="131"/>
  <c r="A7" i="131"/>
  <c r="B3" i="131"/>
  <c r="B2" i="131"/>
  <c r="G1470" i="2"/>
  <c r="J1470" i="2"/>
  <c r="G1057" i="2"/>
  <c r="J1057" i="2"/>
  <c r="G1058" i="2"/>
  <c r="J1058" i="2"/>
  <c r="G1477" i="2"/>
  <c r="J1477" i="2"/>
  <c r="G1059" i="2"/>
  <c r="J1059" i="2"/>
  <c r="G1060" i="2"/>
  <c r="J1060" i="2"/>
  <c r="G1061" i="2"/>
  <c r="J1061" i="2"/>
  <c r="G1073" i="2"/>
  <c r="J1073" i="2"/>
  <c r="G1054" i="2"/>
  <c r="J1054" i="2"/>
  <c r="G1052" i="2"/>
  <c r="J1052" i="2"/>
  <c r="G1053" i="2"/>
  <c r="J1053" i="2"/>
  <c r="A72" i="132" l="1"/>
  <c r="A74" i="132"/>
  <c r="A75" i="132" s="1"/>
  <c r="A76" i="132" s="1"/>
  <c r="A77" i="132" s="1"/>
  <c r="A78" i="132" s="1"/>
  <c r="A79" i="132" s="1"/>
  <c r="A80" i="132" s="1"/>
  <c r="A81" i="132" s="1"/>
  <c r="A82" i="132" s="1"/>
  <c r="A83" i="132" s="1"/>
  <c r="A84" i="132" s="1"/>
  <c r="A85" i="132" s="1"/>
  <c r="A86" i="132" s="1"/>
  <c r="E28" i="135"/>
  <c r="B29" i="135"/>
  <c r="B25" i="134"/>
  <c r="E25" i="134" s="1"/>
  <c r="B26" i="134"/>
  <c r="C8" i="134"/>
  <c r="E24" i="134"/>
  <c r="B23" i="133"/>
  <c r="E22" i="133"/>
  <c r="B23" i="132"/>
  <c r="E22" i="132"/>
  <c r="D35" i="131"/>
  <c r="D36" i="131" s="1"/>
  <c r="B14" i="131"/>
  <c r="A13" i="131"/>
  <c r="A14" i="131" s="1"/>
  <c r="A15" i="131" s="1"/>
  <c r="G1050" i="2"/>
  <c r="E14" i="131" l="1"/>
  <c r="B15" i="131"/>
  <c r="C7" i="131" s="1"/>
  <c r="A87" i="132"/>
  <c r="A88" i="132"/>
  <c r="E29" i="135"/>
  <c r="B30" i="135"/>
  <c r="B27" i="134"/>
  <c r="B28" i="134" s="1"/>
  <c r="E26" i="134"/>
  <c r="E23" i="133"/>
  <c r="B24" i="133"/>
  <c r="E23" i="132"/>
  <c r="B24" i="132"/>
  <c r="B25" i="132" s="1"/>
  <c r="E15" i="131"/>
  <c r="A16" i="131"/>
  <c r="B7" i="131"/>
  <c r="B16" i="131"/>
  <c r="J1050" i="2"/>
  <c r="G1051" i="2"/>
  <c r="J1051" i="2"/>
  <c r="G1055" i="2"/>
  <c r="J1055" i="2"/>
  <c r="G1056" i="2"/>
  <c r="J1056" i="2"/>
  <c r="B26" i="132" l="1"/>
  <c r="E26" i="132" s="1"/>
  <c r="E25" i="132"/>
  <c r="E30" i="135"/>
  <c r="B31" i="135"/>
  <c r="E27" i="134"/>
  <c r="B26" i="133"/>
  <c r="B25" i="133"/>
  <c r="E25" i="133" s="1"/>
  <c r="E24" i="133"/>
  <c r="C8" i="133"/>
  <c r="E24" i="132"/>
  <c r="E16" i="131"/>
  <c r="B18" i="131"/>
  <c r="A17" i="131"/>
  <c r="A18" i="131"/>
  <c r="M70" i="130"/>
  <c r="J70" i="130"/>
  <c r="I70" i="130"/>
  <c r="H70" i="130"/>
  <c r="D70" i="130"/>
  <c r="D71" i="130" s="1"/>
  <c r="C70" i="130"/>
  <c r="C71" i="130" s="1"/>
  <c r="K69" i="130"/>
  <c r="K70" i="130" s="1"/>
  <c r="D66" i="130"/>
  <c r="D64" i="130"/>
  <c r="D63" i="130"/>
  <c r="O58" i="130"/>
  <c r="O42" i="130"/>
  <c r="O39" i="130"/>
  <c r="D35" i="130"/>
  <c r="L26" i="130"/>
  <c r="O25" i="130"/>
  <c r="L22" i="130"/>
  <c r="L20" i="130"/>
  <c r="L19" i="130"/>
  <c r="L16" i="130"/>
  <c r="L15" i="130"/>
  <c r="L14" i="130"/>
  <c r="A14" i="130"/>
  <c r="A15" i="130" s="1"/>
  <c r="A16" i="130" s="1"/>
  <c r="A17" i="130" s="1"/>
  <c r="A18" i="130" s="1"/>
  <c r="A19" i="130" s="1"/>
  <c r="A20" i="130" s="1"/>
  <c r="A21" i="130" s="1"/>
  <c r="A22" i="130" s="1"/>
  <c r="B3" i="130"/>
  <c r="B13" i="130" s="1"/>
  <c r="B14" i="130" s="1"/>
  <c r="B2" i="130"/>
  <c r="E31" i="135" l="1"/>
  <c r="B32" i="135"/>
  <c r="B29" i="134"/>
  <c r="E28" i="134"/>
  <c r="B27" i="133"/>
  <c r="B28" i="133" s="1"/>
  <c r="E26" i="133"/>
  <c r="B17" i="131"/>
  <c r="E17" i="131" s="1"/>
  <c r="B28" i="132"/>
  <c r="B27" i="132"/>
  <c r="L69" i="130"/>
  <c r="L70" i="130" s="1"/>
  <c r="O59" i="130"/>
  <c r="A19" i="131"/>
  <c r="A20" i="131"/>
  <c r="A21" i="131" s="1"/>
  <c r="A22" i="131" s="1"/>
  <c r="A23" i="131" s="1"/>
  <c r="A24" i="131" s="1"/>
  <c r="E18" i="131"/>
  <c r="B20" i="131"/>
  <c r="A24" i="130"/>
  <c r="A25" i="130"/>
  <c r="A26" i="130" s="1"/>
  <c r="A27" i="130" s="1"/>
  <c r="A28" i="130" s="1"/>
  <c r="A29" i="130" s="1"/>
  <c r="E14" i="130"/>
  <c r="B15" i="130"/>
  <c r="E13" i="130"/>
  <c r="G945" i="2"/>
  <c r="J945" i="2"/>
  <c r="G1047" i="2"/>
  <c r="J1047" i="2"/>
  <c r="G943" i="2"/>
  <c r="J943" i="2"/>
  <c r="G944" i="2"/>
  <c r="J944" i="2"/>
  <c r="G946" i="2"/>
  <c r="J946" i="2"/>
  <c r="G1044" i="2"/>
  <c r="J1044" i="2"/>
  <c r="E32" i="135" l="1"/>
  <c r="B33" i="135"/>
  <c r="E29" i="134"/>
  <c r="B30" i="134"/>
  <c r="E27" i="133"/>
  <c r="B19" i="131"/>
  <c r="E19" i="131" s="1"/>
  <c r="C7" i="132"/>
  <c r="B7" i="132"/>
  <c r="E28" i="132"/>
  <c r="B29" i="132"/>
  <c r="A25" i="131"/>
  <c r="A26" i="131" s="1"/>
  <c r="A27" i="131" s="1"/>
  <c r="A28" i="131" s="1"/>
  <c r="A29" i="131" s="1"/>
  <c r="A30" i="131" s="1"/>
  <c r="A31" i="131" s="1"/>
  <c r="A32" i="131" s="1"/>
  <c r="A33" i="131" s="1"/>
  <c r="B8" i="131"/>
  <c r="E20" i="131"/>
  <c r="B21" i="131"/>
  <c r="B16" i="130"/>
  <c r="E15" i="130"/>
  <c r="A31" i="130"/>
  <c r="A32" i="130" s="1"/>
  <c r="A33" i="130" s="1"/>
  <c r="A35" i="130" s="1"/>
  <c r="A36" i="130" s="1"/>
  <c r="A37" i="130" s="1"/>
  <c r="A38" i="130" s="1"/>
  <c r="A39" i="130" s="1"/>
  <c r="A30" i="130"/>
  <c r="B7" i="130" s="1"/>
  <c r="G1469" i="2"/>
  <c r="J1469" i="2"/>
  <c r="C30" i="129"/>
  <c r="C31" i="129" s="1"/>
  <c r="D29" i="129"/>
  <c r="K28" i="129"/>
  <c r="D28" i="129"/>
  <c r="K27" i="129"/>
  <c r="D27" i="129"/>
  <c r="D26" i="129"/>
  <c r="D25" i="129"/>
  <c r="D24" i="129"/>
  <c r="I23" i="129"/>
  <c r="H23" i="129"/>
  <c r="D23" i="129"/>
  <c r="I22" i="129"/>
  <c r="H22" i="129"/>
  <c r="K22" i="129" s="1"/>
  <c r="D22" i="129"/>
  <c r="D21" i="129"/>
  <c r="D20" i="129"/>
  <c r="H19" i="129"/>
  <c r="J18" i="129"/>
  <c r="D18" i="129"/>
  <c r="D17" i="129"/>
  <c r="D16" i="129"/>
  <c r="D15" i="129"/>
  <c r="D14" i="129"/>
  <c r="J13" i="129"/>
  <c r="D13" i="129"/>
  <c r="D12" i="129"/>
  <c r="D11" i="129"/>
  <c r="B11" i="129"/>
  <c r="E11" i="129" s="1"/>
  <c r="A7" i="129"/>
  <c r="B3" i="129"/>
  <c r="B2" i="129"/>
  <c r="G1043" i="2"/>
  <c r="J1043" i="2"/>
  <c r="G1045" i="2"/>
  <c r="J1045" i="2"/>
  <c r="G1046" i="2"/>
  <c r="J1046" i="2"/>
  <c r="G1048" i="2"/>
  <c r="J1048" i="2"/>
  <c r="G1049" i="2"/>
  <c r="J1049" i="2"/>
  <c r="K23" i="129" l="1"/>
  <c r="J30" i="129"/>
  <c r="I30" i="129"/>
  <c r="B12" i="129"/>
  <c r="E12" i="129" s="1"/>
  <c r="H30" i="129"/>
  <c r="K19" i="129"/>
  <c r="K30" i="129" s="1"/>
  <c r="E33" i="135"/>
  <c r="C9" i="135"/>
  <c r="B34" i="135"/>
  <c r="E34" i="135" s="1"/>
  <c r="B31" i="134"/>
  <c r="E30" i="134"/>
  <c r="B29" i="133"/>
  <c r="E28" i="133"/>
  <c r="B30" i="132"/>
  <c r="E29" i="132"/>
  <c r="E21" i="131"/>
  <c r="B22" i="131"/>
  <c r="B9" i="131"/>
  <c r="A34" i="131"/>
  <c r="A41" i="130"/>
  <c r="A42" i="130"/>
  <c r="A43" i="130" s="1"/>
  <c r="A44" i="130" s="1"/>
  <c r="A45" i="130" s="1"/>
  <c r="A46" i="130" s="1"/>
  <c r="A47" i="130" s="1"/>
  <c r="A48" i="130" s="1"/>
  <c r="A50" i="130" s="1"/>
  <c r="A51" i="130" s="1"/>
  <c r="A52" i="130" s="1"/>
  <c r="A53" i="130" s="1"/>
  <c r="E16" i="130"/>
  <c r="B17" i="130"/>
  <c r="B13" i="129"/>
  <c r="D30" i="129"/>
  <c r="D31" i="129" s="1"/>
  <c r="A12" i="129"/>
  <c r="A13" i="129" s="1"/>
  <c r="A14" i="129" s="1"/>
  <c r="A15" i="129" s="1"/>
  <c r="A16" i="129" s="1"/>
  <c r="G1031" i="2"/>
  <c r="J1031" i="2"/>
  <c r="G1033" i="2"/>
  <c r="J1033" i="2"/>
  <c r="G1468" i="2"/>
  <c r="J1468" i="2"/>
  <c r="G1028" i="2"/>
  <c r="J1028" i="2"/>
  <c r="G1029" i="2"/>
  <c r="J1029" i="2"/>
  <c r="E31" i="134" l="1"/>
  <c r="B32" i="134"/>
  <c r="E29" i="133"/>
  <c r="B30" i="133"/>
  <c r="E30" i="132"/>
  <c r="B31" i="132"/>
  <c r="A55" i="130"/>
  <c r="A56" i="130" s="1"/>
  <c r="A57" i="130" s="1"/>
  <c r="A58" i="130" s="1"/>
  <c r="A59" i="130" s="1"/>
  <c r="A60" i="130" s="1"/>
  <c r="A61" i="130" s="1"/>
  <c r="A62" i="130" s="1"/>
  <c r="A63" i="130" s="1"/>
  <c r="A64" i="130" s="1"/>
  <c r="E22" i="131"/>
  <c r="B23" i="131"/>
  <c r="B18" i="130"/>
  <c r="E17" i="130"/>
  <c r="B7" i="129"/>
  <c r="C7" i="129"/>
  <c r="A17" i="129"/>
  <c r="A18" i="129" s="1"/>
  <c r="A19" i="129" s="1"/>
  <c r="A20" i="129" s="1"/>
  <c r="A21" i="129" s="1"/>
  <c r="A22" i="129" s="1"/>
  <c r="A23" i="129" s="1"/>
  <c r="A24" i="129" s="1"/>
  <c r="A25" i="129" s="1"/>
  <c r="E13" i="129"/>
  <c r="B14" i="129"/>
  <c r="G1462" i="2"/>
  <c r="J1462" i="2"/>
  <c r="G1461" i="2"/>
  <c r="J1461" i="2"/>
  <c r="G1460" i="2"/>
  <c r="J1460" i="2"/>
  <c r="G1034" i="2"/>
  <c r="J1034" i="2"/>
  <c r="G1035" i="2"/>
  <c r="J1035" i="2"/>
  <c r="G1036" i="2"/>
  <c r="J1036" i="2"/>
  <c r="G1037" i="2"/>
  <c r="J1037" i="2"/>
  <c r="G1038" i="2"/>
  <c r="J1038" i="2"/>
  <c r="G1039" i="2"/>
  <c r="J1039" i="2"/>
  <c r="G1040" i="2"/>
  <c r="J1040" i="2"/>
  <c r="G1041" i="2"/>
  <c r="J1041" i="2"/>
  <c r="G1042" i="2"/>
  <c r="J1042" i="2"/>
  <c r="B33" i="134" l="1"/>
  <c r="E32" i="134"/>
  <c r="B31" i="133"/>
  <c r="E30" i="133"/>
  <c r="B32" i="132"/>
  <c r="E31" i="132"/>
  <c r="A65" i="130"/>
  <c r="B8" i="130" s="1"/>
  <c r="A66" i="130"/>
  <c r="A68" i="130" s="1"/>
  <c r="B9" i="130" s="1"/>
  <c r="E23" i="131"/>
  <c r="B24" i="131"/>
  <c r="B19" i="130"/>
  <c r="E18" i="130"/>
  <c r="E14" i="129"/>
  <c r="B15" i="129"/>
  <c r="A26" i="129"/>
  <c r="B8" i="129"/>
  <c r="C8" i="129"/>
  <c r="G1026" i="2"/>
  <c r="J1026" i="2"/>
  <c r="G1027" i="2"/>
  <c r="J1027" i="2"/>
  <c r="G1030" i="2"/>
  <c r="J1030" i="2"/>
  <c r="G1032" i="2"/>
  <c r="J1032" i="2"/>
  <c r="C30" i="127"/>
  <c r="C31" i="127" s="1"/>
  <c r="D29" i="127"/>
  <c r="K28" i="127"/>
  <c r="D28" i="127"/>
  <c r="K27" i="127"/>
  <c r="D27" i="127"/>
  <c r="D26" i="127"/>
  <c r="D25" i="127"/>
  <c r="D24" i="127"/>
  <c r="I23" i="127"/>
  <c r="H23" i="127"/>
  <c r="D23" i="127"/>
  <c r="I22" i="127"/>
  <c r="I30" i="127" s="1"/>
  <c r="H22" i="127"/>
  <c r="D22" i="127"/>
  <c r="D21" i="127"/>
  <c r="D20" i="127"/>
  <c r="H19" i="127"/>
  <c r="K19" i="127" s="1"/>
  <c r="J18" i="127"/>
  <c r="D18" i="127"/>
  <c r="D17" i="127"/>
  <c r="D16" i="127"/>
  <c r="D15" i="127"/>
  <c r="D14" i="127"/>
  <c r="J13" i="127"/>
  <c r="D13" i="127"/>
  <c r="D12" i="127"/>
  <c r="D11" i="127"/>
  <c r="A12" i="127" s="1"/>
  <c r="B11" i="127"/>
  <c r="A7" i="127"/>
  <c r="B3" i="127"/>
  <c r="B2" i="127"/>
  <c r="B12" i="127" l="1"/>
  <c r="E12" i="127" s="1"/>
  <c r="K22" i="127"/>
  <c r="K23" i="127"/>
  <c r="K30" i="127" s="1"/>
  <c r="J30" i="127"/>
  <c r="C9" i="134"/>
  <c r="E33" i="134"/>
  <c r="B34" i="134"/>
  <c r="E34" i="134" s="1"/>
  <c r="E31" i="133"/>
  <c r="B32" i="133"/>
  <c r="E32" i="132"/>
  <c r="B33" i="132"/>
  <c r="B26" i="131"/>
  <c r="E24" i="131"/>
  <c r="B25" i="131"/>
  <c r="E25" i="131" s="1"/>
  <c r="C8" i="131"/>
  <c r="B20" i="130"/>
  <c r="E19" i="130"/>
  <c r="A27" i="129"/>
  <c r="A28" i="129" s="1"/>
  <c r="A29" i="129" s="1"/>
  <c r="E15" i="129"/>
  <c r="B16" i="129"/>
  <c r="E11" i="127"/>
  <c r="B13" i="127"/>
  <c r="E13" i="127" s="1"/>
  <c r="A13" i="127"/>
  <c r="A14" i="127" s="1"/>
  <c r="A15" i="127" s="1"/>
  <c r="A16" i="127" s="1"/>
  <c r="D30" i="127"/>
  <c r="D31" i="127" s="1"/>
  <c r="H30" i="127"/>
  <c r="G1017" i="2"/>
  <c r="J1017" i="2"/>
  <c r="B33" i="133" l="1"/>
  <c r="E32" i="133"/>
  <c r="B34" i="132"/>
  <c r="E33" i="132"/>
  <c r="B27" i="131"/>
  <c r="B28" i="131" s="1"/>
  <c r="E26" i="131"/>
  <c r="B21" i="130"/>
  <c r="E20" i="130"/>
  <c r="E16" i="129"/>
  <c r="B17" i="129"/>
  <c r="B14" i="127"/>
  <c r="C7" i="127"/>
  <c r="B7" i="127"/>
  <c r="A17" i="127"/>
  <c r="A18" i="127" s="1"/>
  <c r="A19" i="127" s="1"/>
  <c r="A20" i="127" s="1"/>
  <c r="A21" i="127" s="1"/>
  <c r="A22" i="127" s="1"/>
  <c r="A23" i="127" s="1"/>
  <c r="A24" i="127" s="1"/>
  <c r="A25" i="127" s="1"/>
  <c r="B15" i="127"/>
  <c r="E14" i="127"/>
  <c r="G1019" i="2"/>
  <c r="J1019" i="2"/>
  <c r="G1020" i="2"/>
  <c r="J1020" i="2"/>
  <c r="G1021" i="2"/>
  <c r="J1021" i="2"/>
  <c r="G1022" i="2"/>
  <c r="J1022" i="2"/>
  <c r="G1023" i="2"/>
  <c r="J1023" i="2"/>
  <c r="J1024" i="2"/>
  <c r="G1025" i="2"/>
  <c r="J1025" i="2"/>
  <c r="G1013" i="2"/>
  <c r="J1013" i="2"/>
  <c r="G1014" i="2"/>
  <c r="J1014" i="2"/>
  <c r="C9" i="133" l="1"/>
  <c r="E33" i="133"/>
  <c r="B34" i="133"/>
  <c r="E34" i="133" s="1"/>
  <c r="B36" i="132"/>
  <c r="E34" i="132"/>
  <c r="B35" i="132"/>
  <c r="C8" i="132" s="1"/>
  <c r="E27" i="131"/>
  <c r="E21" i="130"/>
  <c r="B22" i="130"/>
  <c r="E17" i="129"/>
  <c r="B18" i="129"/>
  <c r="E15" i="127"/>
  <c r="B16" i="127"/>
  <c r="B8" i="127"/>
  <c r="C8" i="127"/>
  <c r="A26" i="127"/>
  <c r="A27" i="127" s="1"/>
  <c r="A28" i="127" s="1"/>
  <c r="A29" i="127" s="1"/>
  <c r="G1011" i="2"/>
  <c r="J1011" i="2"/>
  <c r="G1012" i="2"/>
  <c r="J1012" i="2"/>
  <c r="G1015" i="2"/>
  <c r="J1015" i="2"/>
  <c r="G1016" i="2"/>
  <c r="J1016" i="2"/>
  <c r="G1018" i="2"/>
  <c r="J1018" i="2"/>
  <c r="C30" i="126"/>
  <c r="C31" i="126" s="1"/>
  <c r="D29" i="126"/>
  <c r="K28" i="126"/>
  <c r="D28" i="126"/>
  <c r="K27" i="126"/>
  <c r="D27" i="126"/>
  <c r="D26" i="126"/>
  <c r="D25" i="126"/>
  <c r="D24" i="126"/>
  <c r="I23" i="126"/>
  <c r="H23" i="126"/>
  <c r="D23" i="126"/>
  <c r="I22" i="126"/>
  <c r="H22" i="126"/>
  <c r="K22" i="126" s="1"/>
  <c r="D22" i="126"/>
  <c r="D21" i="126"/>
  <c r="D20" i="126"/>
  <c r="H19" i="126"/>
  <c r="K19" i="126" s="1"/>
  <c r="J18" i="126"/>
  <c r="D18" i="126"/>
  <c r="D17" i="126"/>
  <c r="D16" i="126"/>
  <c r="D15" i="126"/>
  <c r="D14" i="126"/>
  <c r="J13" i="126"/>
  <c r="D13" i="126"/>
  <c r="D12" i="126"/>
  <c r="D11" i="126"/>
  <c r="B11" i="126"/>
  <c r="E11" i="126" s="1"/>
  <c r="A7" i="126"/>
  <c r="B3" i="126"/>
  <c r="B2" i="126"/>
  <c r="J30" i="126" l="1"/>
  <c r="K23" i="126"/>
  <c r="K30" i="126" s="1"/>
  <c r="A12" i="126"/>
  <c r="B12" i="126"/>
  <c r="E12" i="126" s="1"/>
  <c r="I30" i="126"/>
  <c r="B8" i="132"/>
  <c r="E36" i="132"/>
  <c r="B37" i="132"/>
  <c r="E28" i="131"/>
  <c r="B29" i="131"/>
  <c r="B24" i="130"/>
  <c r="E24" i="130" s="1"/>
  <c r="E22" i="130"/>
  <c r="B25" i="130"/>
  <c r="E18" i="129"/>
  <c r="B19" i="129"/>
  <c r="B17" i="127"/>
  <c r="E16" i="127"/>
  <c r="D30" i="126"/>
  <c r="D31" i="126" s="1"/>
  <c r="H30" i="126"/>
  <c r="A13" i="126"/>
  <c r="A14" i="126" s="1"/>
  <c r="A15" i="126" s="1"/>
  <c r="A16" i="126" s="1"/>
  <c r="G1459" i="2"/>
  <c r="J1459" i="2"/>
  <c r="G1545" i="2"/>
  <c r="J1545" i="2"/>
  <c r="G1549" i="2"/>
  <c r="J1549" i="2"/>
  <c r="G1546" i="2"/>
  <c r="J1546" i="2"/>
  <c r="G1547" i="2"/>
  <c r="J1547" i="2"/>
  <c r="G1548" i="2"/>
  <c r="J1548" i="2"/>
  <c r="G1541" i="2"/>
  <c r="J1541" i="2"/>
  <c r="G1542" i="2"/>
  <c r="J1542" i="2"/>
  <c r="G1543" i="2"/>
  <c r="J1543" i="2"/>
  <c r="G1544" i="2"/>
  <c r="J1544" i="2"/>
  <c r="G1463" i="2"/>
  <c r="J1463" i="2"/>
  <c r="B13" i="126" l="1"/>
  <c r="E13" i="126" s="1"/>
  <c r="B38" i="132"/>
  <c r="E37" i="132"/>
  <c r="E29" i="131"/>
  <c r="B30" i="131"/>
  <c r="B26" i="130"/>
  <c r="E25" i="130"/>
  <c r="E19" i="129"/>
  <c r="B20" i="129"/>
  <c r="E17" i="127"/>
  <c r="B18" i="127"/>
  <c r="B14" i="126"/>
  <c r="B7" i="126"/>
  <c r="C7" i="126"/>
  <c r="A17" i="126"/>
  <c r="A18" i="126" s="1"/>
  <c r="A19" i="126" s="1"/>
  <c r="A20" i="126" s="1"/>
  <c r="A21" i="126" s="1"/>
  <c r="A22" i="126" s="1"/>
  <c r="A23" i="126" s="1"/>
  <c r="A24" i="126" s="1"/>
  <c r="A25" i="126" s="1"/>
  <c r="G1006" i="2"/>
  <c r="J1006" i="2"/>
  <c r="G1007" i="2"/>
  <c r="J1007" i="2"/>
  <c r="G1008" i="2"/>
  <c r="J1008" i="2"/>
  <c r="G1002" i="2"/>
  <c r="J1002" i="2"/>
  <c r="E38" i="132" l="1"/>
  <c r="B39" i="132"/>
  <c r="E30" i="131"/>
  <c r="B31" i="131"/>
  <c r="E26" i="130"/>
  <c r="B27" i="130"/>
  <c r="E20" i="129"/>
  <c r="B21" i="129"/>
  <c r="E18" i="127"/>
  <c r="B19" i="127"/>
  <c r="E14" i="126"/>
  <c r="B15" i="126"/>
  <c r="A26" i="126"/>
  <c r="A27" i="126" s="1"/>
  <c r="A28" i="126" s="1"/>
  <c r="A29" i="126" s="1"/>
  <c r="C8" i="126"/>
  <c r="B8" i="126"/>
  <c r="G1003" i="2"/>
  <c r="J1003" i="2"/>
  <c r="G1004" i="2"/>
  <c r="J1004" i="2"/>
  <c r="G1005" i="2"/>
  <c r="J1005" i="2"/>
  <c r="G1009" i="2"/>
  <c r="J1009" i="2"/>
  <c r="G1010" i="2"/>
  <c r="J1010" i="2"/>
  <c r="E39" i="132" l="1"/>
  <c r="B41" i="132"/>
  <c r="E31" i="131"/>
  <c r="B32" i="131"/>
  <c r="B28" i="130"/>
  <c r="E27" i="130"/>
  <c r="E21" i="129"/>
  <c r="B22" i="129"/>
  <c r="E19" i="127"/>
  <c r="B20" i="127"/>
  <c r="E15" i="126"/>
  <c r="B16" i="126"/>
  <c r="C30" i="125"/>
  <c r="C31" i="125" s="1"/>
  <c r="D29" i="125"/>
  <c r="K28" i="125"/>
  <c r="D28" i="125"/>
  <c r="K27" i="125"/>
  <c r="D27" i="125"/>
  <c r="D26" i="125"/>
  <c r="D25" i="125"/>
  <c r="D24" i="125"/>
  <c r="I23" i="125"/>
  <c r="H23" i="125"/>
  <c r="D23" i="125"/>
  <c r="I22" i="125"/>
  <c r="H22" i="125"/>
  <c r="K22" i="125" s="1"/>
  <c r="D22" i="125"/>
  <c r="D21" i="125"/>
  <c r="D20" i="125"/>
  <c r="H19" i="125"/>
  <c r="J18" i="125"/>
  <c r="D18" i="125"/>
  <c r="D17" i="125"/>
  <c r="D16" i="125"/>
  <c r="D15" i="125"/>
  <c r="D14" i="125"/>
  <c r="J13" i="125"/>
  <c r="D13" i="125"/>
  <c r="D12" i="125"/>
  <c r="D11" i="125"/>
  <c r="B11" i="125"/>
  <c r="E11" i="125" s="1"/>
  <c r="A7" i="125"/>
  <c r="B3" i="125"/>
  <c r="B2" i="125"/>
  <c r="K23" i="125" l="1"/>
  <c r="I30" i="125"/>
  <c r="B12" i="125"/>
  <c r="J30" i="125"/>
  <c r="K19" i="125"/>
  <c r="K30" i="125" s="1"/>
  <c r="H30" i="125"/>
  <c r="E41" i="132"/>
  <c r="B42" i="132"/>
  <c r="E32" i="131"/>
  <c r="B33" i="131"/>
  <c r="B29" i="130"/>
  <c r="E28" i="130"/>
  <c r="E22" i="129"/>
  <c r="B23" i="129"/>
  <c r="E20" i="127"/>
  <c r="B21" i="127"/>
  <c r="E16" i="126"/>
  <c r="B17" i="126"/>
  <c r="B13" i="125"/>
  <c r="E13" i="125" s="1"/>
  <c r="E12" i="125"/>
  <c r="D30" i="125"/>
  <c r="D31" i="125" s="1"/>
  <c r="A12" i="125"/>
  <c r="A13" i="125" s="1"/>
  <c r="A14" i="125" s="1"/>
  <c r="A15" i="125" s="1"/>
  <c r="A16" i="125" s="1"/>
  <c r="B43" i="132" l="1"/>
  <c r="E42" i="132"/>
  <c r="C9" i="131"/>
  <c r="E33" i="131"/>
  <c r="B34" i="131"/>
  <c r="E34" i="131" s="1"/>
  <c r="E29" i="130"/>
  <c r="B31" i="130"/>
  <c r="B30" i="130"/>
  <c r="C7" i="130" s="1"/>
  <c r="B24" i="129"/>
  <c r="E23" i="129"/>
  <c r="E21" i="127"/>
  <c r="B22" i="127"/>
  <c r="E17" i="126"/>
  <c r="B18" i="126"/>
  <c r="A17" i="125"/>
  <c r="A18" i="125" s="1"/>
  <c r="A19" i="125" s="1"/>
  <c r="A20" i="125" s="1"/>
  <c r="A21" i="125" s="1"/>
  <c r="A22" i="125" s="1"/>
  <c r="A23" i="125" s="1"/>
  <c r="C7" i="125"/>
  <c r="B7" i="125"/>
  <c r="B14" i="125"/>
  <c r="E43" i="132" l="1"/>
  <c r="B44" i="132"/>
  <c r="B32" i="130"/>
  <c r="E31" i="130"/>
  <c r="B25" i="129"/>
  <c r="E24" i="129"/>
  <c r="E22" i="127"/>
  <c r="B23" i="127"/>
  <c r="B19" i="126"/>
  <c r="E18" i="126"/>
  <c r="E14" i="125"/>
  <c r="B15" i="125"/>
  <c r="A24" i="125"/>
  <c r="A25" i="125" s="1"/>
  <c r="B45" i="132" l="1"/>
  <c r="E44" i="132"/>
  <c r="E32" i="130"/>
  <c r="B33" i="130"/>
  <c r="E25" i="129"/>
  <c r="B26" i="129"/>
  <c r="B24" i="127"/>
  <c r="E23" i="127"/>
  <c r="E19" i="126"/>
  <c r="B20" i="126"/>
  <c r="C8" i="125"/>
  <c r="B8" i="125"/>
  <c r="A26" i="125"/>
  <c r="A27" i="125" s="1"/>
  <c r="A28" i="125" s="1"/>
  <c r="A29" i="125" s="1"/>
  <c r="E15" i="125"/>
  <c r="B16" i="125"/>
  <c r="E45" i="132" l="1"/>
  <c r="B46" i="132"/>
  <c r="B35" i="130"/>
  <c r="E33" i="130"/>
  <c r="B27" i="129"/>
  <c r="E26" i="129"/>
  <c r="B25" i="127"/>
  <c r="E24" i="127"/>
  <c r="E20" i="126"/>
  <c r="B21" i="126"/>
  <c r="E16" i="125"/>
  <c r="B17" i="125"/>
  <c r="B47" i="132" l="1"/>
  <c r="E46" i="132"/>
  <c r="E35" i="130"/>
  <c r="B36" i="130"/>
  <c r="E27" i="129"/>
  <c r="B28" i="129"/>
  <c r="E25" i="127"/>
  <c r="B26" i="127"/>
  <c r="E21" i="126"/>
  <c r="B22" i="126"/>
  <c r="E17" i="125"/>
  <c r="B18" i="125"/>
  <c r="E47" i="132" l="1"/>
  <c r="B49" i="132"/>
  <c r="B37" i="130"/>
  <c r="E36" i="130"/>
  <c r="E28" i="129"/>
  <c r="B29" i="129"/>
  <c r="E29" i="129" s="1"/>
  <c r="B27" i="127"/>
  <c r="E26" i="127"/>
  <c r="B23" i="126"/>
  <c r="E22" i="126"/>
  <c r="E18" i="125"/>
  <c r="B19" i="125"/>
  <c r="B50" i="132" l="1"/>
  <c r="E49" i="132"/>
  <c r="B38" i="130"/>
  <c r="E37" i="130"/>
  <c r="E27" i="127"/>
  <c r="B28" i="127"/>
  <c r="E23" i="126"/>
  <c r="B24" i="126"/>
  <c r="E19" i="125"/>
  <c r="B20" i="125"/>
  <c r="E50" i="132" l="1"/>
  <c r="B51" i="132"/>
  <c r="E38" i="130"/>
  <c r="B39" i="130"/>
  <c r="E28" i="127"/>
  <c r="B29" i="127"/>
  <c r="E29" i="127" s="1"/>
  <c r="E24" i="126"/>
  <c r="B25" i="126"/>
  <c r="E20" i="125"/>
  <c r="B21" i="125"/>
  <c r="B52" i="132" l="1"/>
  <c r="E51" i="132"/>
  <c r="B41" i="130"/>
  <c r="E41" i="130" s="1"/>
  <c r="E39" i="130"/>
  <c r="B42" i="130"/>
  <c r="B26" i="126"/>
  <c r="E25" i="126"/>
  <c r="E21" i="125"/>
  <c r="B22" i="125"/>
  <c r="E52" i="132" l="1"/>
  <c r="B53" i="132"/>
  <c r="B43" i="130"/>
  <c r="E42" i="130"/>
  <c r="E26" i="126"/>
  <c r="B27" i="126"/>
  <c r="E22" i="125"/>
  <c r="B23" i="125"/>
  <c r="G1467" i="2"/>
  <c r="J1467" i="2"/>
  <c r="G1464" i="2"/>
  <c r="J1464" i="2"/>
  <c r="G1001" i="2"/>
  <c r="J1001" i="2"/>
  <c r="G993" i="2"/>
  <c r="J993" i="2"/>
  <c r="G994" i="2"/>
  <c r="J994" i="2"/>
  <c r="G995" i="2"/>
  <c r="J995" i="2"/>
  <c r="G996" i="2"/>
  <c r="J996" i="2"/>
  <c r="E53" i="132" l="1"/>
  <c r="B54" i="132"/>
  <c r="E43" i="130"/>
  <c r="B44" i="130"/>
  <c r="E27" i="126"/>
  <c r="B28" i="126"/>
  <c r="E23" i="125"/>
  <c r="B24" i="125"/>
  <c r="E54" i="132" l="1"/>
  <c r="B55" i="132"/>
  <c r="B45" i="130"/>
  <c r="E44" i="130"/>
  <c r="E28" i="126"/>
  <c r="B29" i="126"/>
  <c r="E29" i="126" s="1"/>
  <c r="E24" i="125"/>
  <c r="B25" i="125"/>
  <c r="E55" i="132" l="1"/>
  <c r="B56" i="132"/>
  <c r="B46" i="130"/>
  <c r="E45" i="130"/>
  <c r="E25" i="125"/>
  <c r="B26" i="125"/>
  <c r="B57" i="132" l="1"/>
  <c r="B58" i="132" s="1"/>
  <c r="E56" i="132"/>
  <c r="E46" i="130"/>
  <c r="B47" i="130"/>
  <c r="E26" i="125"/>
  <c r="B27" i="125"/>
  <c r="G986" i="2"/>
  <c r="J986" i="2"/>
  <c r="G987" i="2"/>
  <c r="J987" i="2"/>
  <c r="G988" i="2"/>
  <c r="J988" i="2"/>
  <c r="G989" i="2"/>
  <c r="J989" i="2"/>
  <c r="G990" i="2"/>
  <c r="J990" i="2"/>
  <c r="G991" i="2"/>
  <c r="J991" i="2"/>
  <c r="G992" i="2"/>
  <c r="J992" i="2"/>
  <c r="G997" i="2"/>
  <c r="J997" i="2"/>
  <c r="G998" i="2"/>
  <c r="J998" i="2"/>
  <c r="G999" i="2"/>
  <c r="J999" i="2"/>
  <c r="G1000" i="2"/>
  <c r="J1000" i="2"/>
  <c r="B59" i="132" l="1"/>
  <c r="E58" i="132"/>
  <c r="B48" i="130"/>
  <c r="E47" i="130"/>
  <c r="B28" i="125"/>
  <c r="E27" i="125"/>
  <c r="J985" i="2"/>
  <c r="G985" i="2"/>
  <c r="J984" i="2"/>
  <c r="G984" i="2"/>
  <c r="E59" i="132" l="1"/>
  <c r="B60" i="132"/>
  <c r="B50" i="130"/>
  <c r="E48" i="130"/>
  <c r="E28" i="125"/>
  <c r="B29" i="125"/>
  <c r="E29" i="125" s="1"/>
  <c r="G980" i="2"/>
  <c r="J980" i="2"/>
  <c r="G981" i="2"/>
  <c r="J981" i="2"/>
  <c r="G982" i="2"/>
  <c r="J982" i="2"/>
  <c r="G983" i="2"/>
  <c r="J983" i="2"/>
  <c r="B61" i="132" l="1"/>
  <c r="E60" i="132"/>
  <c r="B51" i="130"/>
  <c r="E50" i="130"/>
  <c r="G970" i="2"/>
  <c r="J970" i="2"/>
  <c r="G971" i="2"/>
  <c r="J971" i="2"/>
  <c r="G972" i="2"/>
  <c r="J972" i="2"/>
  <c r="G973" i="2"/>
  <c r="J973" i="2"/>
  <c r="G974" i="2"/>
  <c r="J974" i="2"/>
  <c r="G975" i="2"/>
  <c r="J975" i="2"/>
  <c r="G976" i="2"/>
  <c r="J976" i="2"/>
  <c r="G977" i="2"/>
  <c r="J977" i="2"/>
  <c r="G978" i="2"/>
  <c r="J978" i="2"/>
  <c r="G979" i="2"/>
  <c r="J979" i="2"/>
  <c r="E61" i="132" l="1"/>
  <c r="B63" i="132"/>
  <c r="B62" i="132"/>
  <c r="B52" i="130"/>
  <c r="E51" i="130"/>
  <c r="K55" i="124"/>
  <c r="J55" i="124"/>
  <c r="I55" i="124"/>
  <c r="H55" i="124"/>
  <c r="D55" i="124"/>
  <c r="D56" i="124" s="1"/>
  <c r="D54" i="124"/>
  <c r="B54" i="124"/>
  <c r="E54" i="124" s="1"/>
  <c r="N50" i="124"/>
  <c r="L50" i="124"/>
  <c r="N51" i="124" s="1"/>
  <c r="L46" i="124"/>
  <c r="L43" i="124"/>
  <c r="L42" i="124"/>
  <c r="L41" i="124"/>
  <c r="N40" i="124"/>
  <c r="L40" i="124"/>
  <c r="L27" i="124"/>
  <c r="L24" i="124"/>
  <c r="N23" i="124"/>
  <c r="L23" i="124"/>
  <c r="L22" i="124"/>
  <c r="L21" i="124"/>
  <c r="L20" i="124"/>
  <c r="L19" i="124"/>
  <c r="L18" i="124"/>
  <c r="L17" i="124"/>
  <c r="L16" i="124"/>
  <c r="N15" i="124"/>
  <c r="N14" i="124"/>
  <c r="A14" i="124"/>
  <c r="A15" i="124" s="1"/>
  <c r="A16" i="124" s="1"/>
  <c r="A17" i="124" s="1"/>
  <c r="A18" i="124" s="1"/>
  <c r="A19" i="124" s="1"/>
  <c r="A20" i="124" s="1"/>
  <c r="A21" i="124" s="1"/>
  <c r="A22" i="124" s="1"/>
  <c r="A23" i="124" s="1"/>
  <c r="A24" i="124" s="1"/>
  <c r="A25" i="124" s="1"/>
  <c r="A26" i="124" s="1"/>
  <c r="A27" i="124" s="1"/>
  <c r="A28" i="124" s="1"/>
  <c r="A29" i="124" s="1"/>
  <c r="A30" i="124" s="1"/>
  <c r="A31" i="124" s="1"/>
  <c r="A32" i="124" s="1"/>
  <c r="A33" i="124" s="1"/>
  <c r="N13" i="124"/>
  <c r="B13" i="124"/>
  <c r="B14" i="124" s="1"/>
  <c r="A7" i="124"/>
  <c r="B3" i="124"/>
  <c r="B2" i="124"/>
  <c r="N24" i="124" l="1"/>
  <c r="N41" i="124"/>
  <c r="L55" i="124"/>
  <c r="N16" i="124"/>
  <c r="B9" i="132"/>
  <c r="C9" i="132"/>
  <c r="E63" i="132"/>
  <c r="B64" i="132"/>
  <c r="E52" i="130"/>
  <c r="B53" i="130"/>
  <c r="A34" i="124"/>
  <c r="A35" i="124" s="1"/>
  <c r="A36" i="124" s="1"/>
  <c r="A38" i="124" s="1"/>
  <c r="A39" i="124" s="1"/>
  <c r="A40" i="124" s="1"/>
  <c r="A41" i="124" s="1"/>
  <c r="A42" i="124" s="1"/>
  <c r="A43" i="124" s="1"/>
  <c r="A44" i="124" s="1"/>
  <c r="A45" i="124" s="1"/>
  <c r="A46" i="124" s="1"/>
  <c r="A47" i="124" s="1"/>
  <c r="A48" i="124" s="1"/>
  <c r="A49" i="124" s="1"/>
  <c r="A50" i="124" s="1"/>
  <c r="A51" i="124" s="1"/>
  <c r="B7" i="124"/>
  <c r="B9" i="124"/>
  <c r="C9" i="124"/>
  <c r="E14" i="124"/>
  <c r="B15" i="124"/>
  <c r="E13" i="124"/>
  <c r="B55" i="130" l="1"/>
  <c r="B56" i="130"/>
  <c r="E64" i="132"/>
  <c r="B65" i="132"/>
  <c r="E55" i="130"/>
  <c r="E53" i="130"/>
  <c r="B16" i="124"/>
  <c r="E15" i="124"/>
  <c r="C8" i="124"/>
  <c r="B8" i="124"/>
  <c r="A52" i="124"/>
  <c r="E65" i="132" l="1"/>
  <c r="B66" i="132"/>
  <c r="E16" i="124"/>
  <c r="B17" i="124"/>
  <c r="B67" i="132" l="1"/>
  <c r="E66" i="132"/>
  <c r="E56" i="130"/>
  <c r="B57" i="130"/>
  <c r="B18" i="124"/>
  <c r="E17" i="124"/>
  <c r="E67" i="132" l="1"/>
  <c r="B68" i="132"/>
  <c r="B70" i="132" s="1"/>
  <c r="B58" i="130"/>
  <c r="E57" i="130"/>
  <c r="E18" i="124"/>
  <c r="B19" i="124"/>
  <c r="B69" i="132" l="1"/>
  <c r="E68" i="132"/>
  <c r="E58" i="130"/>
  <c r="B59" i="130"/>
  <c r="B20" i="124"/>
  <c r="E19" i="124"/>
  <c r="C10" i="132" l="1"/>
  <c r="B10" i="132"/>
  <c r="B60" i="130"/>
  <c r="E59" i="130"/>
  <c r="E20" i="124"/>
  <c r="B21" i="124"/>
  <c r="B71" i="132" l="1"/>
  <c r="E70" i="132"/>
  <c r="B61" i="130"/>
  <c r="E60" i="130"/>
  <c r="B22" i="124"/>
  <c r="E21" i="124"/>
  <c r="E71" i="132" l="1"/>
  <c r="B74" i="132"/>
  <c r="B75" i="132" s="1"/>
  <c r="B72" i="132"/>
  <c r="E72" i="132" s="1"/>
  <c r="E61" i="130"/>
  <c r="B62" i="130"/>
  <c r="E22" i="124"/>
  <c r="B23" i="124"/>
  <c r="E74" i="132" l="1"/>
  <c r="B63" i="130"/>
  <c r="E62" i="130"/>
  <c r="B24" i="124"/>
  <c r="E23" i="124"/>
  <c r="B76" i="132" l="1"/>
  <c r="E75" i="132"/>
  <c r="E63" i="130"/>
  <c r="B64" i="130"/>
  <c r="B25" i="124"/>
  <c r="E24" i="124"/>
  <c r="B77" i="132" l="1"/>
  <c r="E76" i="132"/>
  <c r="E64" i="130"/>
  <c r="B65" i="130"/>
  <c r="C8" i="130" s="1"/>
  <c r="B66" i="130"/>
  <c r="B26" i="124"/>
  <c r="E25" i="124"/>
  <c r="E77" i="132" l="1"/>
  <c r="B78" i="132"/>
  <c r="E66" i="130"/>
  <c r="B68" i="130"/>
  <c r="E68" i="130" s="1"/>
  <c r="C9" i="130" s="1"/>
  <c r="E26" i="124"/>
  <c r="B27" i="124"/>
  <c r="E78" i="132" l="1"/>
  <c r="B79" i="132"/>
  <c r="B28" i="124"/>
  <c r="E27" i="124"/>
  <c r="E79" i="132" l="1"/>
  <c r="B80" i="132"/>
  <c r="B81" i="132" s="1"/>
  <c r="E28" i="124"/>
  <c r="B29" i="124"/>
  <c r="B82" i="132" l="1"/>
  <c r="E82" i="132" s="1"/>
  <c r="E81" i="132"/>
  <c r="E80" i="132"/>
  <c r="B30" i="124"/>
  <c r="E29" i="124"/>
  <c r="B83" i="132" l="1"/>
  <c r="B84" i="132" s="1"/>
  <c r="B31" i="124"/>
  <c r="E30" i="124"/>
  <c r="E83" i="132" l="1"/>
  <c r="B32" i="124"/>
  <c r="E31" i="124"/>
  <c r="E84" i="132" l="1"/>
  <c r="B85" i="132"/>
  <c r="B33" i="124"/>
  <c r="E32" i="124"/>
  <c r="E85" i="132" l="1"/>
  <c r="B86" i="132"/>
  <c r="E33" i="124"/>
  <c r="C7" i="124"/>
  <c r="B34" i="124"/>
  <c r="E86" i="132" l="1"/>
  <c r="B88" i="132"/>
  <c r="E88" i="132" s="1"/>
  <c r="B87" i="132"/>
  <c r="B35" i="124"/>
  <c r="E34" i="124"/>
  <c r="C11" i="132" l="1"/>
  <c r="B11" i="132"/>
  <c r="B36" i="124"/>
  <c r="E35" i="124"/>
  <c r="E36" i="124" l="1"/>
  <c r="B38" i="124"/>
  <c r="B39" i="124" l="1"/>
  <c r="E38" i="124"/>
  <c r="B40" i="124" l="1"/>
  <c r="E39" i="124"/>
  <c r="B41" i="124" l="1"/>
  <c r="E40" i="124"/>
  <c r="E41" i="124" l="1"/>
  <c r="B42" i="124"/>
  <c r="B43" i="124" l="1"/>
  <c r="E42" i="124"/>
  <c r="E43" i="124" l="1"/>
  <c r="B44" i="124"/>
  <c r="B45" i="124" l="1"/>
  <c r="E44" i="124"/>
  <c r="B46" i="124" l="1"/>
  <c r="E45" i="124"/>
  <c r="B47" i="124" l="1"/>
  <c r="E46" i="124"/>
  <c r="B48" i="124" l="1"/>
  <c r="E47" i="124"/>
  <c r="E48" i="124" l="1"/>
  <c r="B49" i="124"/>
  <c r="J960" i="2"/>
  <c r="G960" i="2"/>
  <c r="G961" i="2"/>
  <c r="J961" i="2"/>
  <c r="B50" i="124" l="1"/>
  <c r="E49" i="124"/>
  <c r="G956" i="2"/>
  <c r="J956" i="2"/>
  <c r="G957" i="2"/>
  <c r="J957" i="2"/>
  <c r="G958" i="2"/>
  <c r="J958" i="2"/>
  <c r="G959" i="2"/>
  <c r="J959" i="2"/>
  <c r="G962" i="2"/>
  <c r="J962" i="2"/>
  <c r="J966" i="2"/>
  <c r="G966" i="2"/>
  <c r="J965" i="2"/>
  <c r="G965" i="2"/>
  <c r="V16" i="112"/>
  <c r="V15" i="112"/>
  <c r="G1465" i="2"/>
  <c r="J1465" i="2"/>
  <c r="E50" i="124" l="1"/>
  <c r="B51" i="124"/>
  <c r="G963" i="2"/>
  <c r="J963" i="2"/>
  <c r="G964" i="2"/>
  <c r="J964" i="2"/>
  <c r="G967" i="2"/>
  <c r="J967" i="2"/>
  <c r="G968" i="2"/>
  <c r="J968" i="2"/>
  <c r="G969" i="2"/>
  <c r="J969" i="2"/>
  <c r="B52" i="124" l="1"/>
  <c r="E52" i="124" s="1"/>
  <c r="E51" i="124"/>
  <c r="G954" i="2"/>
  <c r="J954" i="2"/>
  <c r="G952" i="2" l="1"/>
  <c r="J952" i="2"/>
  <c r="G953" i="2"/>
  <c r="J953" i="2"/>
  <c r="G955" i="2"/>
  <c r="J955" i="2"/>
  <c r="G949" i="2"/>
  <c r="J949" i="2"/>
  <c r="G1550" i="2"/>
  <c r="J1550" i="2"/>
  <c r="G948" i="2" l="1"/>
  <c r="J948" i="2"/>
  <c r="G950" i="2"/>
  <c r="J950" i="2"/>
  <c r="G951" i="2"/>
  <c r="J951" i="2"/>
  <c r="B26" i="123" l="1"/>
  <c r="D21" i="123"/>
  <c r="D22" i="123" s="1"/>
  <c r="C21" i="123"/>
  <c r="C22" i="123" s="1"/>
  <c r="A12" i="123"/>
  <c r="A13" i="123" s="1"/>
  <c r="A14" i="123" s="1"/>
  <c r="A15" i="123" s="1"/>
  <c r="A16" i="123" s="1"/>
  <c r="A17" i="123" s="1"/>
  <c r="A18" i="123" s="1"/>
  <c r="A19" i="123" s="1"/>
  <c r="B11" i="123"/>
  <c r="E11" i="123" s="1"/>
  <c r="A8" i="123"/>
  <c r="C8" i="123" s="1"/>
  <c r="A7" i="123"/>
  <c r="B7" i="123" s="1"/>
  <c r="B3" i="123"/>
  <c r="B2" i="123"/>
  <c r="B26" i="122"/>
  <c r="D21" i="122"/>
  <c r="D22" i="122" s="1"/>
  <c r="C21" i="122"/>
  <c r="C22" i="122" s="1"/>
  <c r="A12" i="122"/>
  <c r="A13" i="122" s="1"/>
  <c r="A14" i="122" s="1"/>
  <c r="A15" i="122" s="1"/>
  <c r="A16" i="122" s="1"/>
  <c r="A17" i="122" s="1"/>
  <c r="A18" i="122" s="1"/>
  <c r="A19" i="122" s="1"/>
  <c r="A20" i="122" s="1"/>
  <c r="B11" i="122"/>
  <c r="B12" i="122" s="1"/>
  <c r="A8" i="122"/>
  <c r="A7" i="122"/>
  <c r="B3" i="122"/>
  <c r="B2" i="122"/>
  <c r="B26" i="121"/>
  <c r="D21" i="121"/>
  <c r="D22" i="121" s="1"/>
  <c r="C21" i="121"/>
  <c r="C22" i="121" s="1"/>
  <c r="A12" i="121"/>
  <c r="A13" i="121" s="1"/>
  <c r="A14" i="121" s="1"/>
  <c r="A15" i="121" s="1"/>
  <c r="A16" i="121" s="1"/>
  <c r="A17" i="121" s="1"/>
  <c r="B11" i="121"/>
  <c r="B12" i="121" s="1"/>
  <c r="A8" i="121"/>
  <c r="A7" i="121"/>
  <c r="B3" i="121"/>
  <c r="B2" i="121"/>
  <c r="B12" i="123" l="1"/>
  <c r="B13" i="123" s="1"/>
  <c r="B14" i="123" s="1"/>
  <c r="C7" i="123"/>
  <c r="B8" i="123"/>
  <c r="E12" i="122"/>
  <c r="B13" i="122"/>
  <c r="B14" i="122" s="1"/>
  <c r="E14" i="122" s="1"/>
  <c r="E11" i="122"/>
  <c r="B7" i="122"/>
  <c r="C8" i="122"/>
  <c r="C7" i="122"/>
  <c r="B8" i="122"/>
  <c r="C7" i="121"/>
  <c r="B8" i="121"/>
  <c r="B13" i="121"/>
  <c r="E12" i="121"/>
  <c r="A18" i="121"/>
  <c r="A19" i="121" s="1"/>
  <c r="A20" i="121" s="1"/>
  <c r="C8" i="121"/>
  <c r="E11" i="121"/>
  <c r="B7" i="121"/>
  <c r="J1554" i="2"/>
  <c r="A12" i="119"/>
  <c r="J1561" i="2"/>
  <c r="J1564" i="2"/>
  <c r="J1565" i="2"/>
  <c r="A12" i="120"/>
  <c r="A13" i="120" s="1"/>
  <c r="A14" i="120" s="1"/>
  <c r="A15" i="120" s="1"/>
  <c r="A16" i="120" s="1"/>
  <c r="A17" i="120" s="1"/>
  <c r="A18" i="120" s="1"/>
  <c r="A19" i="120" s="1"/>
  <c r="A20" i="120" s="1"/>
  <c r="E12" i="123" l="1"/>
  <c r="E13" i="123"/>
  <c r="E14" i="123"/>
  <c r="B15" i="123"/>
  <c r="E13" i="122"/>
  <c r="B15" i="122"/>
  <c r="E15" i="122" s="1"/>
  <c r="B14" i="121"/>
  <c r="E13" i="121"/>
  <c r="G940" i="2"/>
  <c r="J940" i="2"/>
  <c r="G947" i="2"/>
  <c r="J947" i="2"/>
  <c r="G941" i="2"/>
  <c r="J941" i="2"/>
  <c r="G942" i="2"/>
  <c r="J942" i="2"/>
  <c r="B16" i="123" l="1"/>
  <c r="A20" i="123" s="1"/>
  <c r="E15" i="123"/>
  <c r="B16" i="122"/>
  <c r="E14" i="121"/>
  <c r="B15" i="121"/>
  <c r="G939" i="2"/>
  <c r="J939" i="2"/>
  <c r="B26" i="120"/>
  <c r="D21" i="120"/>
  <c r="D22" i="120" s="1"/>
  <c r="C21" i="120"/>
  <c r="C22" i="120" s="1"/>
  <c r="B11" i="120"/>
  <c r="B12" i="120" s="1"/>
  <c r="B13" i="120" s="1"/>
  <c r="B14" i="120" s="1"/>
  <c r="B15" i="120" s="1"/>
  <c r="B16" i="120" s="1"/>
  <c r="B17" i="120" s="1"/>
  <c r="B18" i="120" s="1"/>
  <c r="B19" i="120" s="1"/>
  <c r="A8" i="120"/>
  <c r="B8" i="120" s="1"/>
  <c r="A7" i="120"/>
  <c r="C7" i="120" s="1"/>
  <c r="B3" i="120"/>
  <c r="B2" i="120"/>
  <c r="E16" i="122" l="1"/>
  <c r="B19" i="122"/>
  <c r="B20" i="120"/>
  <c r="E20" i="120" s="1"/>
  <c r="E19" i="120"/>
  <c r="B17" i="123"/>
  <c r="E16" i="123"/>
  <c r="B17" i="122"/>
  <c r="E17" i="122" s="1"/>
  <c r="B16" i="121"/>
  <c r="B19" i="121" s="1"/>
  <c r="E15" i="121"/>
  <c r="E12" i="120"/>
  <c r="C8" i="120"/>
  <c r="E11" i="120"/>
  <c r="B7" i="120"/>
  <c r="E17" i="123" l="1"/>
  <c r="B18" i="123"/>
  <c r="B19" i="123" s="1"/>
  <c r="B18" i="122"/>
  <c r="B27" i="122" s="1"/>
  <c r="B17" i="121"/>
  <c r="E16" i="121"/>
  <c r="E13" i="120"/>
  <c r="G1558" i="2"/>
  <c r="J1558" i="2"/>
  <c r="G1551" i="2"/>
  <c r="J1551" i="2"/>
  <c r="G1552" i="2"/>
  <c r="J1552" i="2"/>
  <c r="G1553" i="2"/>
  <c r="J1553" i="2"/>
  <c r="J1555" i="2"/>
  <c r="G1559" i="2"/>
  <c r="J1559" i="2"/>
  <c r="G1560" i="2"/>
  <c r="J1560" i="2"/>
  <c r="G938" i="2"/>
  <c r="J938" i="2"/>
  <c r="G932" i="2"/>
  <c r="J932" i="2"/>
  <c r="G933" i="2"/>
  <c r="J933" i="2"/>
  <c r="G1466" i="2"/>
  <c r="J1466" i="2"/>
  <c r="E19" i="123" l="1"/>
  <c r="B20" i="123"/>
  <c r="E20" i="123" s="1"/>
  <c r="E18" i="122"/>
  <c r="B27" i="123"/>
  <c r="E18" i="123"/>
  <c r="E19" i="122"/>
  <c r="B20" i="122"/>
  <c r="E20" i="122" s="1"/>
  <c r="B18" i="121"/>
  <c r="E17" i="121"/>
  <c r="E14" i="120"/>
  <c r="G930" i="2"/>
  <c r="J930" i="2"/>
  <c r="G931" i="2"/>
  <c r="J931" i="2"/>
  <c r="G934" i="2"/>
  <c r="J934" i="2"/>
  <c r="G935" i="2"/>
  <c r="J935" i="2"/>
  <c r="G936" i="2"/>
  <c r="J936" i="2"/>
  <c r="G928" i="2"/>
  <c r="J928" i="2"/>
  <c r="G929" i="2"/>
  <c r="J929" i="2"/>
  <c r="G937" i="2"/>
  <c r="J937" i="2"/>
  <c r="B27" i="121" l="1"/>
  <c r="E18" i="121"/>
  <c r="E15" i="120"/>
  <c r="K97" i="119"/>
  <c r="J97" i="119"/>
  <c r="I97" i="119"/>
  <c r="H97" i="119"/>
  <c r="C98" i="119"/>
  <c r="C99" i="119" s="1"/>
  <c r="L96" i="119"/>
  <c r="D97" i="119"/>
  <c r="D96" i="119"/>
  <c r="D94" i="119"/>
  <c r="D92" i="119"/>
  <c r="O90" i="119"/>
  <c r="L90" i="119"/>
  <c r="D91" i="119"/>
  <c r="O89" i="119"/>
  <c r="D90" i="119"/>
  <c r="L88" i="119"/>
  <c r="D89" i="119"/>
  <c r="D88" i="119"/>
  <c r="D86" i="119"/>
  <c r="L85" i="119"/>
  <c r="D85" i="119"/>
  <c r="L83" i="119"/>
  <c r="D83" i="119"/>
  <c r="L81" i="119"/>
  <c r="D81" i="119"/>
  <c r="L80" i="119"/>
  <c r="D80" i="119"/>
  <c r="L76" i="119"/>
  <c r="D76" i="119"/>
  <c r="L75" i="119"/>
  <c r="D75" i="119"/>
  <c r="D74" i="119"/>
  <c r="O73" i="119"/>
  <c r="O72" i="119"/>
  <c r="D72" i="119"/>
  <c r="L71" i="119"/>
  <c r="L70" i="119"/>
  <c r="L68" i="119"/>
  <c r="L67" i="119"/>
  <c r="D67" i="119"/>
  <c r="L66" i="119"/>
  <c r="D66" i="119"/>
  <c r="D63" i="119"/>
  <c r="O61" i="119"/>
  <c r="D61" i="119"/>
  <c r="O60" i="119"/>
  <c r="L60" i="119"/>
  <c r="D60" i="119"/>
  <c r="D59" i="119"/>
  <c r="L58" i="119"/>
  <c r="D58" i="119"/>
  <c r="L56" i="119"/>
  <c r="D56" i="119"/>
  <c r="L54" i="119"/>
  <c r="D54" i="119"/>
  <c r="L53" i="119"/>
  <c r="D53" i="119"/>
  <c r="L52" i="119"/>
  <c r="D52" i="119"/>
  <c r="L50" i="119"/>
  <c r="D50" i="119"/>
  <c r="L49" i="119"/>
  <c r="D49" i="119"/>
  <c r="M48" i="119"/>
  <c r="O40" i="119" s="1"/>
  <c r="D48" i="119"/>
  <c r="L47" i="119"/>
  <c r="D47" i="119"/>
  <c r="L43" i="119"/>
  <c r="D43" i="119"/>
  <c r="O42" i="119"/>
  <c r="L42" i="119"/>
  <c r="D42" i="119"/>
  <c r="O41" i="119"/>
  <c r="D41" i="119"/>
  <c r="L39" i="119"/>
  <c r="L38" i="119"/>
  <c r="L37" i="119"/>
  <c r="L36" i="119"/>
  <c r="D36" i="119"/>
  <c r="L35" i="119"/>
  <c r="D35" i="119"/>
  <c r="D34" i="119"/>
  <c r="O31" i="119"/>
  <c r="D31" i="119"/>
  <c r="O30" i="119"/>
  <c r="D30" i="119"/>
  <c r="L29" i="119"/>
  <c r="D29" i="119"/>
  <c r="D28" i="119"/>
  <c r="L27" i="119"/>
  <c r="D27" i="119"/>
  <c r="L26" i="119"/>
  <c r="D26" i="119"/>
  <c r="L25" i="119"/>
  <c r="D25" i="119"/>
  <c r="L24" i="119"/>
  <c r="D24" i="119"/>
  <c r="L23" i="119"/>
  <c r="D23" i="119"/>
  <c r="D22" i="119"/>
  <c r="L21" i="119"/>
  <c r="D21" i="119"/>
  <c r="L20" i="119"/>
  <c r="D20" i="119"/>
  <c r="O19" i="119"/>
  <c r="L19" i="119"/>
  <c r="D19" i="119"/>
  <c r="O18" i="119"/>
  <c r="L18" i="119"/>
  <c r="D18" i="119"/>
  <c r="L17" i="119"/>
  <c r="D17" i="119"/>
  <c r="A17" i="119"/>
  <c r="A11" i="119"/>
  <c r="A10" i="119"/>
  <c r="A9" i="119"/>
  <c r="A8" i="119"/>
  <c r="A7" i="119"/>
  <c r="B3" i="119"/>
  <c r="O91" i="119" l="1"/>
  <c r="A18" i="119"/>
  <c r="E19" i="121"/>
  <c r="B20" i="121"/>
  <c r="E20" i="121" s="1"/>
  <c r="E16" i="120"/>
  <c r="B17" i="119"/>
  <c r="B18" i="119" s="1"/>
  <c r="N97" i="119"/>
  <c r="O20" i="119"/>
  <c r="O33" i="119"/>
  <c r="O62" i="119"/>
  <c r="O74" i="119"/>
  <c r="O43" i="119"/>
  <c r="L97" i="119"/>
  <c r="D98" i="119"/>
  <c r="D99" i="119" s="1"/>
  <c r="A19" i="119"/>
  <c r="A20" i="119" s="1"/>
  <c r="A21" i="119" s="1"/>
  <c r="A22" i="119" s="1"/>
  <c r="A23" i="119" s="1"/>
  <c r="A24" i="119" s="1"/>
  <c r="A25" i="119" s="1"/>
  <c r="A26" i="119" s="1"/>
  <c r="A27" i="119" s="1"/>
  <c r="A28" i="119" s="1"/>
  <c r="A29" i="119" s="1"/>
  <c r="A30" i="119" s="1"/>
  <c r="A31" i="119" s="1"/>
  <c r="A32" i="119" s="1"/>
  <c r="A33" i="119" s="1"/>
  <c r="G1529" i="2"/>
  <c r="J1529" i="2"/>
  <c r="G1530" i="2"/>
  <c r="J1530" i="2"/>
  <c r="G1531" i="2"/>
  <c r="J1531" i="2"/>
  <c r="G1532" i="2"/>
  <c r="J1532" i="2"/>
  <c r="G1533" i="2"/>
  <c r="J1533" i="2"/>
  <c r="G1534" i="2"/>
  <c r="J1534" i="2"/>
  <c r="G1535" i="2"/>
  <c r="J1535" i="2"/>
  <c r="G1457" i="2"/>
  <c r="J1457" i="2"/>
  <c r="G926" i="2"/>
  <c r="J926" i="2"/>
  <c r="G922" i="2"/>
  <c r="J922" i="2"/>
  <c r="G923" i="2"/>
  <c r="J923" i="2"/>
  <c r="G1458" i="2"/>
  <c r="J1458" i="2"/>
  <c r="E17" i="120" l="1"/>
  <c r="E17" i="119"/>
  <c r="A34" i="119"/>
  <c r="A35" i="119" s="1"/>
  <c r="A36" i="119" s="1"/>
  <c r="A37" i="119" s="1"/>
  <c r="A38" i="119" s="1"/>
  <c r="A39" i="119" s="1"/>
  <c r="A40" i="119" s="1"/>
  <c r="B7" i="119"/>
  <c r="B19" i="119"/>
  <c r="E18" i="119"/>
  <c r="G920" i="2"/>
  <c r="J920" i="2"/>
  <c r="G921" i="2"/>
  <c r="J921" i="2"/>
  <c r="G924" i="2"/>
  <c r="J924" i="2"/>
  <c r="G925" i="2"/>
  <c r="J925" i="2"/>
  <c r="G1455" i="2"/>
  <c r="J1455" i="2"/>
  <c r="E18" i="120" l="1"/>
  <c r="B27" i="120"/>
  <c r="B8" i="119"/>
  <c r="A41" i="119"/>
  <c r="A42" i="119" s="1"/>
  <c r="A43" i="119" s="1"/>
  <c r="A45" i="119" s="1"/>
  <c r="A46" i="119" s="1"/>
  <c r="A47" i="119" s="1"/>
  <c r="A48" i="119" s="1"/>
  <c r="A49" i="119" s="1"/>
  <c r="A50" i="119" s="1"/>
  <c r="A51" i="119" s="1"/>
  <c r="A52" i="119" s="1"/>
  <c r="A53" i="119" s="1"/>
  <c r="A54" i="119" s="1"/>
  <c r="A55" i="119" s="1"/>
  <c r="A56" i="119" s="1"/>
  <c r="A57" i="119" s="1"/>
  <c r="A58" i="119" s="1"/>
  <c r="A59" i="119" s="1"/>
  <c r="B20" i="119"/>
  <c r="E19" i="119"/>
  <c r="G916" i="2"/>
  <c r="J916" i="2"/>
  <c r="G917" i="2"/>
  <c r="J917" i="2"/>
  <c r="G918" i="2"/>
  <c r="J918" i="2"/>
  <c r="G919" i="2"/>
  <c r="J919" i="2"/>
  <c r="G927" i="2"/>
  <c r="J927" i="2"/>
  <c r="B14" i="105"/>
  <c r="A60" i="119" l="1"/>
  <c r="A61" i="119" s="1"/>
  <c r="A62" i="119" s="1"/>
  <c r="A63" i="119" s="1"/>
  <c r="A64" i="119" s="1"/>
  <c r="E20" i="119"/>
  <c r="B21" i="119"/>
  <c r="G1454" i="2"/>
  <c r="J1454" i="2"/>
  <c r="G914" i="2"/>
  <c r="J914" i="2"/>
  <c r="G910" i="2"/>
  <c r="J910" i="2"/>
  <c r="G911" i="2"/>
  <c r="J911" i="2"/>
  <c r="A65" i="119" l="1"/>
  <c r="A66" i="119" s="1"/>
  <c r="A67" i="119" s="1"/>
  <c r="A68" i="119" s="1"/>
  <c r="B9" i="119"/>
  <c r="A69" i="119"/>
  <c r="A70" i="119" s="1"/>
  <c r="A71" i="119" s="1"/>
  <c r="A72" i="119" s="1"/>
  <c r="A73" i="119" s="1"/>
  <c r="A74" i="119" s="1"/>
  <c r="B10" i="119"/>
  <c r="E21" i="119"/>
  <c r="B22" i="119"/>
  <c r="G1525" i="2"/>
  <c r="J1525" i="2"/>
  <c r="G1526" i="2"/>
  <c r="J1526" i="2"/>
  <c r="G1527" i="2"/>
  <c r="J1527" i="2"/>
  <c r="G1528" i="2"/>
  <c r="J1528" i="2"/>
  <c r="G908" i="2"/>
  <c r="J908" i="2"/>
  <c r="G909" i="2"/>
  <c r="J909" i="2"/>
  <c r="G912" i="2"/>
  <c r="J912" i="2"/>
  <c r="G913" i="2"/>
  <c r="J913" i="2"/>
  <c r="G898" i="2"/>
  <c r="J898" i="2"/>
  <c r="G899" i="2"/>
  <c r="J899" i="2"/>
  <c r="G900" i="2"/>
  <c r="J900" i="2"/>
  <c r="G901" i="2"/>
  <c r="J901" i="2"/>
  <c r="G902" i="2"/>
  <c r="J902" i="2"/>
  <c r="G903" i="2"/>
  <c r="J903" i="2"/>
  <c r="G904" i="2"/>
  <c r="J904" i="2"/>
  <c r="G905" i="2"/>
  <c r="J905" i="2"/>
  <c r="G906" i="2"/>
  <c r="J906" i="2"/>
  <c r="G907" i="2"/>
  <c r="J907" i="2"/>
  <c r="G915" i="2"/>
  <c r="J915" i="2"/>
  <c r="A75" i="119" l="1"/>
  <c r="A76" i="119" s="1"/>
  <c r="A78" i="119" s="1"/>
  <c r="A79" i="119" s="1"/>
  <c r="A80" i="119" s="1"/>
  <c r="A81" i="119" s="1"/>
  <c r="A82" i="119" s="1"/>
  <c r="A83" i="119" s="1"/>
  <c r="B23" i="119"/>
  <c r="E22" i="119"/>
  <c r="B11" i="118"/>
  <c r="B2" i="118"/>
  <c r="B3" i="118"/>
  <c r="B41" i="118"/>
  <c r="K36" i="118"/>
  <c r="J36" i="118"/>
  <c r="I36" i="118"/>
  <c r="H36" i="118"/>
  <c r="C36" i="118"/>
  <c r="C37" i="118" s="1"/>
  <c r="D35" i="118"/>
  <c r="D34" i="118"/>
  <c r="D33" i="118"/>
  <c r="D29" i="118"/>
  <c r="D28" i="118"/>
  <c r="D27" i="118"/>
  <c r="M26" i="118"/>
  <c r="O26" i="118" s="1"/>
  <c r="O25" i="118"/>
  <c r="D25" i="118"/>
  <c r="D24" i="118"/>
  <c r="D23" i="118"/>
  <c r="D22" i="118"/>
  <c r="M20" i="118"/>
  <c r="D19" i="118"/>
  <c r="D18" i="118"/>
  <c r="L17" i="118"/>
  <c r="O17" i="118" s="1"/>
  <c r="D17" i="118"/>
  <c r="M16" i="118"/>
  <c r="D16" i="118"/>
  <c r="L14" i="118"/>
  <c r="L36" i="118" s="1"/>
  <c r="D14" i="118"/>
  <c r="O13" i="118"/>
  <c r="D13" i="118"/>
  <c r="D12" i="118"/>
  <c r="D11" i="118"/>
  <c r="A8" i="118"/>
  <c r="A7" i="118"/>
  <c r="O18" i="118" l="1"/>
  <c r="A84" i="119"/>
  <c r="A85" i="119" s="1"/>
  <c r="A86" i="119" s="1"/>
  <c r="A87" i="119" s="1"/>
  <c r="A88" i="119" s="1"/>
  <c r="A89" i="119" s="1"/>
  <c r="A90" i="119" s="1"/>
  <c r="A91" i="119" s="1"/>
  <c r="A92" i="119" s="1"/>
  <c r="A93" i="119" s="1"/>
  <c r="E23" i="119"/>
  <c r="B24" i="119"/>
  <c r="D36" i="118"/>
  <c r="D37" i="118" s="1"/>
  <c r="M36" i="118"/>
  <c r="O12" i="118"/>
  <c r="E11" i="118"/>
  <c r="A12" i="118"/>
  <c r="A13" i="118" s="1"/>
  <c r="A14" i="118" s="1"/>
  <c r="B16" i="118" s="1"/>
  <c r="B12" i="118"/>
  <c r="E12" i="118" s="1"/>
  <c r="B11" i="119" l="1"/>
  <c r="A94" i="119"/>
  <c r="B25" i="119"/>
  <c r="E24" i="119"/>
  <c r="A22" i="118"/>
  <c r="A23" i="118" s="1"/>
  <c r="A24" i="118" s="1"/>
  <c r="A25" i="118" s="1"/>
  <c r="A26" i="118" s="1"/>
  <c r="A27" i="118" s="1"/>
  <c r="A16" i="118"/>
  <c r="A17" i="118" s="1"/>
  <c r="A18" i="118" s="1"/>
  <c r="A19" i="118" s="1"/>
  <c r="A20" i="118" s="1"/>
  <c r="A21" i="118" s="1"/>
  <c r="B13" i="118"/>
  <c r="E25" i="119" l="1"/>
  <c r="B26" i="119"/>
  <c r="E16" i="118"/>
  <c r="B17" i="118"/>
  <c r="A28" i="118"/>
  <c r="A29" i="118" s="1"/>
  <c r="A30" i="118" s="1"/>
  <c r="A31" i="118" s="1"/>
  <c r="A32" i="118"/>
  <c r="A33" i="118" s="1"/>
  <c r="A34" i="118" s="1"/>
  <c r="B14" i="118"/>
  <c r="E13" i="118"/>
  <c r="B7" i="118" s="1"/>
  <c r="C7" i="118"/>
  <c r="E26" i="119" l="1"/>
  <c r="B27" i="119"/>
  <c r="E17" i="118"/>
  <c r="B18" i="118"/>
  <c r="E14" i="118"/>
  <c r="B22" i="118"/>
  <c r="B8" i="118"/>
  <c r="A35" i="118"/>
  <c r="B28" i="119" l="1"/>
  <c r="E27" i="119"/>
  <c r="E22" i="118"/>
  <c r="B23" i="118"/>
  <c r="E18" i="118"/>
  <c r="B19" i="118"/>
  <c r="E28" i="119" l="1"/>
  <c r="B29" i="119"/>
  <c r="E19" i="118"/>
  <c r="B20" i="118"/>
  <c r="E23" i="118"/>
  <c r="B24" i="118"/>
  <c r="B30" i="119" l="1"/>
  <c r="E29" i="119"/>
  <c r="B42" i="118"/>
  <c r="E24" i="118"/>
  <c r="B25" i="118"/>
  <c r="E20" i="118"/>
  <c r="B21" i="118"/>
  <c r="E21" i="118" s="1"/>
  <c r="E30" i="119" l="1"/>
  <c r="B31" i="119"/>
  <c r="E25" i="118"/>
  <c r="B26" i="118"/>
  <c r="E31" i="119" l="1"/>
  <c r="B32" i="119"/>
  <c r="B27" i="118"/>
  <c r="E26" i="118"/>
  <c r="B33" i="119" l="1"/>
  <c r="E32" i="119"/>
  <c r="B32" i="118"/>
  <c r="E27" i="118"/>
  <c r="B28" i="118"/>
  <c r="B34" i="119" l="1"/>
  <c r="C7" i="119"/>
  <c r="B29" i="118"/>
  <c r="E28" i="118"/>
  <c r="E32" i="118"/>
  <c r="B33" i="118"/>
  <c r="E34" i="119" l="1"/>
  <c r="B35" i="119"/>
  <c r="B30" i="118"/>
  <c r="E29" i="118"/>
  <c r="E33" i="118"/>
  <c r="B34" i="118"/>
  <c r="B36" i="119" l="1"/>
  <c r="E35" i="119"/>
  <c r="E34" i="118"/>
  <c r="C8" i="118"/>
  <c r="B35" i="118"/>
  <c r="E35" i="118" s="1"/>
  <c r="B31" i="118"/>
  <c r="E31" i="118" s="1"/>
  <c r="E30" i="118"/>
  <c r="B37" i="119" l="1"/>
  <c r="E36" i="119"/>
  <c r="G893" i="2"/>
  <c r="J893" i="2"/>
  <c r="G1566" i="2"/>
  <c r="J1566" i="2"/>
  <c r="G1567" i="2"/>
  <c r="J1567" i="2"/>
  <c r="G1568" i="2"/>
  <c r="J1568" i="2"/>
  <c r="G1569" i="2"/>
  <c r="J1569" i="2"/>
  <c r="G1570" i="2"/>
  <c r="J1570" i="2"/>
  <c r="J1524" i="2"/>
  <c r="G1524" i="2"/>
  <c r="G892" i="2"/>
  <c r="J892" i="2"/>
  <c r="B38" i="119" l="1"/>
  <c r="E37" i="119"/>
  <c r="G890" i="2"/>
  <c r="J890" i="2"/>
  <c r="G891" i="2"/>
  <c r="J891" i="2"/>
  <c r="B39" i="119" l="1"/>
  <c r="E38" i="119"/>
  <c r="G889" i="2"/>
  <c r="J889" i="2"/>
  <c r="G894" i="2"/>
  <c r="J894" i="2"/>
  <c r="G895" i="2"/>
  <c r="J895" i="2"/>
  <c r="G881" i="2"/>
  <c r="J881" i="2"/>
  <c r="G882" i="2"/>
  <c r="J882" i="2"/>
  <c r="G883" i="2"/>
  <c r="J883" i="2"/>
  <c r="G884" i="2"/>
  <c r="J884" i="2"/>
  <c r="G885" i="2"/>
  <c r="J885" i="2"/>
  <c r="G886" i="2"/>
  <c r="J886" i="2"/>
  <c r="G887" i="2"/>
  <c r="J887" i="2"/>
  <c r="G896" i="2"/>
  <c r="J896" i="2"/>
  <c r="G897" i="2"/>
  <c r="J897" i="2"/>
  <c r="G1456" i="2"/>
  <c r="J1456" i="2"/>
  <c r="B40" i="119" l="1"/>
  <c r="E39" i="119"/>
  <c r="A12" i="38"/>
  <c r="A13" i="38" s="1"/>
  <c r="A14" i="38" s="1"/>
  <c r="A15" i="38" s="1"/>
  <c r="A16" i="38" s="1"/>
  <c r="A17" i="38" s="1"/>
  <c r="A18" i="38" s="1"/>
  <c r="A19" i="38" s="1"/>
  <c r="A20" i="38" s="1"/>
  <c r="A13" i="117"/>
  <c r="B41" i="119" l="1"/>
  <c r="C8" i="119"/>
  <c r="B11" i="38"/>
  <c r="B3" i="38"/>
  <c r="E41" i="119" l="1"/>
  <c r="B42" i="119"/>
  <c r="E11" i="38"/>
  <c r="B12" i="38"/>
  <c r="B13" i="38" s="1"/>
  <c r="B14" i="38" s="1"/>
  <c r="J36" i="117"/>
  <c r="H36" i="117"/>
  <c r="C36" i="117"/>
  <c r="C37" i="117" s="1"/>
  <c r="D35" i="117"/>
  <c r="D34" i="117"/>
  <c r="D33" i="117"/>
  <c r="I32" i="117"/>
  <c r="D32" i="117"/>
  <c r="D31" i="117"/>
  <c r="D30" i="117"/>
  <c r="D29" i="117"/>
  <c r="D27" i="117"/>
  <c r="D26" i="117"/>
  <c r="D25" i="117"/>
  <c r="D24" i="117"/>
  <c r="D23" i="117"/>
  <c r="D22" i="117"/>
  <c r="D21" i="117"/>
  <c r="I20" i="117"/>
  <c r="I36" i="117" s="1"/>
  <c r="D20" i="117"/>
  <c r="D19" i="117"/>
  <c r="B19" i="117"/>
  <c r="E19" i="117" s="1"/>
  <c r="A19" i="117"/>
  <c r="D18" i="117"/>
  <c r="E17" i="117"/>
  <c r="D17" i="117"/>
  <c r="D16" i="117"/>
  <c r="D15" i="117"/>
  <c r="D14" i="117"/>
  <c r="A14" i="117"/>
  <c r="B12" i="117"/>
  <c r="A9" i="117"/>
  <c r="A8" i="117"/>
  <c r="A7" i="117"/>
  <c r="B3" i="117"/>
  <c r="B2" i="117"/>
  <c r="A15" i="117" l="1"/>
  <c r="E12" i="117"/>
  <c r="B13" i="117"/>
  <c r="B14" i="117" s="1"/>
  <c r="B15" i="117" s="1"/>
  <c r="B16" i="117" s="1"/>
  <c r="B43" i="119"/>
  <c r="E42" i="119"/>
  <c r="B15" i="38"/>
  <c r="B16" i="38" s="1"/>
  <c r="B17" i="38" s="1"/>
  <c r="B18" i="38" s="1"/>
  <c r="B19" i="38" s="1"/>
  <c r="C7" i="38"/>
  <c r="D36" i="117"/>
  <c r="D37" i="117" s="1"/>
  <c r="B7" i="117"/>
  <c r="A16" i="117"/>
  <c r="A18" i="117" s="1"/>
  <c r="A20" i="117" s="1"/>
  <c r="A21" i="117" s="1"/>
  <c r="A22" i="117" s="1"/>
  <c r="A23" i="117" s="1"/>
  <c r="A24" i="117" s="1"/>
  <c r="G1453" i="2"/>
  <c r="J1453" i="2"/>
  <c r="G880" i="2"/>
  <c r="J880" i="2"/>
  <c r="G877" i="2"/>
  <c r="J877" i="2"/>
  <c r="G878" i="2"/>
  <c r="J878" i="2"/>
  <c r="J1518" i="2"/>
  <c r="G1520" i="2"/>
  <c r="J1520" i="2"/>
  <c r="G1521" i="2"/>
  <c r="J1521" i="2"/>
  <c r="G1522" i="2"/>
  <c r="J1522" i="2"/>
  <c r="G1523" i="2"/>
  <c r="J1523" i="2"/>
  <c r="J1452" i="2"/>
  <c r="G1452" i="2"/>
  <c r="E13" i="117" l="1"/>
  <c r="E14" i="117"/>
  <c r="E43" i="119"/>
  <c r="B45" i="119"/>
  <c r="B20" i="38"/>
  <c r="C8" i="38"/>
  <c r="E16" i="117"/>
  <c r="B18" i="117"/>
  <c r="B8" i="117"/>
  <c r="A25" i="117"/>
  <c r="A26" i="117" s="1"/>
  <c r="A27" i="117" s="1"/>
  <c r="A28" i="117" s="1"/>
  <c r="A29" i="117" s="1"/>
  <c r="A30" i="117" s="1"/>
  <c r="A31" i="117" s="1"/>
  <c r="A32" i="117" s="1"/>
  <c r="A33" i="117" s="1"/>
  <c r="A34" i="117" s="1"/>
  <c r="C7" i="117"/>
  <c r="E15" i="117"/>
  <c r="G1451" i="2"/>
  <c r="J1451" i="2"/>
  <c r="G868" i="2"/>
  <c r="J868" i="2"/>
  <c r="G869" i="2"/>
  <c r="J869" i="2"/>
  <c r="G870" i="2"/>
  <c r="J870" i="2"/>
  <c r="G872" i="2"/>
  <c r="J872" i="2"/>
  <c r="G871" i="2"/>
  <c r="J871" i="2"/>
  <c r="G873" i="2"/>
  <c r="J873" i="2"/>
  <c r="G874" i="2"/>
  <c r="J874" i="2"/>
  <c r="G879" i="2"/>
  <c r="J879" i="2"/>
  <c r="G875" i="2"/>
  <c r="J875" i="2"/>
  <c r="G857" i="2"/>
  <c r="J857" i="2"/>
  <c r="G876" i="2"/>
  <c r="J876" i="2"/>
  <c r="B46" i="119" l="1"/>
  <c r="E45" i="119"/>
  <c r="A35" i="117"/>
  <c r="B9" i="117"/>
  <c r="B20" i="117"/>
  <c r="E18" i="117"/>
  <c r="B2" i="85"/>
  <c r="B3" i="85"/>
  <c r="E46" i="119" l="1"/>
  <c r="B47" i="119"/>
  <c r="E20" i="117"/>
  <c r="B21" i="117"/>
  <c r="G867" i="2"/>
  <c r="J867" i="2"/>
  <c r="B48" i="119" l="1"/>
  <c r="E47" i="119"/>
  <c r="E21" i="117"/>
  <c r="B22" i="117"/>
  <c r="G862" i="2"/>
  <c r="J862" i="2"/>
  <c r="G863" i="2"/>
  <c r="J863" i="2"/>
  <c r="G864" i="2"/>
  <c r="J864" i="2"/>
  <c r="G865" i="2"/>
  <c r="J865" i="2"/>
  <c r="G866" i="2"/>
  <c r="J866" i="2"/>
  <c r="G1450" i="2"/>
  <c r="J1450" i="2"/>
  <c r="G861" i="2"/>
  <c r="J861" i="2"/>
  <c r="G859" i="2"/>
  <c r="J859" i="2"/>
  <c r="G860" i="2"/>
  <c r="J860" i="2"/>
  <c r="G1449" i="2"/>
  <c r="J1449" i="2"/>
  <c r="B49" i="119" l="1"/>
  <c r="E48" i="119"/>
  <c r="E22" i="117"/>
  <c r="B23" i="117"/>
  <c r="G855" i="2"/>
  <c r="J855" i="2"/>
  <c r="G852" i="2"/>
  <c r="J852" i="2"/>
  <c r="G856" i="2"/>
  <c r="J856" i="2"/>
  <c r="E49" i="119" l="1"/>
  <c r="B50" i="119"/>
  <c r="B24" i="117"/>
  <c r="E23" i="117"/>
  <c r="G851" i="2"/>
  <c r="J851" i="2"/>
  <c r="G853" i="2"/>
  <c r="J853" i="2"/>
  <c r="G854" i="2"/>
  <c r="J854" i="2"/>
  <c r="G888" i="2"/>
  <c r="J888" i="2"/>
  <c r="E50" i="119" l="1"/>
  <c r="B51" i="119"/>
  <c r="E24" i="117"/>
  <c r="C8" i="117"/>
  <c r="B25" i="117"/>
  <c r="G847" i="2"/>
  <c r="J847" i="2"/>
  <c r="G848" i="2"/>
  <c r="J848" i="2"/>
  <c r="G849" i="2"/>
  <c r="J849" i="2"/>
  <c r="G850" i="2"/>
  <c r="J850" i="2"/>
  <c r="E51" i="119" l="1"/>
  <c r="B52" i="119"/>
  <c r="B26" i="117"/>
  <c r="E25" i="117"/>
  <c r="B12" i="65"/>
  <c r="B3" i="65"/>
  <c r="B2" i="65"/>
  <c r="G840" i="2"/>
  <c r="J840" i="2"/>
  <c r="G842" i="2"/>
  <c r="J842" i="2"/>
  <c r="G843" i="2"/>
  <c r="J843" i="2"/>
  <c r="G844" i="2"/>
  <c r="J844" i="2"/>
  <c r="G845" i="2"/>
  <c r="J845" i="2"/>
  <c r="G1444" i="2"/>
  <c r="J1444" i="2"/>
  <c r="G838" i="2"/>
  <c r="J838" i="2"/>
  <c r="G839" i="2"/>
  <c r="J839" i="2"/>
  <c r="E52" i="119" l="1"/>
  <c r="B53" i="119"/>
  <c r="E26" i="117"/>
  <c r="B27" i="117"/>
  <c r="J1441" i="2"/>
  <c r="J1442" i="2"/>
  <c r="J1443" i="2"/>
  <c r="G1445" i="2"/>
  <c r="J1445" i="2"/>
  <c r="G1440" i="2"/>
  <c r="J1440" i="2"/>
  <c r="G1446" i="2"/>
  <c r="J1446" i="2"/>
  <c r="G1447" i="2"/>
  <c r="J1447" i="2"/>
  <c r="G1448" i="2"/>
  <c r="J1448" i="2"/>
  <c r="G837" i="2"/>
  <c r="J837" i="2"/>
  <c r="E53" i="119" l="1"/>
  <c r="B54" i="119"/>
  <c r="B28" i="117"/>
  <c r="E27" i="117"/>
  <c r="G846" i="2"/>
  <c r="J846" i="2"/>
  <c r="G830" i="2"/>
  <c r="J830" i="2"/>
  <c r="G831" i="2"/>
  <c r="J831" i="2"/>
  <c r="G818" i="2"/>
  <c r="J818" i="2"/>
  <c r="G813" i="2"/>
  <c r="J813" i="2"/>
  <c r="G814" i="2"/>
  <c r="J814" i="2"/>
  <c r="G825" i="2"/>
  <c r="J825" i="2"/>
  <c r="G841" i="2"/>
  <c r="J841" i="2"/>
  <c r="G827" i="2"/>
  <c r="J827" i="2"/>
  <c r="G835" i="2"/>
  <c r="J835" i="2"/>
  <c r="G826" i="2"/>
  <c r="J826" i="2"/>
  <c r="E54" i="119" l="1"/>
  <c r="B55" i="119"/>
  <c r="B29" i="117"/>
  <c r="E28" i="117"/>
  <c r="G822" i="2"/>
  <c r="J822" i="2"/>
  <c r="G823" i="2"/>
  <c r="J823" i="2"/>
  <c r="G828" i="2"/>
  <c r="J828" i="2"/>
  <c r="G836" i="2"/>
  <c r="J836" i="2"/>
  <c r="B56" i="119" l="1"/>
  <c r="E55" i="119"/>
  <c r="E29" i="117"/>
  <c r="B30" i="117"/>
  <c r="B2" i="101"/>
  <c r="B3" i="101"/>
  <c r="B13" i="101" s="1"/>
  <c r="E56" i="119" l="1"/>
  <c r="B57" i="119"/>
  <c r="E30" i="117"/>
  <c r="B31" i="117"/>
  <c r="G803" i="2"/>
  <c r="J803" i="2"/>
  <c r="G824" i="2"/>
  <c r="G808" i="2"/>
  <c r="G811" i="2"/>
  <c r="G812" i="2"/>
  <c r="G817" i="2"/>
  <c r="G829" i="2"/>
  <c r="J829" i="2"/>
  <c r="B58" i="119" l="1"/>
  <c r="E57" i="119"/>
  <c r="E31" i="117"/>
  <c r="B32" i="117"/>
  <c r="G832" i="2"/>
  <c r="J832" i="2"/>
  <c r="G833" i="2"/>
  <c r="J833" i="2"/>
  <c r="G810" i="2"/>
  <c r="J810" i="2"/>
  <c r="G819" i="2"/>
  <c r="J819" i="2"/>
  <c r="C30" i="115"/>
  <c r="C31" i="115" s="1"/>
  <c r="D29" i="115"/>
  <c r="K28" i="115"/>
  <c r="D28" i="115"/>
  <c r="K27" i="115"/>
  <c r="D27" i="115"/>
  <c r="D26" i="115"/>
  <c r="D25" i="115"/>
  <c r="D24" i="115"/>
  <c r="I23" i="115"/>
  <c r="H23" i="115"/>
  <c r="D23" i="115"/>
  <c r="I22" i="115"/>
  <c r="H22" i="115"/>
  <c r="K22" i="115" s="1"/>
  <c r="D22" i="115"/>
  <c r="D21" i="115"/>
  <c r="D20" i="115"/>
  <c r="H19" i="115"/>
  <c r="J18" i="115"/>
  <c r="D18" i="115"/>
  <c r="D17" i="115"/>
  <c r="D16" i="115"/>
  <c r="D15" i="115"/>
  <c r="D14" i="115"/>
  <c r="J13" i="115"/>
  <c r="J30" i="115" s="1"/>
  <c r="D13" i="115"/>
  <c r="D12" i="115"/>
  <c r="D11" i="115"/>
  <c r="A12" i="115" s="1"/>
  <c r="B11" i="115"/>
  <c r="A7" i="115"/>
  <c r="B3" i="115"/>
  <c r="B2" i="115"/>
  <c r="B3" i="114"/>
  <c r="B2" i="114"/>
  <c r="B11" i="114"/>
  <c r="C28" i="114"/>
  <c r="C29" i="114" s="1"/>
  <c r="K27" i="114"/>
  <c r="D27" i="114"/>
  <c r="D26" i="114"/>
  <c r="D25" i="114"/>
  <c r="D24" i="114"/>
  <c r="I23" i="114"/>
  <c r="H23" i="114"/>
  <c r="D23" i="114"/>
  <c r="I22" i="114"/>
  <c r="H22" i="114"/>
  <c r="K22" i="114" s="1"/>
  <c r="D22" i="114"/>
  <c r="D21" i="114"/>
  <c r="D20" i="114"/>
  <c r="H19" i="114"/>
  <c r="K19" i="114" s="1"/>
  <c r="J18" i="114"/>
  <c r="D18" i="114"/>
  <c r="D17" i="114"/>
  <c r="D15" i="114"/>
  <c r="D14" i="114"/>
  <c r="J13" i="114"/>
  <c r="D11" i="114"/>
  <c r="A12" i="114" s="1"/>
  <c r="A13" i="114" s="1"/>
  <c r="A14" i="114" s="1"/>
  <c r="E11" i="114"/>
  <c r="A7" i="114"/>
  <c r="K23" i="114" l="1"/>
  <c r="K23" i="115"/>
  <c r="I28" i="114"/>
  <c r="I30" i="115"/>
  <c r="J28" i="114"/>
  <c r="K19" i="115"/>
  <c r="H30" i="115"/>
  <c r="E58" i="119"/>
  <c r="B59" i="119"/>
  <c r="E32" i="117"/>
  <c r="B33" i="117"/>
  <c r="K28" i="114"/>
  <c r="B12" i="115"/>
  <c r="B13" i="115" s="1"/>
  <c r="E13" i="115" s="1"/>
  <c r="A13" i="115"/>
  <c r="A14" i="115" s="1"/>
  <c r="A15" i="115" s="1"/>
  <c r="A16" i="115" s="1"/>
  <c r="B7" i="115" s="1"/>
  <c r="K30" i="115"/>
  <c r="D30" i="115"/>
  <c r="D31" i="115" s="1"/>
  <c r="E11" i="115"/>
  <c r="B12" i="114"/>
  <c r="B13" i="114" s="1"/>
  <c r="E13" i="114" s="1"/>
  <c r="D28" i="114"/>
  <c r="D29" i="114" s="1"/>
  <c r="H28" i="114"/>
  <c r="A15" i="114"/>
  <c r="A16" i="114" s="1"/>
  <c r="C7" i="114" s="1"/>
  <c r="G796" i="2"/>
  <c r="G805" i="2"/>
  <c r="G804" i="2"/>
  <c r="G815" i="2"/>
  <c r="J815" i="2"/>
  <c r="G816" i="2"/>
  <c r="J816" i="2"/>
  <c r="G802" i="2"/>
  <c r="J802" i="2"/>
  <c r="G797" i="2"/>
  <c r="J797" i="2"/>
  <c r="G807" i="2"/>
  <c r="J807" i="2"/>
  <c r="G809" i="2"/>
  <c r="J809" i="2"/>
  <c r="G820" i="2"/>
  <c r="J820" i="2"/>
  <c r="G821" i="2"/>
  <c r="J821" i="2"/>
  <c r="E12" i="115" l="1"/>
  <c r="B60" i="119"/>
  <c r="E59" i="119"/>
  <c r="B34" i="117"/>
  <c r="E33" i="117"/>
  <c r="B14" i="114"/>
  <c r="E14" i="114" s="1"/>
  <c r="A17" i="115"/>
  <c r="A18" i="115" s="1"/>
  <c r="A19" i="115" s="1"/>
  <c r="A20" i="115" s="1"/>
  <c r="A21" i="115" s="1"/>
  <c r="A22" i="115" s="1"/>
  <c r="A23" i="115" s="1"/>
  <c r="C7" i="115"/>
  <c r="B14" i="115"/>
  <c r="E12" i="114"/>
  <c r="A17" i="114"/>
  <c r="A18" i="114" s="1"/>
  <c r="A19" i="114" s="1"/>
  <c r="A20" i="114" s="1"/>
  <c r="A21" i="114" s="1"/>
  <c r="A22" i="114" s="1"/>
  <c r="A23" i="114" s="1"/>
  <c r="A24" i="114" s="1"/>
  <c r="A25" i="114" s="1"/>
  <c r="B7" i="114"/>
  <c r="B6" i="113"/>
  <c r="J6" i="113" a="1"/>
  <c r="J6" i="113" s="1"/>
  <c r="K6" i="113" a="1"/>
  <c r="K6" i="113" s="1"/>
  <c r="J7" i="113" a="1"/>
  <c r="J7" i="113" s="1"/>
  <c r="K7" i="113" a="1"/>
  <c r="K7" i="113" s="1"/>
  <c r="J8" i="113" a="1"/>
  <c r="J8" i="113" s="1"/>
  <c r="K8" i="113" a="1"/>
  <c r="K8" i="113" s="1"/>
  <c r="J9" i="113" a="1"/>
  <c r="J9" i="113" s="1"/>
  <c r="K9" i="113" a="1"/>
  <c r="K9" i="113" s="1"/>
  <c r="J10" i="113" a="1"/>
  <c r="J10" i="113" s="1"/>
  <c r="K10" i="113" a="1"/>
  <c r="K10" i="113" s="1"/>
  <c r="J11" i="113" a="1"/>
  <c r="J11" i="113" s="1"/>
  <c r="K11" i="113" a="1"/>
  <c r="K11" i="113" s="1"/>
  <c r="J12" i="113" a="1"/>
  <c r="J12" i="113" s="1"/>
  <c r="K12" i="113" a="1"/>
  <c r="K12" i="113" s="1"/>
  <c r="J13" i="113" a="1"/>
  <c r="J13" i="113" s="1"/>
  <c r="K13" i="113" a="1"/>
  <c r="K13" i="113" s="1"/>
  <c r="J14" i="113" a="1"/>
  <c r="J14" i="113" s="1"/>
  <c r="K14" i="113" a="1"/>
  <c r="K14" i="113" s="1"/>
  <c r="J15" i="113" a="1"/>
  <c r="J15" i="113" s="1"/>
  <c r="K15" i="113" a="1"/>
  <c r="K15" i="113" s="1"/>
  <c r="J16" i="113" a="1"/>
  <c r="J16" i="113" s="1"/>
  <c r="K16" i="113" a="1"/>
  <c r="K16" i="113" s="1"/>
  <c r="J17" i="113" a="1"/>
  <c r="J17" i="113" s="1"/>
  <c r="K17" i="113" a="1"/>
  <c r="K17" i="113" s="1"/>
  <c r="J18" i="113" a="1"/>
  <c r="J18" i="113" s="1"/>
  <c r="K18" i="113" a="1"/>
  <c r="K18" i="113" s="1"/>
  <c r="J19" i="113" a="1"/>
  <c r="J19" i="113" s="1"/>
  <c r="K19" i="113" a="1"/>
  <c r="K19" i="113" s="1"/>
  <c r="J20" i="113" a="1"/>
  <c r="J20" i="113" s="1"/>
  <c r="K20" i="113" a="1"/>
  <c r="K20" i="113" s="1"/>
  <c r="J21" i="113" a="1"/>
  <c r="J21" i="113" s="1"/>
  <c r="K21" i="113" a="1"/>
  <c r="K21" i="113" s="1"/>
  <c r="J22" i="113" a="1"/>
  <c r="J22" i="113" s="1"/>
  <c r="K22" i="113" a="1"/>
  <c r="K22" i="113" s="1"/>
  <c r="J23" i="113" a="1"/>
  <c r="J23" i="113" s="1"/>
  <c r="K23" i="113" a="1"/>
  <c r="K23" i="113" s="1"/>
  <c r="J24" i="113" a="1"/>
  <c r="J24" i="113" s="1"/>
  <c r="K24" i="113" a="1"/>
  <c r="K24" i="113" s="1"/>
  <c r="J25" i="113" a="1"/>
  <c r="J25" i="113" s="1"/>
  <c r="K25" i="113" a="1"/>
  <c r="K25" i="113" s="1"/>
  <c r="J26" i="113" a="1"/>
  <c r="J26" i="113" s="1"/>
  <c r="K26" i="113" a="1"/>
  <c r="K26" i="113" s="1"/>
  <c r="J27" i="113" a="1"/>
  <c r="J27" i="113" s="1"/>
  <c r="K27" i="113" a="1"/>
  <c r="K27" i="113" s="1"/>
  <c r="J28" i="113" a="1"/>
  <c r="J28" i="113" s="1"/>
  <c r="K28" i="113" a="1"/>
  <c r="K28" i="113" s="1"/>
  <c r="J29" i="113" a="1"/>
  <c r="J29" i="113" s="1"/>
  <c r="K29" i="113" a="1"/>
  <c r="K29" i="113" s="1"/>
  <c r="J30" i="113" a="1"/>
  <c r="J30" i="113" s="1"/>
  <c r="K30" i="113" a="1"/>
  <c r="K30" i="113" s="1"/>
  <c r="J31" i="113" a="1"/>
  <c r="J31" i="113" s="1"/>
  <c r="K31" i="113" a="1"/>
  <c r="K31" i="113" s="1"/>
  <c r="J32" i="113" a="1"/>
  <c r="J32" i="113" s="1"/>
  <c r="K32" i="113" a="1"/>
  <c r="K32" i="113" s="1"/>
  <c r="J33" i="113" a="1"/>
  <c r="J33" i="113" s="1"/>
  <c r="K33" i="113" a="1"/>
  <c r="K33" i="113" s="1"/>
  <c r="J34" i="113" a="1"/>
  <c r="J34" i="113" s="1"/>
  <c r="K34" i="113" a="1"/>
  <c r="K34" i="113" s="1"/>
  <c r="J35" i="113" a="1"/>
  <c r="J35" i="113" s="1"/>
  <c r="K35" i="113" a="1"/>
  <c r="K35" i="113" s="1"/>
  <c r="J36" i="113" a="1"/>
  <c r="J36" i="113" s="1"/>
  <c r="K36" i="113" a="1"/>
  <c r="K36" i="113" s="1"/>
  <c r="J37" i="113" a="1"/>
  <c r="J37" i="113" s="1"/>
  <c r="K37" i="113" a="1"/>
  <c r="K37" i="113" s="1"/>
  <c r="J38" i="113" a="1"/>
  <c r="J38" i="113" s="1"/>
  <c r="K38" i="113" a="1"/>
  <c r="K38" i="113" s="1"/>
  <c r="J39" i="113" a="1"/>
  <c r="J39" i="113" s="1"/>
  <c r="K39" i="113" a="1"/>
  <c r="K39" i="113" s="1"/>
  <c r="Y112" i="112"/>
  <c r="Y111" i="112"/>
  <c r="AB10" i="112"/>
  <c r="AC13" i="112"/>
  <c r="AC17" i="112" a="1"/>
  <c r="AC16" i="112" a="1"/>
  <c r="AC19" i="112" a="1"/>
  <c r="AC14" i="112"/>
  <c r="AC15" i="112"/>
  <c r="AC18" i="112"/>
  <c r="C6" i="113" l="1"/>
  <c r="D6" i="113" s="1"/>
  <c r="E6" i="113" s="1"/>
  <c r="E60" i="119"/>
  <c r="B61" i="119"/>
  <c r="E34" i="117"/>
  <c r="B35" i="117"/>
  <c r="E35" i="117" s="1"/>
  <c r="C9" i="117"/>
  <c r="B15" i="114"/>
  <c r="B16" i="114" s="1"/>
  <c r="E14" i="115"/>
  <c r="B15" i="115"/>
  <c r="A27" i="115"/>
  <c r="A28" i="115" s="1"/>
  <c r="A29" i="115" s="1"/>
  <c r="A24" i="115"/>
  <c r="A25" i="115" s="1"/>
  <c r="B8" i="114"/>
  <c r="A26" i="114"/>
  <c r="A27" i="114" s="1"/>
  <c r="C8" i="114"/>
  <c r="AC16" i="112"/>
  <c r="AC17" i="112"/>
  <c r="AC19" i="112"/>
  <c r="B54" i="110"/>
  <c r="D7" i="113"/>
  <c r="E7" i="113"/>
  <c r="F6" i="113" l="1"/>
  <c r="B62" i="119"/>
  <c r="E61" i="119"/>
  <c r="E15" i="114"/>
  <c r="B8" i="115"/>
  <c r="C8" i="115"/>
  <c r="A26" i="115"/>
  <c r="E15" i="115"/>
  <c r="B16" i="115"/>
  <c r="E16" i="114"/>
  <c r="B17" i="114"/>
  <c r="G783" i="2"/>
  <c r="G786" i="2"/>
  <c r="G787" i="2"/>
  <c r="G788" i="2"/>
  <c r="G789" i="2"/>
  <c r="G790" i="2"/>
  <c r="G791" i="2"/>
  <c r="G834" i="2"/>
  <c r="J834" i="2"/>
  <c r="G801" i="2"/>
  <c r="J801" i="2"/>
  <c r="G806" i="2"/>
  <c r="J806" i="2"/>
  <c r="G779" i="2"/>
  <c r="J779" i="2"/>
  <c r="G781" i="2"/>
  <c r="J781" i="2"/>
  <c r="G800" i="2"/>
  <c r="J800" i="2"/>
  <c r="G793" i="2"/>
  <c r="J793" i="2"/>
  <c r="G782" i="2"/>
  <c r="J782" i="2"/>
  <c r="A7" i="110"/>
  <c r="F7" i="113"/>
  <c r="G6" i="113" l="1"/>
  <c r="H6" i="113" s="1"/>
  <c r="E62" i="119"/>
  <c r="B63" i="119"/>
  <c r="E16" i="115"/>
  <c r="B17" i="115"/>
  <c r="E17" i="114"/>
  <c r="B18" i="114"/>
  <c r="B13" i="110"/>
  <c r="B3" i="110"/>
  <c r="K55" i="110"/>
  <c r="J55" i="110"/>
  <c r="I55" i="110"/>
  <c r="H55" i="110"/>
  <c r="D54" i="110"/>
  <c r="N50" i="110"/>
  <c r="L50" i="110"/>
  <c r="N51" i="110" s="1"/>
  <c r="L46" i="110"/>
  <c r="L43" i="110"/>
  <c r="L42" i="110"/>
  <c r="L41" i="110"/>
  <c r="N40" i="110"/>
  <c r="L40" i="110"/>
  <c r="L27" i="110"/>
  <c r="L24" i="110"/>
  <c r="N23" i="110"/>
  <c r="L23" i="110"/>
  <c r="L22" i="110"/>
  <c r="L21" i="110"/>
  <c r="L20" i="110"/>
  <c r="L19" i="110"/>
  <c r="L18" i="110"/>
  <c r="L17" i="110"/>
  <c r="L16" i="110"/>
  <c r="N15" i="110"/>
  <c r="N14" i="110"/>
  <c r="N13" i="110"/>
  <c r="B2" i="110"/>
  <c r="B24" i="109"/>
  <c r="D19" i="109"/>
  <c r="D20" i="109" s="1"/>
  <c r="C19" i="109"/>
  <c r="C20" i="109" s="1"/>
  <c r="A12" i="109"/>
  <c r="A13" i="109" s="1"/>
  <c r="A14" i="109" s="1"/>
  <c r="A15" i="109" s="1"/>
  <c r="A16" i="109" s="1"/>
  <c r="A17" i="109" s="1"/>
  <c r="A18" i="109" s="1"/>
  <c r="B11" i="109"/>
  <c r="A8" i="109"/>
  <c r="A7" i="109"/>
  <c r="B3" i="109"/>
  <c r="B2" i="109"/>
  <c r="H7" i="113"/>
  <c r="G7" i="113"/>
  <c r="B12" i="109" l="1"/>
  <c r="B13" i="109" s="1"/>
  <c r="B14" i="109" s="1"/>
  <c r="B15" i="109" s="1"/>
  <c r="E11" i="109"/>
  <c r="B17" i="113"/>
  <c r="E63" i="119"/>
  <c r="B64" i="119"/>
  <c r="E17" i="115"/>
  <c r="B18" i="115"/>
  <c r="E18" i="114"/>
  <c r="B19" i="114"/>
  <c r="A14" i="110"/>
  <c r="E13" i="110"/>
  <c r="N41" i="110"/>
  <c r="L55" i="110"/>
  <c r="N24" i="110"/>
  <c r="C7" i="109"/>
  <c r="B8" i="109"/>
  <c r="B14" i="110"/>
  <c r="E14" i="110" s="1"/>
  <c r="N16" i="110"/>
  <c r="C8" i="109"/>
  <c r="B7" i="109"/>
  <c r="G771" i="2"/>
  <c r="G773" i="2"/>
  <c r="G792" i="2"/>
  <c r="J792" i="2"/>
  <c r="G777" i="2"/>
  <c r="G775" i="2"/>
  <c r="G755" i="2"/>
  <c r="G761" i="2"/>
  <c r="G767" i="2"/>
  <c r="J762" i="2"/>
  <c r="G762" i="2"/>
  <c r="G753" i="2"/>
  <c r="J784" i="2"/>
  <c r="G784" i="2"/>
  <c r="G756" i="2"/>
  <c r="J780" i="2"/>
  <c r="G780" i="2"/>
  <c r="J785" i="2"/>
  <c r="G785" i="2"/>
  <c r="B18" i="113"/>
  <c r="E13" i="109" l="1"/>
  <c r="E12" i="109"/>
  <c r="E14" i="109"/>
  <c r="C17" i="113"/>
  <c r="D17" i="113" s="1"/>
  <c r="B65" i="119"/>
  <c r="C9" i="119"/>
  <c r="E18" i="115"/>
  <c r="B19" i="115"/>
  <c r="E19" i="114"/>
  <c r="B20" i="114"/>
  <c r="B15" i="110"/>
  <c r="E15" i="110" s="1"/>
  <c r="A15" i="110"/>
  <c r="B16" i="109"/>
  <c r="E15" i="109"/>
  <c r="D18" i="113"/>
  <c r="E17" i="113" l="1"/>
  <c r="B66" i="119"/>
  <c r="E65" i="119"/>
  <c r="E19" i="115"/>
  <c r="B20" i="115"/>
  <c r="E20" i="114"/>
  <c r="B21" i="114"/>
  <c r="A16" i="110"/>
  <c r="B16" i="110"/>
  <c r="E16" i="110" s="1"/>
  <c r="B17" i="109"/>
  <c r="E16" i="109"/>
  <c r="G765" i="2"/>
  <c r="J765" i="2"/>
  <c r="G763" i="2"/>
  <c r="J763" i="2"/>
  <c r="G766" i="2"/>
  <c r="J766" i="2"/>
  <c r="G795" i="2"/>
  <c r="J795" i="2"/>
  <c r="G770" i="2"/>
  <c r="J770" i="2"/>
  <c r="G794" i="2"/>
  <c r="J794" i="2"/>
  <c r="G778" i="2"/>
  <c r="J778" i="2"/>
  <c r="G768" i="2"/>
  <c r="G769" i="2"/>
  <c r="B3" i="108"/>
  <c r="B2" i="108"/>
  <c r="B11" i="108"/>
  <c r="B12" i="108" s="1"/>
  <c r="B13" i="108" s="1"/>
  <c r="B14" i="108" s="1"/>
  <c r="B15" i="108" s="1"/>
  <c r="B16" i="108" s="1"/>
  <c r="B17" i="108" s="1"/>
  <c r="B18" i="108" s="1"/>
  <c r="B24" i="108"/>
  <c r="D19" i="108"/>
  <c r="D20" i="108" s="1"/>
  <c r="C19" i="108"/>
  <c r="C20" i="108" s="1"/>
  <c r="A12" i="108"/>
  <c r="A13" i="108" s="1"/>
  <c r="A14" i="108" s="1"/>
  <c r="A15" i="108" s="1"/>
  <c r="A16" i="108" s="1"/>
  <c r="A17" i="108" s="1"/>
  <c r="A18" i="108" s="1"/>
  <c r="A8" i="108"/>
  <c r="A7" i="108"/>
  <c r="C7" i="108" s="1"/>
  <c r="E18" i="113"/>
  <c r="C7" i="113"/>
  <c r="C8" i="108" l="1"/>
  <c r="E11" i="108"/>
  <c r="F17" i="113"/>
  <c r="E66" i="119"/>
  <c r="B67" i="119"/>
  <c r="E20" i="115"/>
  <c r="B21" i="115"/>
  <c r="E21" i="114"/>
  <c r="B22" i="114"/>
  <c r="B17" i="110"/>
  <c r="E17" i="110" s="1"/>
  <c r="A17" i="110"/>
  <c r="E17" i="109"/>
  <c r="B18" i="109"/>
  <c r="E13" i="108"/>
  <c r="B7" i="108"/>
  <c r="E12" i="108"/>
  <c r="B8" i="108"/>
  <c r="F18" i="113"/>
  <c r="G17" i="113" l="1"/>
  <c r="E67" i="119"/>
  <c r="B68" i="119"/>
  <c r="B69" i="119" s="1"/>
  <c r="B70" i="119" s="1"/>
  <c r="E21" i="115"/>
  <c r="B22" i="115"/>
  <c r="B23" i="114"/>
  <c r="E22" i="114"/>
  <c r="B18" i="110"/>
  <c r="E18" i="110" s="1"/>
  <c r="A18" i="110"/>
  <c r="B25" i="109"/>
  <c r="E18" i="109"/>
  <c r="E14" i="108"/>
  <c r="G18" i="113"/>
  <c r="H17" i="113" l="1"/>
  <c r="E68" i="119"/>
  <c r="E22" i="115"/>
  <c r="B23" i="115"/>
  <c r="E23" i="114"/>
  <c r="B24" i="114"/>
  <c r="B19" i="110"/>
  <c r="E19" i="110" s="1"/>
  <c r="E15" i="108"/>
  <c r="J774" i="2"/>
  <c r="H18" i="113"/>
  <c r="B28" i="113" l="1"/>
  <c r="B71" i="119"/>
  <c r="E70" i="119"/>
  <c r="E23" i="115"/>
  <c r="B24" i="115"/>
  <c r="B27" i="115"/>
  <c r="B25" i="114"/>
  <c r="E24" i="114"/>
  <c r="A19" i="110"/>
  <c r="E16" i="108"/>
  <c r="G754" i="2"/>
  <c r="G772" i="2"/>
  <c r="J772" i="2"/>
  <c r="J776" i="2"/>
  <c r="G764" i="2"/>
  <c r="J764" i="2"/>
  <c r="B29" i="113"/>
  <c r="C28" i="113" l="1"/>
  <c r="E71" i="119"/>
  <c r="B72" i="119"/>
  <c r="E24" i="115"/>
  <c r="B25" i="115"/>
  <c r="E27" i="115"/>
  <c r="B28" i="115"/>
  <c r="E25" i="114"/>
  <c r="B26" i="114"/>
  <c r="B20" i="110"/>
  <c r="E20" i="110" s="1"/>
  <c r="A20" i="110"/>
  <c r="E17" i="108"/>
  <c r="C29" i="113"/>
  <c r="D28" i="113" l="1"/>
  <c r="E72" i="119"/>
  <c r="B73" i="119"/>
  <c r="E26" i="114"/>
  <c r="B27" i="114"/>
  <c r="E27" i="114" s="1"/>
  <c r="E25" i="115"/>
  <c r="B26" i="115"/>
  <c r="E26" i="115" s="1"/>
  <c r="E28" i="115"/>
  <c r="B29" i="115"/>
  <c r="E29" i="115" s="1"/>
  <c r="B21" i="110"/>
  <c r="E21" i="110" s="1"/>
  <c r="A21" i="110"/>
  <c r="B25" i="108"/>
  <c r="E18" i="108"/>
  <c r="G752" i="2"/>
  <c r="J752" i="2"/>
  <c r="G759" i="2"/>
  <c r="J759" i="2"/>
  <c r="D29" i="113"/>
  <c r="E28" i="113" l="1"/>
  <c r="B74" i="119"/>
  <c r="C10" i="119"/>
  <c r="B22" i="110"/>
  <c r="E22" i="110" s="1"/>
  <c r="A22" i="110"/>
  <c r="G735" i="2"/>
  <c r="J735" i="2"/>
  <c r="G745" i="2"/>
  <c r="J745" i="2"/>
  <c r="G736" i="2"/>
  <c r="J736" i="2"/>
  <c r="G742" i="2"/>
  <c r="G743" i="2"/>
  <c r="G746" i="2"/>
  <c r="G747" i="2"/>
  <c r="G757" i="2"/>
  <c r="J757" i="2"/>
  <c r="G758" i="2"/>
  <c r="J758" i="2"/>
  <c r="G744" i="2"/>
  <c r="J744" i="2"/>
  <c r="G750" i="2"/>
  <c r="G751" i="2"/>
  <c r="E29" i="113"/>
  <c r="F28" i="113" l="1"/>
  <c r="E74" i="119"/>
  <c r="B75" i="119"/>
  <c r="B23" i="110"/>
  <c r="E23" i="110" s="1"/>
  <c r="A23" i="110"/>
  <c r="F29" i="113"/>
  <c r="G28" i="113" l="1"/>
  <c r="B76" i="119"/>
  <c r="E75" i="119"/>
  <c r="A24" i="110"/>
  <c r="B24" i="110"/>
  <c r="E24" i="110" s="1"/>
  <c r="G734" i="2"/>
  <c r="J734" i="2"/>
  <c r="G739" i="2"/>
  <c r="J739" i="2"/>
  <c r="G740" i="2"/>
  <c r="J740" i="2"/>
  <c r="G730" i="2"/>
  <c r="J730" i="2"/>
  <c r="G741" i="2"/>
  <c r="J741" i="2"/>
  <c r="G29" i="113"/>
  <c r="H28" i="113" l="1"/>
  <c r="E76" i="119"/>
  <c r="B78" i="119"/>
  <c r="A25" i="110"/>
  <c r="B25" i="110"/>
  <c r="E25" i="110" s="1"/>
  <c r="G727" i="2"/>
  <c r="G728" i="2"/>
  <c r="G729" i="2"/>
  <c r="G733" i="2"/>
  <c r="G738" i="2"/>
  <c r="J738" i="2"/>
  <c r="H29" i="113"/>
  <c r="B39" i="113" l="1"/>
  <c r="B79" i="119"/>
  <c r="E78" i="119"/>
  <c r="A26" i="110"/>
  <c r="B26" i="110"/>
  <c r="E26" i="110" s="1"/>
  <c r="C39" i="113" l="1"/>
  <c r="B80" i="119"/>
  <c r="E79" i="119"/>
  <c r="B27" i="110"/>
  <c r="E27" i="110" s="1"/>
  <c r="A27" i="110"/>
  <c r="G707" i="2"/>
  <c r="G710" i="2"/>
  <c r="G718" i="2"/>
  <c r="G719" i="2"/>
  <c r="G722" i="2"/>
  <c r="G723" i="2"/>
  <c r="G724" i="2"/>
  <c r="G732" i="2"/>
  <c r="J732" i="2"/>
  <c r="G717" i="2"/>
  <c r="J717" i="2"/>
  <c r="G737" i="2"/>
  <c r="J737" i="2"/>
  <c r="C40" i="113"/>
  <c r="D39" i="113" l="1"/>
  <c r="B81" i="119"/>
  <c r="B82" i="119" s="1"/>
  <c r="E80" i="119"/>
  <c r="B28" i="110"/>
  <c r="A28" i="110"/>
  <c r="A29" i="110" s="1"/>
  <c r="A30" i="110" s="1"/>
  <c r="A31" i="110" s="1"/>
  <c r="A32" i="110" s="1"/>
  <c r="A33" i="110" s="1"/>
  <c r="G799" i="2"/>
  <c r="J799" i="2"/>
  <c r="G704" i="2"/>
  <c r="J704" i="2"/>
  <c r="B3" i="105"/>
  <c r="G661" i="2"/>
  <c r="G663" i="2"/>
  <c r="G700" i="2"/>
  <c r="G701" i="2"/>
  <c r="G705" i="2"/>
  <c r="G725" i="2"/>
  <c r="J725" i="2"/>
  <c r="G658" i="2"/>
  <c r="J658" i="2"/>
  <c r="G726" i="2"/>
  <c r="J726" i="2"/>
  <c r="G702" i="2"/>
  <c r="J702" i="2"/>
  <c r="G703" i="2"/>
  <c r="J703" i="2"/>
  <c r="G662" i="2"/>
  <c r="J662" i="2"/>
  <c r="G720" i="2"/>
  <c r="J720" i="2"/>
  <c r="G706" i="2"/>
  <c r="G721" i="2"/>
  <c r="J721" i="2"/>
  <c r="G711" i="2"/>
  <c r="J711" i="2"/>
  <c r="G731" i="2"/>
  <c r="J731" i="2"/>
  <c r="G712" i="2"/>
  <c r="J712" i="2"/>
  <c r="D40" i="113"/>
  <c r="E39" i="113" l="1"/>
  <c r="B83" i="119"/>
  <c r="E82" i="119"/>
  <c r="E81" i="119"/>
  <c r="A34" i="110"/>
  <c r="A35" i="110" s="1"/>
  <c r="A36" i="110" s="1"/>
  <c r="A38" i="110" s="1"/>
  <c r="A39" i="110" s="1"/>
  <c r="A40" i="110" s="1"/>
  <c r="A41" i="110" s="1"/>
  <c r="A42" i="110" s="1"/>
  <c r="A43" i="110" s="1"/>
  <c r="A44" i="110" s="1"/>
  <c r="A45" i="110" s="1"/>
  <c r="A46" i="110" s="1"/>
  <c r="A47" i="110" s="1"/>
  <c r="B7" i="110"/>
  <c r="E28" i="110"/>
  <c r="B29" i="110"/>
  <c r="M75" i="105"/>
  <c r="K75" i="105"/>
  <c r="J75" i="105"/>
  <c r="I75" i="105"/>
  <c r="H75" i="105"/>
  <c r="C75" i="105"/>
  <c r="C76" i="105" s="1"/>
  <c r="D73" i="105"/>
  <c r="D71" i="105"/>
  <c r="L70" i="105"/>
  <c r="D70" i="105"/>
  <c r="L68" i="105"/>
  <c r="D68" i="105"/>
  <c r="L67" i="105"/>
  <c r="D67" i="105"/>
  <c r="D66" i="105"/>
  <c r="L64" i="105"/>
  <c r="D64" i="105"/>
  <c r="D63" i="105"/>
  <c r="D62" i="105"/>
  <c r="L61" i="105"/>
  <c r="D61" i="105"/>
  <c r="D59" i="105"/>
  <c r="L58" i="105"/>
  <c r="D58" i="105"/>
  <c r="L57" i="105"/>
  <c r="D57" i="105"/>
  <c r="L56" i="105"/>
  <c r="L55" i="105"/>
  <c r="D55" i="105"/>
  <c r="L54" i="105"/>
  <c r="D54" i="105"/>
  <c r="D48" i="105"/>
  <c r="D46" i="105"/>
  <c r="L45" i="105"/>
  <c r="L44" i="105"/>
  <c r="L43" i="105"/>
  <c r="L42" i="105"/>
  <c r="L41" i="105"/>
  <c r="L34" i="105"/>
  <c r="D34" i="105"/>
  <c r="L31" i="105"/>
  <c r="D31" i="105"/>
  <c r="D29" i="105"/>
  <c r="L28" i="105"/>
  <c r="D28" i="105"/>
  <c r="L27" i="105"/>
  <c r="D27" i="105"/>
  <c r="D26" i="105"/>
  <c r="L25" i="105"/>
  <c r="D25" i="105"/>
  <c r="L21" i="105"/>
  <c r="D21" i="105"/>
  <c r="L20" i="105"/>
  <c r="D20" i="105"/>
  <c r="L19" i="105"/>
  <c r="D19" i="105"/>
  <c r="L18" i="105"/>
  <c r="D18" i="105"/>
  <c r="D17" i="105"/>
  <c r="L16" i="105"/>
  <c r="L15" i="105"/>
  <c r="D15" i="105"/>
  <c r="L14" i="105"/>
  <c r="D14" i="105"/>
  <c r="E14" i="105"/>
  <c r="A14" i="105"/>
  <c r="A10" i="105"/>
  <c r="A9" i="105"/>
  <c r="A8" i="105"/>
  <c r="A7" i="105"/>
  <c r="E40" i="113"/>
  <c r="F39" i="113" l="1"/>
  <c r="E83" i="119"/>
  <c r="B84" i="119"/>
  <c r="B85" i="119" s="1"/>
  <c r="A48" i="110"/>
  <c r="A49" i="110" s="1"/>
  <c r="B30" i="110"/>
  <c r="E29" i="110"/>
  <c r="A15" i="105"/>
  <c r="A16" i="105" s="1"/>
  <c r="A17" i="105" s="1"/>
  <c r="A18" i="105" s="1"/>
  <c r="A19" i="105" s="1"/>
  <c r="A20" i="105" s="1"/>
  <c r="A21" i="105" s="1"/>
  <c r="D75" i="105"/>
  <c r="D76" i="105" s="1"/>
  <c r="B15" i="105"/>
  <c r="E15" i="105" s="1"/>
  <c r="L75" i="105"/>
  <c r="F40" i="113"/>
  <c r="G39" i="113" l="1"/>
  <c r="B86" i="119"/>
  <c r="E85" i="119"/>
  <c r="A50" i="110"/>
  <c r="A51" i="110" s="1"/>
  <c r="A52" i="110" s="1"/>
  <c r="B31" i="110"/>
  <c r="E30" i="110"/>
  <c r="A22" i="105"/>
  <c r="A23" i="105" s="1"/>
  <c r="A24" i="105" s="1"/>
  <c r="A25" i="105" s="1"/>
  <c r="A26" i="105" s="1"/>
  <c r="A27" i="105" s="1"/>
  <c r="A28" i="105" s="1"/>
  <c r="A29" i="105" s="1"/>
  <c r="B16" i="105"/>
  <c r="E16" i="105" s="1"/>
  <c r="G656" i="2"/>
  <c r="J656" i="2"/>
  <c r="G659" i="2"/>
  <c r="J659" i="2"/>
  <c r="G40" i="113"/>
  <c r="H39" i="113" l="1"/>
  <c r="B87" i="119"/>
  <c r="B88" i="119" s="1"/>
  <c r="B96" i="119" s="1"/>
  <c r="E86" i="119"/>
  <c r="A30" i="105"/>
  <c r="A31" i="105" s="1"/>
  <c r="A32" i="105" s="1"/>
  <c r="A33" i="105" s="1"/>
  <c r="A34" i="105" s="1"/>
  <c r="A35" i="105" s="1"/>
  <c r="B32" i="110"/>
  <c r="E31" i="110"/>
  <c r="B17" i="105"/>
  <c r="E17" i="105" s="1"/>
  <c r="G651" i="2"/>
  <c r="G652" i="2"/>
  <c r="G653" i="2"/>
  <c r="G708" i="2"/>
  <c r="J708" i="2"/>
  <c r="G655" i="2"/>
  <c r="J655" i="2"/>
  <c r="G625" i="2"/>
  <c r="J625" i="2"/>
  <c r="G709" i="2"/>
  <c r="J709" i="2"/>
  <c r="G654" i="2"/>
  <c r="J654" i="2"/>
  <c r="G639" i="2"/>
  <c r="J639" i="2"/>
  <c r="G657" i="2"/>
  <c r="J657" i="2"/>
  <c r="G629" i="2"/>
  <c r="G630" i="2"/>
  <c r="G631" i="2"/>
  <c r="G628" i="2"/>
  <c r="D53" i="85"/>
  <c r="H40" i="113"/>
  <c r="B50" i="113" l="1"/>
  <c r="B89" i="119"/>
  <c r="E88" i="119"/>
  <c r="B18" i="105"/>
  <c r="E18" i="105" s="1"/>
  <c r="A36" i="105"/>
  <c r="A37" i="105" s="1"/>
  <c r="A38" i="105" s="1"/>
  <c r="A39" i="105" s="1"/>
  <c r="A40" i="105" s="1"/>
  <c r="A41" i="105" s="1"/>
  <c r="A42" i="105" s="1"/>
  <c r="A43" i="105" s="1"/>
  <c r="A44" i="105" s="1"/>
  <c r="A45" i="105" s="1"/>
  <c r="A46" i="105" s="1"/>
  <c r="A47" i="105" s="1"/>
  <c r="A48" i="105" s="1"/>
  <c r="A49" i="105" s="1"/>
  <c r="A50" i="105" s="1"/>
  <c r="A52" i="105" s="1"/>
  <c r="A53" i="105" s="1"/>
  <c r="A54" i="105" s="1"/>
  <c r="A55" i="105" s="1"/>
  <c r="A56" i="105" s="1"/>
  <c r="A57" i="105" s="1"/>
  <c r="A58" i="105" s="1"/>
  <c r="A59" i="105" s="1"/>
  <c r="A60" i="105" s="1"/>
  <c r="A61" i="105" s="1"/>
  <c r="A62" i="105" s="1"/>
  <c r="A63" i="105" s="1"/>
  <c r="A64" i="105" s="1"/>
  <c r="A65" i="105" s="1"/>
  <c r="A66" i="105" s="1"/>
  <c r="A67" i="105" s="1"/>
  <c r="A68" i="105" s="1"/>
  <c r="A69" i="105" s="1"/>
  <c r="A70" i="105" s="1"/>
  <c r="A71" i="105" s="1"/>
  <c r="A74" i="105" s="1"/>
  <c r="B7" i="105"/>
  <c r="B33" i="110"/>
  <c r="C7" i="110" s="1"/>
  <c r="E32" i="110"/>
  <c r="B51" i="113"/>
  <c r="B8" i="105" l="1"/>
  <c r="C50" i="113"/>
  <c r="E89" i="119"/>
  <c r="B90" i="119"/>
  <c r="B19" i="105"/>
  <c r="E19" i="105" s="1"/>
  <c r="B34" i="110"/>
  <c r="E33" i="110"/>
  <c r="B9" i="105"/>
  <c r="C51" i="113"/>
  <c r="D50" i="113" l="1"/>
  <c r="E90" i="119"/>
  <c r="B91" i="119"/>
  <c r="B20" i="105"/>
  <c r="E20" i="105" s="1"/>
  <c r="B35" i="110"/>
  <c r="E34" i="110"/>
  <c r="D51" i="113"/>
  <c r="E50" i="113" l="1"/>
  <c r="E91" i="119"/>
  <c r="B92" i="119"/>
  <c r="B21" i="105"/>
  <c r="B22" i="105" s="1"/>
  <c r="E22" i="105" s="1"/>
  <c r="E35" i="110"/>
  <c r="B36" i="110"/>
  <c r="E51" i="113"/>
  <c r="F50" i="113" l="1"/>
  <c r="E92" i="119"/>
  <c r="B93" i="119"/>
  <c r="E21" i="105"/>
  <c r="B23" i="105"/>
  <c r="B24" i="105" s="1"/>
  <c r="E24" i="105" s="1"/>
  <c r="E36" i="110"/>
  <c r="B38" i="110"/>
  <c r="F51" i="113"/>
  <c r="G50" i="113" l="1"/>
  <c r="C11" i="119"/>
  <c r="B94" i="119"/>
  <c r="E23" i="105"/>
  <c r="B25" i="105"/>
  <c r="E25" i="105" s="1"/>
  <c r="E38" i="110"/>
  <c r="B39" i="110"/>
  <c r="G51" i="113"/>
  <c r="H50" i="113" l="1"/>
  <c r="B12" i="119"/>
  <c r="E94" i="119"/>
  <c r="B26" i="105"/>
  <c r="B27" i="105" s="1"/>
  <c r="B28" i="105" s="1"/>
  <c r="B40" i="110"/>
  <c r="E39" i="110"/>
  <c r="H51" i="113"/>
  <c r="B61" i="113" l="1"/>
  <c r="E96" i="119"/>
  <c r="B97" i="119"/>
  <c r="B13" i="119" s="1"/>
  <c r="E26" i="105"/>
  <c r="B41" i="110"/>
  <c r="E40" i="110"/>
  <c r="E27" i="105"/>
  <c r="B67" i="113"/>
  <c r="C61" i="113" l="1"/>
  <c r="C12" i="119"/>
  <c r="A96" i="119"/>
  <c r="A97" i="119" s="1"/>
  <c r="E97" i="119"/>
  <c r="C13" i="119" s="1"/>
  <c r="B42" i="110"/>
  <c r="E41" i="110"/>
  <c r="B29" i="105"/>
  <c r="B30" i="105" s="1"/>
  <c r="E28" i="105"/>
  <c r="C67" i="113"/>
  <c r="D61" i="113" l="1"/>
  <c r="B31" i="105"/>
  <c r="E31" i="105" s="1"/>
  <c r="E30" i="105"/>
  <c r="B43" i="110"/>
  <c r="E42" i="110"/>
  <c r="E29" i="105"/>
  <c r="D67" i="113"/>
  <c r="E61" i="113" l="1"/>
  <c r="B44" i="110"/>
  <c r="E43" i="110"/>
  <c r="C8" i="110"/>
  <c r="B8" i="110"/>
  <c r="D55" i="110"/>
  <c r="D56" i="110" s="1"/>
  <c r="B32" i="105"/>
  <c r="E67" i="113"/>
  <c r="F61" i="113" l="1"/>
  <c r="B45" i="110"/>
  <c r="E44" i="110"/>
  <c r="B33" i="105"/>
  <c r="E32" i="105"/>
  <c r="F67" i="113"/>
  <c r="G61" i="113" l="1"/>
  <c r="B46" i="110"/>
  <c r="E45" i="110"/>
  <c r="B34" i="105"/>
  <c r="E33" i="105"/>
  <c r="G67" i="113"/>
  <c r="H61" i="113" l="1"/>
  <c r="B47" i="110"/>
  <c r="B48" i="110" s="1"/>
  <c r="E46" i="110"/>
  <c r="B35" i="105"/>
  <c r="E34" i="105"/>
  <c r="H67" i="113"/>
  <c r="B49" i="110" l="1"/>
  <c r="E48" i="110"/>
  <c r="E47" i="110"/>
  <c r="B36" i="105"/>
  <c r="E35" i="105"/>
  <c r="C7" i="105"/>
  <c r="E49" i="110" l="1"/>
  <c r="B50" i="110"/>
  <c r="B37" i="105"/>
  <c r="E36" i="105"/>
  <c r="G647" i="2"/>
  <c r="J647" i="2"/>
  <c r="O39" i="101"/>
  <c r="B51" i="110" l="1"/>
  <c r="B52" i="110" s="1"/>
  <c r="E50" i="110"/>
  <c r="B38" i="105"/>
  <c r="E37" i="105"/>
  <c r="E52" i="110" l="1"/>
  <c r="E54" i="110" s="1"/>
  <c r="E51" i="110"/>
  <c r="B39" i="105"/>
  <c r="E38" i="105"/>
  <c r="M70" i="101"/>
  <c r="J70" i="101"/>
  <c r="I70" i="101"/>
  <c r="H70" i="101"/>
  <c r="D70" i="101"/>
  <c r="D71" i="101" s="1"/>
  <c r="C70" i="101"/>
  <c r="C71" i="101" s="1"/>
  <c r="K69" i="101"/>
  <c r="K70" i="101" s="1"/>
  <c r="D66" i="101"/>
  <c r="D64" i="101"/>
  <c r="D63" i="101"/>
  <c r="O58" i="101"/>
  <c r="O42" i="101"/>
  <c r="D35" i="101"/>
  <c r="L26" i="101"/>
  <c r="O25" i="101"/>
  <c r="L22" i="101"/>
  <c r="L20" i="101"/>
  <c r="L19" i="101"/>
  <c r="L16" i="101"/>
  <c r="L15" i="101"/>
  <c r="L14" i="101"/>
  <c r="B14" i="101"/>
  <c r="E14" i="101" s="1"/>
  <c r="A14" i="101"/>
  <c r="C9" i="110" l="1"/>
  <c r="B40" i="105"/>
  <c r="E39" i="105"/>
  <c r="A15" i="101"/>
  <c r="A16" i="101" s="1"/>
  <c r="A17" i="101" s="1"/>
  <c r="A18" i="101" s="1"/>
  <c r="A19" i="101" s="1"/>
  <c r="A20" i="101" s="1"/>
  <c r="L69" i="101"/>
  <c r="L70" i="101" s="1"/>
  <c r="B15" i="101"/>
  <c r="E15" i="101" s="1"/>
  <c r="E13" i="101"/>
  <c r="O59" i="101"/>
  <c r="A21" i="101" l="1"/>
  <c r="A22" i="101" s="1"/>
  <c r="A25" i="101" s="1"/>
  <c r="A26" i="101" s="1"/>
  <c r="A27" i="101" s="1"/>
  <c r="A28" i="101" s="1"/>
  <c r="A29" i="101" s="1"/>
  <c r="A30" i="101" s="1"/>
  <c r="B7" i="101" s="1"/>
  <c r="B9" i="110"/>
  <c r="B41" i="105"/>
  <c r="E40" i="105"/>
  <c r="B16" i="101"/>
  <c r="E16" i="101" s="1"/>
  <c r="G714" i="2"/>
  <c r="J714" i="2"/>
  <c r="G660" i="2"/>
  <c r="J660" i="2"/>
  <c r="G643" i="2"/>
  <c r="G644" i="2"/>
  <c r="G645" i="2"/>
  <c r="G640" i="2"/>
  <c r="G641" i="2"/>
  <c r="G716" i="2"/>
  <c r="J716" i="2"/>
  <c r="G646" i="2"/>
  <c r="J646" i="2"/>
  <c r="A24" i="101" l="1"/>
  <c r="B42" i="105"/>
  <c r="E41" i="105"/>
  <c r="B17" i="101"/>
  <c r="A31" i="101"/>
  <c r="A32" i="101" s="1"/>
  <c r="A33" i="101" s="1"/>
  <c r="A35" i="101" s="1"/>
  <c r="A36" i="101" s="1"/>
  <c r="A37" i="101" s="1"/>
  <c r="A38" i="101" s="1"/>
  <c r="A39" i="101" s="1"/>
  <c r="A42" i="101" s="1"/>
  <c r="A43" i="101" s="1"/>
  <c r="B43" i="105" l="1"/>
  <c r="E42" i="105"/>
  <c r="B18" i="101"/>
  <c r="E17" i="101"/>
  <c r="A44" i="101"/>
  <c r="A41" i="101"/>
  <c r="G633" i="2"/>
  <c r="J633" i="2"/>
  <c r="J630" i="2"/>
  <c r="G624" i="2"/>
  <c r="J624" i="2"/>
  <c r="J631" i="2"/>
  <c r="J629" i="2"/>
  <c r="G623" i="2"/>
  <c r="G626" i="2"/>
  <c r="G627" i="2"/>
  <c r="G634" i="2"/>
  <c r="G635" i="2"/>
  <c r="G636" i="2"/>
  <c r="G637" i="2"/>
  <c r="B44" i="105" l="1"/>
  <c r="E43" i="105"/>
  <c r="A45" i="101"/>
  <c r="A46" i="101" s="1"/>
  <c r="A47" i="101" s="1"/>
  <c r="B19" i="101"/>
  <c r="E18" i="101"/>
  <c r="B45" i="105" l="1"/>
  <c r="E44" i="105"/>
  <c r="A48" i="101"/>
  <c r="A50" i="101" s="1"/>
  <c r="A51" i="101" s="1"/>
  <c r="A52" i="101" s="1"/>
  <c r="A53" i="101" s="1"/>
  <c r="E19" i="101"/>
  <c r="B20" i="101"/>
  <c r="B21" i="101" s="1"/>
  <c r="B22" i="101" l="1"/>
  <c r="E22" i="101" s="1"/>
  <c r="E21" i="101"/>
  <c r="B46" i="105"/>
  <c r="E45" i="105"/>
  <c r="A55" i="101"/>
  <c r="A56" i="101" s="1"/>
  <c r="A57" i="101" s="1"/>
  <c r="A58" i="101" s="1"/>
  <c r="E20" i="101"/>
  <c r="A59" i="101" l="1"/>
  <c r="A60" i="101" s="1"/>
  <c r="A61" i="101" s="1"/>
  <c r="A62" i="101" s="1"/>
  <c r="A63" i="101" s="1"/>
  <c r="A64" i="101" s="1"/>
  <c r="A66" i="101" s="1"/>
  <c r="A68" i="101" s="1"/>
  <c r="B9" i="101"/>
  <c r="B47" i="105"/>
  <c r="E46" i="105"/>
  <c r="B24" i="101"/>
  <c r="E24" i="101" s="1"/>
  <c r="B25" i="101"/>
  <c r="G638" i="2"/>
  <c r="J638" i="2"/>
  <c r="G616" i="2"/>
  <c r="J616" i="2"/>
  <c r="G648" i="2"/>
  <c r="J648" i="2"/>
  <c r="A65" i="101" l="1"/>
  <c r="B48" i="105"/>
  <c r="E47" i="105"/>
  <c r="C8" i="105"/>
  <c r="E25" i="101"/>
  <c r="B26" i="101"/>
  <c r="G621" i="2"/>
  <c r="J621" i="2"/>
  <c r="G620" i="2"/>
  <c r="J620" i="2"/>
  <c r="G622" i="2"/>
  <c r="J622" i="2"/>
  <c r="G715" i="2"/>
  <c r="J715" i="2"/>
  <c r="B8" i="101" l="1"/>
  <c r="B49" i="105"/>
  <c r="E48" i="105"/>
  <c r="E26" i="101"/>
  <c r="B27" i="101"/>
  <c r="B50" i="105" l="1"/>
  <c r="B52" i="105" s="1"/>
  <c r="E49" i="105"/>
  <c r="E27" i="101"/>
  <c r="B28" i="101"/>
  <c r="B53" i="105" l="1"/>
  <c r="E52" i="105"/>
  <c r="E50" i="105"/>
  <c r="B29" i="101"/>
  <c r="E28" i="101"/>
  <c r="B54" i="105" l="1"/>
  <c r="E53" i="105"/>
  <c r="B30" i="101"/>
  <c r="C7" i="101" s="1"/>
  <c r="E29" i="101"/>
  <c r="B31" i="101"/>
  <c r="E54" i="105" l="1"/>
  <c r="B55" i="105"/>
  <c r="B32" i="101"/>
  <c r="E31" i="101"/>
  <c r="E55" i="105" l="1"/>
  <c r="B56" i="105"/>
  <c r="E32" i="101"/>
  <c r="B33" i="101"/>
  <c r="E56" i="105" l="1"/>
  <c r="B57" i="105"/>
  <c r="B35" i="101"/>
  <c r="E33" i="101"/>
  <c r="G602" i="2"/>
  <c r="G603" i="2"/>
  <c r="G605" i="2"/>
  <c r="G609" i="2"/>
  <c r="G613" i="2"/>
  <c r="G614" i="2"/>
  <c r="G617" i="2"/>
  <c r="G618" i="2"/>
  <c r="G619" i="2"/>
  <c r="E57" i="105" l="1"/>
  <c r="B58" i="105"/>
  <c r="B36" i="101"/>
  <c r="E35" i="101"/>
  <c r="G610" i="2"/>
  <c r="J610" i="2"/>
  <c r="G612" i="2"/>
  <c r="J612" i="2"/>
  <c r="G650" i="2"/>
  <c r="J650" i="2"/>
  <c r="G607" i="2"/>
  <c r="B59" i="105" l="1"/>
  <c r="E58" i="105"/>
  <c r="E36" i="101"/>
  <c r="B37" i="101"/>
  <c r="J642" i="2"/>
  <c r="G642" i="2"/>
  <c r="B60" i="105" l="1"/>
  <c r="E59" i="105"/>
  <c r="B38" i="101"/>
  <c r="E37" i="101"/>
  <c r="B61" i="105" l="1"/>
  <c r="E60" i="105"/>
  <c r="E38" i="101"/>
  <c r="B39" i="101"/>
  <c r="B62" i="105" l="1"/>
  <c r="E61" i="105"/>
  <c r="B42" i="101"/>
  <c r="E39" i="101"/>
  <c r="B41" i="101"/>
  <c r="E41" i="101" s="1"/>
  <c r="G589" i="2"/>
  <c r="G590" i="2"/>
  <c r="G591" i="2"/>
  <c r="G594" i="2"/>
  <c r="G595" i="2"/>
  <c r="G597" i="2"/>
  <c r="G598" i="2"/>
  <c r="G600" i="2"/>
  <c r="G606" i="2"/>
  <c r="J606" i="2"/>
  <c r="G615" i="2"/>
  <c r="J615" i="2"/>
  <c r="G611" i="2"/>
  <c r="J611" i="2"/>
  <c r="B63" i="105" l="1"/>
  <c r="E62" i="105"/>
  <c r="E42" i="101"/>
  <c r="B43" i="101"/>
  <c r="B64" i="105" l="1"/>
  <c r="E63" i="105"/>
  <c r="B44" i="101"/>
  <c r="E43" i="101"/>
  <c r="G608" i="2"/>
  <c r="J608" i="2"/>
  <c r="G601" i="2"/>
  <c r="J601" i="2"/>
  <c r="G596" i="2"/>
  <c r="J596" i="2"/>
  <c r="G599" i="2"/>
  <c r="J599" i="2"/>
  <c r="G604" i="2"/>
  <c r="J604" i="2"/>
  <c r="B65" i="105" l="1"/>
  <c r="E64" i="105"/>
  <c r="E44" i="101"/>
  <c r="B45" i="101"/>
  <c r="G632" i="2"/>
  <c r="J632" i="2"/>
  <c r="G713" i="2"/>
  <c r="J713" i="2"/>
  <c r="B66" i="105" l="1"/>
  <c r="E65" i="105"/>
  <c r="C9" i="105"/>
  <c r="B46" i="101"/>
  <c r="E45" i="101"/>
  <c r="G592" i="2"/>
  <c r="J592" i="2"/>
  <c r="G593" i="2"/>
  <c r="J593" i="2"/>
  <c r="G584" i="2"/>
  <c r="G585" i="2"/>
  <c r="G586" i="2"/>
  <c r="G587" i="2"/>
  <c r="G588" i="2"/>
  <c r="B67" i="105" l="1"/>
  <c r="E66" i="105"/>
  <c r="E46" i="101"/>
  <c r="B47" i="101"/>
  <c r="B68" i="105" l="1"/>
  <c r="E67" i="105"/>
  <c r="E47" i="101"/>
  <c r="B48" i="101"/>
  <c r="B69" i="105" l="1"/>
  <c r="E68" i="105"/>
  <c r="E48" i="101"/>
  <c r="B50" i="101"/>
  <c r="B70" i="105" l="1"/>
  <c r="B71" i="105" s="1"/>
  <c r="B74" i="105" s="1"/>
  <c r="E69" i="105"/>
  <c r="E50" i="101"/>
  <c r="B51" i="101"/>
  <c r="E71" i="105" l="1"/>
  <c r="E70" i="105"/>
  <c r="A73" i="105" s="1"/>
  <c r="E51" i="101"/>
  <c r="B52" i="101"/>
  <c r="B73" i="105" l="1"/>
  <c r="B53" i="101"/>
  <c r="B55" i="101" s="1"/>
  <c r="E52" i="101"/>
  <c r="E74" i="105" l="1"/>
  <c r="B10" i="105" s="1"/>
  <c r="E73" i="105"/>
  <c r="B56" i="101"/>
  <c r="E55" i="101"/>
  <c r="E53" i="101"/>
  <c r="C10" i="105" l="1"/>
  <c r="B57" i="101"/>
  <c r="E56" i="101"/>
  <c r="B58" i="101" l="1"/>
  <c r="E57" i="101"/>
  <c r="B59" i="101" l="1"/>
  <c r="E58" i="101"/>
  <c r="B60" i="101" l="1"/>
  <c r="E59" i="101"/>
  <c r="E60" i="101" l="1"/>
  <c r="B61" i="101"/>
  <c r="B62" i="101" l="1"/>
  <c r="E61" i="101"/>
  <c r="B63" i="101" l="1"/>
  <c r="E62" i="101"/>
  <c r="B64" i="101" l="1"/>
  <c r="E63" i="101"/>
  <c r="B66" i="101" l="1"/>
  <c r="E64" i="101"/>
  <c r="B65" i="101"/>
  <c r="E66" i="101" l="1"/>
  <c r="B68" i="101"/>
  <c r="C8" i="101"/>
  <c r="E68" i="101"/>
  <c r="C9" i="101" s="1"/>
  <c r="G578" i="2" l="1"/>
  <c r="J578" i="2"/>
  <c r="G579" i="2"/>
  <c r="J579" i="2"/>
  <c r="G573" i="2"/>
  <c r="J573" i="2"/>
  <c r="G571" i="2"/>
  <c r="J571" i="2"/>
  <c r="G574" i="2"/>
  <c r="J574" i="2"/>
  <c r="G581" i="2"/>
  <c r="J581" i="2"/>
  <c r="G567" i="2"/>
  <c r="J567" i="2"/>
  <c r="G583" i="2"/>
  <c r="J583" i="2"/>
  <c r="G582" i="2"/>
  <c r="J582" i="2"/>
  <c r="G580" i="2"/>
  <c r="J580" i="2"/>
  <c r="G569" i="2" l="1"/>
  <c r="J569" i="2"/>
  <c r="G565" i="2"/>
  <c r="J565" i="2"/>
  <c r="G560" i="2"/>
  <c r="J560" i="2"/>
  <c r="G576" i="2"/>
  <c r="J576" i="2"/>
  <c r="G568" i="2"/>
  <c r="G570" i="2"/>
  <c r="G577" i="2"/>
  <c r="J577" i="2"/>
  <c r="G566" i="2"/>
  <c r="J566" i="2"/>
  <c r="G563" i="2"/>
  <c r="J563" i="2"/>
  <c r="G575" i="2"/>
  <c r="J575" i="2"/>
  <c r="G553" i="2"/>
  <c r="J553" i="2"/>
  <c r="G572" i="2"/>
  <c r="G540" i="2" l="1"/>
  <c r="G544" i="2"/>
  <c r="G545" i="2"/>
  <c r="G546" i="2"/>
  <c r="G547" i="2"/>
  <c r="G548" i="2"/>
  <c r="G549" i="2"/>
  <c r="G550" i="2"/>
  <c r="G554" i="2"/>
  <c r="G555" i="2"/>
  <c r="G552" i="2"/>
  <c r="G556" i="2"/>
  <c r="G561" i="2"/>
  <c r="J561" i="2"/>
  <c r="G562" i="2"/>
  <c r="J562" i="2"/>
  <c r="G541" i="2"/>
  <c r="J541" i="2"/>
  <c r="G542" i="2"/>
  <c r="J542" i="2"/>
  <c r="G551" i="2"/>
  <c r="J551" i="2"/>
  <c r="J649" i="2"/>
  <c r="G543" i="2"/>
  <c r="J543" i="2"/>
  <c r="G564" i="2"/>
  <c r="J564" i="2"/>
  <c r="G536" i="2" l="1"/>
  <c r="J536" i="2"/>
  <c r="G557" i="2"/>
  <c r="J557" i="2"/>
  <c r="G534" i="2"/>
  <c r="G558" i="2"/>
  <c r="J534" i="2"/>
  <c r="J558" i="2"/>
  <c r="G535" i="2"/>
  <c r="J535" i="2"/>
  <c r="G559" i="2"/>
  <c r="J559" i="2"/>
  <c r="G521" i="2" l="1"/>
  <c r="G522" i="2"/>
  <c r="G523" i="2"/>
  <c r="G524" i="2"/>
  <c r="G525" i="2"/>
  <c r="G504" i="2"/>
  <c r="G526" i="2"/>
  <c r="G528" i="2"/>
  <c r="G529" i="2"/>
  <c r="G530" i="2"/>
  <c r="G531" i="2"/>
  <c r="G532" i="2"/>
  <c r="G533" i="2"/>
  <c r="G519" i="2" l="1"/>
  <c r="J519" i="2"/>
  <c r="G520" i="2"/>
  <c r="J520" i="2"/>
  <c r="G497" i="2"/>
  <c r="J497" i="2"/>
  <c r="G501" i="2"/>
  <c r="J501" i="2"/>
  <c r="G500" i="2"/>
  <c r="J500" i="2"/>
  <c r="G502" i="2"/>
  <c r="J502" i="2"/>
  <c r="G503" i="2"/>
  <c r="J503" i="2"/>
  <c r="H36" i="65"/>
  <c r="J36" i="65"/>
  <c r="D19" i="65"/>
  <c r="B19" i="65"/>
  <c r="E19" i="65" s="1"/>
  <c r="A19" i="65"/>
  <c r="E17" i="65"/>
  <c r="D17" i="65"/>
  <c r="A9" i="65"/>
  <c r="G515" i="2"/>
  <c r="G516" i="2"/>
  <c r="G517" i="2"/>
  <c r="G527" i="2"/>
  <c r="J527" i="2"/>
  <c r="G538" i="2"/>
  <c r="G509" i="2"/>
  <c r="G496" i="2" l="1"/>
  <c r="G498" i="2"/>
  <c r="G499" i="2"/>
  <c r="G507" i="2"/>
  <c r="G508" i="2"/>
  <c r="G510" i="2"/>
  <c r="G511" i="2"/>
  <c r="G512" i="2"/>
  <c r="G514" i="2"/>
  <c r="G539" i="2"/>
  <c r="G506" i="2" l="1"/>
  <c r="J506" i="2"/>
  <c r="G486" i="2"/>
  <c r="J486" i="2"/>
  <c r="G495" i="2"/>
  <c r="J495" i="2"/>
  <c r="J607" i="2"/>
  <c r="G492" i="2" l="1"/>
  <c r="J492" i="2"/>
  <c r="G494" i="2" l="1"/>
  <c r="J494" i="2"/>
  <c r="G489" i="2"/>
  <c r="J489" i="2"/>
  <c r="G493" i="2"/>
  <c r="J493" i="2"/>
  <c r="G483" i="2"/>
  <c r="J483" i="2"/>
  <c r="G491" i="2"/>
  <c r="J491" i="2"/>
  <c r="G487" i="2"/>
  <c r="G488" i="2"/>
  <c r="G490" i="2"/>
  <c r="G505" i="2"/>
  <c r="J505" i="2"/>
  <c r="G474" i="2"/>
  <c r="J474" i="2"/>
  <c r="G513" i="2"/>
  <c r="J513" i="2"/>
  <c r="G480" i="2" l="1"/>
  <c r="J480" i="2"/>
  <c r="G481" i="2"/>
  <c r="J481" i="2"/>
  <c r="G475" i="2"/>
  <c r="J475" i="2"/>
  <c r="G472" i="2"/>
  <c r="J472" i="2"/>
  <c r="G471" i="2"/>
  <c r="J471" i="2"/>
  <c r="G484" i="2"/>
  <c r="J484" i="2"/>
  <c r="G485" i="2"/>
  <c r="J485" i="2"/>
  <c r="G467" i="2" l="1"/>
  <c r="G470" i="2"/>
  <c r="G468" i="2"/>
  <c r="G473" i="2"/>
  <c r="G476" i="2"/>
  <c r="G479" i="2"/>
  <c r="G482" i="2"/>
  <c r="G449" i="2" l="1"/>
  <c r="G450" i="2"/>
  <c r="G451" i="2"/>
  <c r="G452" i="2"/>
  <c r="G454" i="2"/>
  <c r="G456" i="2"/>
  <c r="G457" i="2"/>
  <c r="G461" i="2"/>
  <c r="G462" i="2"/>
  <c r="G463" i="2"/>
  <c r="G465" i="2"/>
  <c r="G466" i="2"/>
  <c r="G426" i="2" l="1"/>
  <c r="J426" i="2"/>
  <c r="J537" i="2" l="1"/>
  <c r="G428" i="2"/>
  <c r="J428" i="2"/>
  <c r="G477" i="2" l="1"/>
  <c r="J477" i="2"/>
  <c r="G478" i="2"/>
  <c r="J478" i="2"/>
  <c r="G455" i="2"/>
  <c r="J455" i="2"/>
  <c r="G459" i="2"/>
  <c r="J459" i="2"/>
  <c r="G460" i="2"/>
  <c r="J460" i="2"/>
  <c r="G464" i="2"/>
  <c r="J464" i="2"/>
  <c r="B11" i="93" l="1"/>
  <c r="E11" i="93" s="1"/>
  <c r="A11" i="93"/>
  <c r="B28" i="93"/>
  <c r="H23" i="93"/>
  <c r="C23" i="93"/>
  <c r="C24" i="93" s="1"/>
  <c r="D22" i="93"/>
  <c r="D21" i="93"/>
  <c r="D20" i="93"/>
  <c r="D19" i="93"/>
  <c r="D18" i="93"/>
  <c r="I17" i="93"/>
  <c r="I23" i="93" s="1"/>
  <c r="D17" i="93"/>
  <c r="D16" i="93"/>
  <c r="D15" i="93"/>
  <c r="D14" i="93"/>
  <c r="D13" i="93"/>
  <c r="D12" i="93"/>
  <c r="D11" i="93"/>
  <c r="A8" i="93"/>
  <c r="A7" i="93"/>
  <c r="B12" i="93" l="1"/>
  <c r="E12" i="93" s="1"/>
  <c r="A12" i="93"/>
  <c r="A13" i="93" s="1"/>
  <c r="A14" i="93" s="1"/>
  <c r="D23" i="93"/>
  <c r="D24" i="93" s="1"/>
  <c r="B13" i="91"/>
  <c r="A13" i="91"/>
  <c r="K47" i="91"/>
  <c r="J47" i="91"/>
  <c r="I47" i="91"/>
  <c r="H47" i="91"/>
  <c r="D46" i="91"/>
  <c r="L42" i="91"/>
  <c r="L39" i="91"/>
  <c r="L36" i="91"/>
  <c r="L35" i="91"/>
  <c r="L34" i="91"/>
  <c r="L33" i="91"/>
  <c r="L31" i="91"/>
  <c r="L28" i="91"/>
  <c r="L25" i="91"/>
  <c r="L24" i="91"/>
  <c r="L23" i="91"/>
  <c r="L22" i="91"/>
  <c r="L21" i="91"/>
  <c r="L20" i="91"/>
  <c r="L19" i="91"/>
  <c r="D18" i="91"/>
  <c r="L17" i="91"/>
  <c r="L16" i="91"/>
  <c r="M46" i="90"/>
  <c r="K46" i="90"/>
  <c r="J46" i="90"/>
  <c r="I46" i="90"/>
  <c r="H46" i="90"/>
  <c r="D46" i="90"/>
  <c r="D47" i="90" s="1"/>
  <c r="C46" i="90"/>
  <c r="C47" i="90" s="1"/>
  <c r="L42" i="90"/>
  <c r="D42" i="90"/>
  <c r="L40" i="90"/>
  <c r="D40" i="90"/>
  <c r="L39" i="90"/>
  <c r="D39" i="90"/>
  <c r="D38" i="90"/>
  <c r="L36" i="90"/>
  <c r="D36" i="90"/>
  <c r="D35" i="90"/>
  <c r="D34" i="90"/>
  <c r="L33" i="90"/>
  <c r="D33" i="90"/>
  <c r="D32" i="90"/>
  <c r="D31" i="90"/>
  <c r="L30" i="90"/>
  <c r="D30" i="90"/>
  <c r="L29" i="90"/>
  <c r="D29" i="90"/>
  <c r="L28" i="90"/>
  <c r="D28" i="90"/>
  <c r="L27" i="90"/>
  <c r="D27" i="90"/>
  <c r="L26" i="90"/>
  <c r="D26" i="90"/>
  <c r="D24" i="90"/>
  <c r="D23" i="90"/>
  <c r="L22" i="90"/>
  <c r="D22" i="90"/>
  <c r="L21" i="90"/>
  <c r="D21" i="90"/>
  <c r="D20" i="90"/>
  <c r="L19" i="90"/>
  <c r="D19" i="90"/>
  <c r="L18" i="90"/>
  <c r="D18" i="90"/>
  <c r="L17" i="90"/>
  <c r="D17" i="90"/>
  <c r="L16" i="90"/>
  <c r="D16" i="90"/>
  <c r="D15" i="90"/>
  <c r="L14" i="90"/>
  <c r="D14" i="90"/>
  <c r="L13" i="90"/>
  <c r="D13" i="90"/>
  <c r="L12" i="90"/>
  <c r="D12" i="90"/>
  <c r="B12" i="90"/>
  <c r="E12" i="90" s="1"/>
  <c r="A12" i="90"/>
  <c r="A8" i="90"/>
  <c r="A7" i="90"/>
  <c r="D13" i="91" l="1"/>
  <c r="E13" i="91"/>
  <c r="B13" i="93"/>
  <c r="E13" i="93" s="1"/>
  <c r="A15" i="93"/>
  <c r="A16" i="93" s="1"/>
  <c r="A17" i="93" s="1"/>
  <c r="A18" i="93" s="1"/>
  <c r="A19" i="93" s="1"/>
  <c r="A20" i="93" s="1"/>
  <c r="A21" i="93" s="1"/>
  <c r="A22" i="93" s="1"/>
  <c r="B7" i="93"/>
  <c r="B14" i="93"/>
  <c r="L47" i="91"/>
  <c r="A14" i="91"/>
  <c r="B14" i="91"/>
  <c r="B13" i="90"/>
  <c r="E13" i="90" s="1"/>
  <c r="L46" i="90"/>
  <c r="A13" i="90"/>
  <c r="A14" i="90" s="1"/>
  <c r="A15" i="90" s="1"/>
  <c r="A16" i="90" s="1"/>
  <c r="A17" i="90" s="1"/>
  <c r="A18" i="90" s="1"/>
  <c r="A19" i="90" s="1"/>
  <c r="A20" i="90" s="1"/>
  <c r="A21" i="90" s="1"/>
  <c r="A22" i="90" s="1"/>
  <c r="A23" i="90" s="1"/>
  <c r="A24" i="90" s="1"/>
  <c r="A26" i="90" s="1"/>
  <c r="A27" i="90" s="1"/>
  <c r="A28" i="90" s="1"/>
  <c r="A29" i="90" s="1"/>
  <c r="A30" i="90" s="1"/>
  <c r="A31" i="90" s="1"/>
  <c r="A32" i="90" s="1"/>
  <c r="A33" i="90" s="1"/>
  <c r="A34" i="90" s="1"/>
  <c r="A35" i="90" s="1"/>
  <c r="A36" i="90" s="1"/>
  <c r="D14" i="91" l="1"/>
  <c r="B15" i="91" s="1"/>
  <c r="E14" i="91"/>
  <c r="B8" i="93"/>
  <c r="E14" i="93"/>
  <c r="C7" i="93"/>
  <c r="B15" i="93"/>
  <c r="B14" i="90"/>
  <c r="A37" i="90"/>
  <c r="B7" i="90" s="1"/>
  <c r="A38" i="90"/>
  <c r="A39" i="90" s="1"/>
  <c r="A40" i="90" s="1"/>
  <c r="A15" i="91" l="1"/>
  <c r="E15" i="93"/>
  <c r="B16" i="93"/>
  <c r="D15" i="91"/>
  <c r="A16" i="91" s="1"/>
  <c r="E15" i="91"/>
  <c r="E14" i="90"/>
  <c r="B15" i="90"/>
  <c r="A41" i="90"/>
  <c r="B8" i="90" s="1"/>
  <c r="A42" i="90"/>
  <c r="B16" i="91" l="1"/>
  <c r="E16" i="93"/>
  <c r="B17" i="93"/>
  <c r="D16" i="91"/>
  <c r="A17" i="91" s="1"/>
  <c r="E16" i="91"/>
  <c r="B16" i="90"/>
  <c r="E15" i="90"/>
  <c r="E17" i="93" l="1"/>
  <c r="B18" i="93"/>
  <c r="B17" i="91"/>
  <c r="E16" i="90"/>
  <c r="B17" i="90"/>
  <c r="E18" i="93" l="1"/>
  <c r="B29" i="93"/>
  <c r="B19" i="93"/>
  <c r="D17" i="91"/>
  <c r="E17" i="91"/>
  <c r="B18" i="90"/>
  <c r="E17" i="90"/>
  <c r="E19" i="93" l="1"/>
  <c r="B20" i="93"/>
  <c r="B18" i="91"/>
  <c r="A18" i="91"/>
  <c r="A19" i="91" s="1"/>
  <c r="B19" i="90"/>
  <c r="E18" i="90"/>
  <c r="E20" i="93" l="1"/>
  <c r="B21" i="93"/>
  <c r="E18" i="91"/>
  <c r="B19" i="91"/>
  <c r="B20" i="90"/>
  <c r="E19" i="90"/>
  <c r="E21" i="93" l="1"/>
  <c r="B22" i="93"/>
  <c r="E22" i="93" s="1"/>
  <c r="C8" i="93"/>
  <c r="D19" i="91"/>
  <c r="E19" i="91"/>
  <c r="E20" i="90"/>
  <c r="B21" i="90"/>
  <c r="B20" i="91" l="1"/>
  <c r="A20" i="91"/>
  <c r="E21" i="90"/>
  <c r="B22" i="90"/>
  <c r="D20" i="91" l="1"/>
  <c r="E20" i="91"/>
  <c r="E22" i="90"/>
  <c r="B23" i="90"/>
  <c r="B21" i="91" l="1"/>
  <c r="A21" i="91"/>
  <c r="B24" i="90"/>
  <c r="E23" i="90"/>
  <c r="D21" i="91" l="1"/>
  <c r="E21" i="91"/>
  <c r="B26" i="90"/>
  <c r="E24" i="90"/>
  <c r="B22" i="91" l="1"/>
  <c r="A22" i="91"/>
  <c r="E26" i="90"/>
  <c r="B27" i="90"/>
  <c r="D22" i="91" l="1"/>
  <c r="E22" i="91"/>
  <c r="B28" i="90"/>
  <c r="E27" i="90"/>
  <c r="A23" i="91" l="1"/>
  <c r="B23" i="91"/>
  <c r="E28" i="90"/>
  <c r="B29" i="90"/>
  <c r="D23" i="91" l="1"/>
  <c r="E23" i="91"/>
  <c r="E29" i="90"/>
  <c r="B30" i="90"/>
  <c r="B24" i="91" l="1"/>
  <c r="A24" i="91"/>
  <c r="B31" i="90"/>
  <c r="E30" i="90"/>
  <c r="D24" i="91" l="1"/>
  <c r="E24" i="91"/>
  <c r="E31" i="90"/>
  <c r="B32" i="90"/>
  <c r="B25" i="91" l="1"/>
  <c r="A25" i="91"/>
  <c r="B33" i="90"/>
  <c r="E32" i="90"/>
  <c r="G442" i="2"/>
  <c r="G419" i="2"/>
  <c r="G415" i="2"/>
  <c r="G420" i="2"/>
  <c r="G423" i="2"/>
  <c r="G424" i="2"/>
  <c r="G441" i="2"/>
  <c r="D25" i="91" l="1"/>
  <c r="E25" i="91"/>
  <c r="B34" i="90"/>
  <c r="E33" i="90"/>
  <c r="G446" i="2"/>
  <c r="J446" i="2"/>
  <c r="G429" i="2"/>
  <c r="J429" i="2"/>
  <c r="G421" i="2"/>
  <c r="J421" i="2"/>
  <c r="G422" i="2"/>
  <c r="J422" i="2"/>
  <c r="G443" i="2"/>
  <c r="J443" i="2"/>
  <c r="G447" i="2"/>
  <c r="J447" i="2"/>
  <c r="G425" i="2"/>
  <c r="J425" i="2"/>
  <c r="B26" i="91" l="1"/>
  <c r="A26" i="91"/>
  <c r="E34" i="90"/>
  <c r="B35" i="90"/>
  <c r="G416" i="2"/>
  <c r="J416" i="2"/>
  <c r="G414" i="2"/>
  <c r="J414" i="2"/>
  <c r="G405" i="2"/>
  <c r="J405" i="2"/>
  <c r="G448" i="2"/>
  <c r="J448" i="2"/>
  <c r="G413" i="2"/>
  <c r="J413" i="2"/>
  <c r="G417" i="2"/>
  <c r="J417" i="2"/>
  <c r="G518" i="2"/>
  <c r="J518" i="2"/>
  <c r="D26" i="91" l="1"/>
  <c r="E26" i="91"/>
  <c r="E35" i="90"/>
  <c r="B36" i="90"/>
  <c r="G404" i="2"/>
  <c r="G408" i="2"/>
  <c r="G411" i="2"/>
  <c r="G407" i="2"/>
  <c r="B27" i="91" l="1"/>
  <c r="A27" i="91"/>
  <c r="B37" i="90"/>
  <c r="E36" i="90"/>
  <c r="B38" i="90"/>
  <c r="D27" i="91" l="1"/>
  <c r="E27" i="91"/>
  <c r="E38" i="90"/>
  <c r="B39" i="90"/>
  <c r="C7" i="90"/>
  <c r="E37" i="90"/>
  <c r="K87" i="85"/>
  <c r="J87" i="85"/>
  <c r="I87" i="85"/>
  <c r="H87" i="85"/>
  <c r="D86" i="85"/>
  <c r="D84" i="85"/>
  <c r="D83" i="85"/>
  <c r="D82" i="85"/>
  <c r="D81" i="85"/>
  <c r="D80" i="85"/>
  <c r="D79" i="85"/>
  <c r="D78" i="85"/>
  <c r="M77" i="85"/>
  <c r="D77" i="85"/>
  <c r="D76" i="85"/>
  <c r="D71" i="85"/>
  <c r="D70" i="85"/>
  <c r="D69" i="85"/>
  <c r="D66" i="85"/>
  <c r="D65" i="85"/>
  <c r="D64" i="85"/>
  <c r="M63" i="85"/>
  <c r="D63" i="85"/>
  <c r="D62" i="85"/>
  <c r="D61" i="85"/>
  <c r="M59" i="85"/>
  <c r="D59" i="85"/>
  <c r="D57" i="85"/>
  <c r="D56" i="85"/>
  <c r="D54" i="85"/>
  <c r="D52" i="85"/>
  <c r="D51" i="85"/>
  <c r="D49" i="85"/>
  <c r="D48" i="85"/>
  <c r="D45" i="85"/>
  <c r="D44" i="85"/>
  <c r="M43" i="85"/>
  <c r="D43" i="85"/>
  <c r="D42" i="85"/>
  <c r="D41" i="85"/>
  <c r="D40" i="85"/>
  <c r="D37" i="85"/>
  <c r="D36" i="85"/>
  <c r="D35" i="85"/>
  <c r="D34" i="85"/>
  <c r="M32" i="85"/>
  <c r="D32" i="85"/>
  <c r="D31" i="85"/>
  <c r="D30" i="85"/>
  <c r="D29" i="85"/>
  <c r="D28" i="85"/>
  <c r="D27" i="85"/>
  <c r="D26" i="85"/>
  <c r="M24" i="85"/>
  <c r="D24" i="85"/>
  <c r="M23" i="85"/>
  <c r="D23" i="85"/>
  <c r="D22" i="85"/>
  <c r="D21" i="85"/>
  <c r="M20" i="85"/>
  <c r="D20" i="85"/>
  <c r="D19" i="85"/>
  <c r="D18" i="85"/>
  <c r="D17" i="85"/>
  <c r="D16" i="85"/>
  <c r="M15" i="85"/>
  <c r="D15" i="85"/>
  <c r="B15" i="85"/>
  <c r="E15" i="85" s="1"/>
  <c r="A11" i="85"/>
  <c r="A10" i="85"/>
  <c r="A9" i="85"/>
  <c r="A8" i="85"/>
  <c r="A7" i="85"/>
  <c r="B35" i="83"/>
  <c r="K30" i="83"/>
  <c r="J30" i="83"/>
  <c r="I30" i="83"/>
  <c r="H30" i="83"/>
  <c r="C30" i="83"/>
  <c r="C31" i="83" s="1"/>
  <c r="D29" i="83"/>
  <c r="D28" i="83"/>
  <c r="D27" i="83"/>
  <c r="D25" i="83"/>
  <c r="M24" i="83"/>
  <c r="O23" i="83" s="1"/>
  <c r="D24" i="83"/>
  <c r="D23" i="83"/>
  <c r="D22" i="83"/>
  <c r="D21" i="83"/>
  <c r="D20" i="83"/>
  <c r="D19" i="83"/>
  <c r="M18" i="83"/>
  <c r="D18" i="83"/>
  <c r="M17" i="83"/>
  <c r="D17" i="83"/>
  <c r="L16" i="83"/>
  <c r="O16" i="83" s="1"/>
  <c r="D16" i="83"/>
  <c r="M15" i="83"/>
  <c r="D15" i="83"/>
  <c r="L14" i="83"/>
  <c r="D14" i="83"/>
  <c r="O13" i="83"/>
  <c r="D13" i="83"/>
  <c r="D12" i="83"/>
  <c r="D11" i="83"/>
  <c r="B11" i="83"/>
  <c r="E11" i="83" s="1"/>
  <c r="A11" i="83"/>
  <c r="A8" i="83"/>
  <c r="A7" i="83"/>
  <c r="L30" i="83" l="1"/>
  <c r="O24" i="83"/>
  <c r="M30" i="83"/>
  <c r="O12" i="83"/>
  <c r="A16" i="85"/>
  <c r="A17" i="85" s="1"/>
  <c r="A18" i="85" s="1"/>
  <c r="A19" i="85" s="1"/>
  <c r="A20" i="85" s="1"/>
  <c r="A21" i="85" s="1"/>
  <c r="A22" i="85" s="1"/>
  <c r="A23" i="85" s="1"/>
  <c r="A24" i="85" s="1"/>
  <c r="B28" i="91"/>
  <c r="A28" i="91"/>
  <c r="E39" i="90"/>
  <c r="B40" i="90"/>
  <c r="D30" i="83"/>
  <c r="D31" i="83" s="1"/>
  <c r="O17" i="83"/>
  <c r="B16" i="85"/>
  <c r="E16" i="85" s="1"/>
  <c r="D87" i="85"/>
  <c r="D88" i="85" s="1"/>
  <c r="A12" i="83"/>
  <c r="A13" i="83" s="1"/>
  <c r="A14" i="83" s="1"/>
  <c r="B12" i="83"/>
  <c r="E12" i="83" s="1"/>
  <c r="J418" i="2"/>
  <c r="G418" i="2"/>
  <c r="G393" i="2"/>
  <c r="J410" i="2"/>
  <c r="G410" i="2"/>
  <c r="J399" i="2"/>
  <c r="G399" i="2"/>
  <c r="J401" i="2"/>
  <c r="G401" i="2"/>
  <c r="J402" i="2"/>
  <c r="G402" i="2"/>
  <c r="J412" i="2"/>
  <c r="G412" i="2"/>
  <c r="G400" i="2"/>
  <c r="G403" i="2"/>
  <c r="G409" i="2"/>
  <c r="J409" i="2"/>
  <c r="A25" i="85" l="1"/>
  <c r="A26" i="85"/>
  <c r="B17" i="85"/>
  <c r="B18" i="85" s="1"/>
  <c r="B19" i="85" s="1"/>
  <c r="B20" i="85" s="1"/>
  <c r="B21" i="85" s="1"/>
  <c r="B22" i="85" s="1"/>
  <c r="B23" i="85" s="1"/>
  <c r="B24" i="85" s="1"/>
  <c r="D28" i="91"/>
  <c r="E28" i="91"/>
  <c r="E40" i="90"/>
  <c r="B41" i="90"/>
  <c r="B42" i="90"/>
  <c r="E42" i="90" s="1"/>
  <c r="B13" i="83"/>
  <c r="B14" i="83" s="1"/>
  <c r="E14" i="83" s="1"/>
  <c r="A15" i="83"/>
  <c r="A16" i="83" s="1"/>
  <c r="A17" i="83" s="1"/>
  <c r="A18" i="83" s="1"/>
  <c r="A19" i="83" s="1"/>
  <c r="A20" i="83"/>
  <c r="A21" i="83" s="1"/>
  <c r="A22" i="83" s="1"/>
  <c r="A23" i="83" s="1"/>
  <c r="A24" i="83" s="1"/>
  <c r="A25" i="83" s="1"/>
  <c r="A26" i="83" s="1"/>
  <c r="A27" i="83" s="1"/>
  <c r="A28" i="83" s="1"/>
  <c r="E17" i="85" l="1"/>
  <c r="A27" i="85"/>
  <c r="A28" i="85" s="1"/>
  <c r="A29" i="85" s="1"/>
  <c r="A30" i="85" s="1"/>
  <c r="A31" i="85" s="1"/>
  <c r="A32" i="85" s="1"/>
  <c r="A33" i="85" s="1"/>
  <c r="B25" i="85"/>
  <c r="B26" i="85"/>
  <c r="E18" i="85"/>
  <c r="B15" i="83"/>
  <c r="C7" i="83"/>
  <c r="B29" i="91"/>
  <c r="A29" i="91"/>
  <c r="C8" i="90"/>
  <c r="E41" i="90"/>
  <c r="E13" i="83"/>
  <c r="B7" i="83" s="1"/>
  <c r="B20" i="83"/>
  <c r="E20" i="83" s="1"/>
  <c r="E15" i="83"/>
  <c r="B16" i="83"/>
  <c r="B8" i="83"/>
  <c r="A29" i="83"/>
  <c r="C29" i="77"/>
  <c r="C30" i="77" s="1"/>
  <c r="D28" i="77"/>
  <c r="K27" i="77"/>
  <c r="D27" i="77"/>
  <c r="K26" i="77"/>
  <c r="D26" i="77"/>
  <c r="D25" i="77"/>
  <c r="D24" i="77"/>
  <c r="D23" i="77"/>
  <c r="I22" i="77"/>
  <c r="H22" i="77"/>
  <c r="K22" i="77" s="1"/>
  <c r="D22" i="77"/>
  <c r="I21" i="77"/>
  <c r="I29" i="77" s="1"/>
  <c r="H21" i="77"/>
  <c r="D21" i="77"/>
  <c r="D20" i="77"/>
  <c r="D19" i="77"/>
  <c r="J18" i="77"/>
  <c r="D18" i="77"/>
  <c r="D17" i="77"/>
  <c r="J13" i="77"/>
  <c r="B11" i="77"/>
  <c r="D11" i="77" s="1"/>
  <c r="A11" i="77"/>
  <c r="A7" i="77"/>
  <c r="M81" i="73"/>
  <c r="K81" i="73"/>
  <c r="J81" i="73"/>
  <c r="I81" i="73"/>
  <c r="H81" i="73"/>
  <c r="C81" i="73"/>
  <c r="C82" i="73" s="1"/>
  <c r="D79" i="73"/>
  <c r="D77" i="73"/>
  <c r="O76" i="73"/>
  <c r="D75" i="73"/>
  <c r="O74" i="73"/>
  <c r="D74" i="73"/>
  <c r="D73" i="73"/>
  <c r="D72" i="73"/>
  <c r="D71" i="73"/>
  <c r="D70" i="73"/>
  <c r="D69" i="73"/>
  <c r="D67" i="73"/>
  <c r="D66" i="73"/>
  <c r="D65" i="73"/>
  <c r="D64" i="73"/>
  <c r="D62" i="73"/>
  <c r="L61" i="73"/>
  <c r="D61" i="73"/>
  <c r="O60" i="73"/>
  <c r="O59" i="73"/>
  <c r="L59" i="73"/>
  <c r="D59" i="73"/>
  <c r="L58" i="73"/>
  <c r="D58" i="73"/>
  <c r="D57" i="73"/>
  <c r="L55" i="73"/>
  <c r="D55" i="73"/>
  <c r="D54" i="73"/>
  <c r="D53" i="73"/>
  <c r="L52" i="73"/>
  <c r="D52" i="73"/>
  <c r="D51" i="73"/>
  <c r="D50" i="73"/>
  <c r="L49" i="73"/>
  <c r="D49" i="73"/>
  <c r="O48" i="73"/>
  <c r="L48" i="73"/>
  <c r="D48" i="73"/>
  <c r="L47" i="73"/>
  <c r="D47" i="73"/>
  <c r="L46" i="73"/>
  <c r="D46" i="73"/>
  <c r="L45" i="73"/>
  <c r="D45" i="73"/>
  <c r="D43" i="73"/>
  <c r="D41" i="73"/>
  <c r="L40" i="73"/>
  <c r="D40" i="73"/>
  <c r="L39" i="73"/>
  <c r="D39" i="73"/>
  <c r="L38" i="73"/>
  <c r="D38" i="73"/>
  <c r="L37" i="73"/>
  <c r="D37" i="73"/>
  <c r="L36" i="73"/>
  <c r="D36" i="73"/>
  <c r="O34" i="73"/>
  <c r="D34" i="73"/>
  <c r="O33" i="73"/>
  <c r="L32" i="73"/>
  <c r="D32" i="73"/>
  <c r="D31" i="73"/>
  <c r="D30" i="73"/>
  <c r="L29" i="73"/>
  <c r="D29" i="73"/>
  <c r="D28" i="73"/>
  <c r="O27" i="73"/>
  <c r="L27" i="73"/>
  <c r="D27" i="73"/>
  <c r="L26" i="73"/>
  <c r="D26" i="73"/>
  <c r="L25" i="73"/>
  <c r="D25" i="73"/>
  <c r="D24" i="73"/>
  <c r="L23" i="73"/>
  <c r="D23" i="73"/>
  <c r="L22" i="73"/>
  <c r="D22" i="73"/>
  <c r="L21" i="73"/>
  <c r="D21" i="73"/>
  <c r="O20" i="73"/>
  <c r="L20" i="73"/>
  <c r="D20" i="73"/>
  <c r="D19" i="73"/>
  <c r="O18" i="73"/>
  <c r="L18" i="73"/>
  <c r="D18" i="73"/>
  <c r="O17" i="73"/>
  <c r="L17" i="73"/>
  <c r="D17" i="73"/>
  <c r="L16" i="73"/>
  <c r="D16" i="73"/>
  <c r="B16" i="73"/>
  <c r="A16" i="73"/>
  <c r="A12" i="73"/>
  <c r="A11" i="73"/>
  <c r="A10" i="73"/>
  <c r="A9" i="73"/>
  <c r="A8" i="73"/>
  <c r="A7" i="73"/>
  <c r="D11" i="68"/>
  <c r="A11" i="68"/>
  <c r="B11" i="68"/>
  <c r="E11" i="68" s="1"/>
  <c r="B26" i="68"/>
  <c r="J21" i="68"/>
  <c r="I21" i="68"/>
  <c r="H21" i="68"/>
  <c r="C21" i="68"/>
  <c r="C22" i="68" s="1"/>
  <c r="A8" i="68"/>
  <c r="A7" i="68"/>
  <c r="B27" i="85" l="1"/>
  <c r="B28" i="85" s="1"/>
  <c r="B29" i="85" s="1"/>
  <c r="B30" i="85" s="1"/>
  <c r="B31" i="85" s="1"/>
  <c r="B32" i="85" s="1"/>
  <c r="B33" i="85" s="1"/>
  <c r="A34" i="85"/>
  <c r="A35" i="85" s="1"/>
  <c r="A36" i="85" s="1"/>
  <c r="A37" i="85" s="1"/>
  <c r="A39" i="85" s="1"/>
  <c r="A40" i="85" s="1"/>
  <c r="A41" i="85" s="1"/>
  <c r="A42" i="85" s="1"/>
  <c r="A43" i="85" s="1"/>
  <c r="A44" i="85" s="1"/>
  <c r="A45" i="85" s="1"/>
  <c r="A47" i="85" s="1"/>
  <c r="A48" i="85" s="1"/>
  <c r="A49" i="85" s="1"/>
  <c r="E19" i="85"/>
  <c r="O28" i="73"/>
  <c r="H29" i="77"/>
  <c r="O19" i="73"/>
  <c r="B17" i="73"/>
  <c r="E17" i="73" s="1"/>
  <c r="O35" i="73"/>
  <c r="O61" i="73"/>
  <c r="D29" i="91"/>
  <c r="E29" i="91"/>
  <c r="C7" i="91"/>
  <c r="B7" i="91"/>
  <c r="O49" i="73"/>
  <c r="K21" i="77"/>
  <c r="K29" i="77" s="1"/>
  <c r="B12" i="68"/>
  <c r="L81" i="73"/>
  <c r="J29" i="77"/>
  <c r="E11" i="77"/>
  <c r="B21" i="83"/>
  <c r="E21" i="83" s="1"/>
  <c r="B17" i="83"/>
  <c r="E16" i="83"/>
  <c r="A12" i="77"/>
  <c r="B12" i="77"/>
  <c r="A17" i="73"/>
  <c r="A18" i="73" s="1"/>
  <c r="A19" i="73" s="1"/>
  <c r="A20" i="73" s="1"/>
  <c r="A21" i="73" s="1"/>
  <c r="A22" i="73" s="1"/>
  <c r="A23" i="73" s="1"/>
  <c r="A24" i="73" s="1"/>
  <c r="A25" i="73" s="1"/>
  <c r="A26" i="73" s="1"/>
  <c r="A27" i="73" s="1"/>
  <c r="A28" i="73" s="1"/>
  <c r="A29" i="73" s="1"/>
  <c r="A30" i="73" s="1"/>
  <c r="A31" i="73" s="1"/>
  <c r="A32" i="73" s="1"/>
  <c r="D81" i="73"/>
  <c r="D82" i="73" s="1"/>
  <c r="E16" i="73"/>
  <c r="A12" i="68"/>
  <c r="G370" i="2"/>
  <c r="J370" i="2"/>
  <c r="G367" i="2"/>
  <c r="J367" i="2"/>
  <c r="G366" i="2"/>
  <c r="J366" i="2"/>
  <c r="G387" i="2"/>
  <c r="J387" i="2"/>
  <c r="B18" i="73" l="1"/>
  <c r="E18" i="73" s="1"/>
  <c r="B34" i="85"/>
  <c r="B35" i="85" s="1"/>
  <c r="B36" i="85" s="1"/>
  <c r="B37" i="85" s="1"/>
  <c r="B39" i="85" s="1"/>
  <c r="A50" i="85"/>
  <c r="A51" i="85" s="1"/>
  <c r="A52" i="85" s="1"/>
  <c r="A53" i="85" s="1"/>
  <c r="A54" i="85" s="1"/>
  <c r="E20" i="85"/>
  <c r="A30" i="91"/>
  <c r="B30" i="91"/>
  <c r="D12" i="68"/>
  <c r="A13" i="68" s="1"/>
  <c r="E12" i="68"/>
  <c r="B22" i="83"/>
  <c r="E22" i="83" s="1"/>
  <c r="E17" i="83"/>
  <c r="B18" i="83"/>
  <c r="D12" i="77"/>
  <c r="A13" i="77" s="1"/>
  <c r="E12" i="77"/>
  <c r="B19" i="73"/>
  <c r="E19" i="73" s="1"/>
  <c r="A34" i="73"/>
  <c r="A36" i="73" s="1"/>
  <c r="A37" i="73" s="1"/>
  <c r="A38" i="73" s="1"/>
  <c r="A39" i="73" s="1"/>
  <c r="A40" i="73" s="1"/>
  <c r="A41" i="73" s="1"/>
  <c r="A33" i="73"/>
  <c r="B7" i="73" s="1"/>
  <c r="G384" i="2"/>
  <c r="G394" i="2"/>
  <c r="G395" i="2"/>
  <c r="G396" i="2"/>
  <c r="G397" i="2"/>
  <c r="G398" i="2"/>
  <c r="A55" i="85" l="1"/>
  <c r="A56" i="85" s="1"/>
  <c r="A57" i="85" s="1"/>
  <c r="B40" i="85"/>
  <c r="B41" i="85" s="1"/>
  <c r="B42" i="85" s="1"/>
  <c r="B43" i="85" s="1"/>
  <c r="B44" i="85" s="1"/>
  <c r="B45" i="85" s="1"/>
  <c r="B47" i="85" s="1"/>
  <c r="E39" i="85"/>
  <c r="E21" i="85"/>
  <c r="B20" i="73"/>
  <c r="B21" i="73" s="1"/>
  <c r="B13" i="68"/>
  <c r="E13" i="68" s="1"/>
  <c r="B23" i="83"/>
  <c r="E23" i="83" s="1"/>
  <c r="D30" i="91"/>
  <c r="E30" i="91"/>
  <c r="B36" i="83"/>
  <c r="E18" i="83"/>
  <c r="B19" i="83"/>
  <c r="E19" i="83" s="1"/>
  <c r="B13" i="77"/>
  <c r="A43" i="73"/>
  <c r="A45" i="73" s="1"/>
  <c r="A46" i="73" s="1"/>
  <c r="A47" i="73" s="1"/>
  <c r="A48" i="73" s="1"/>
  <c r="A49" i="73" s="1"/>
  <c r="A50" i="73" s="1"/>
  <c r="A51" i="73" s="1"/>
  <c r="A52" i="73" s="1"/>
  <c r="A53" i="73" s="1"/>
  <c r="A54" i="73" s="1"/>
  <c r="A55" i="73" s="1"/>
  <c r="A42" i="73"/>
  <c r="B8" i="73" s="1"/>
  <c r="E20" i="73"/>
  <c r="D13" i="68"/>
  <c r="A14" i="68" s="1"/>
  <c r="G363" i="2"/>
  <c r="A58" i="85" l="1"/>
  <c r="A59" i="85" s="1"/>
  <c r="A61" i="85" s="1"/>
  <c r="A62" i="85" s="1"/>
  <c r="A63" i="85" s="1"/>
  <c r="A64" i="85" s="1"/>
  <c r="A65" i="85" s="1"/>
  <c r="A66" i="85" s="1"/>
  <c r="B48" i="85"/>
  <c r="B49" i="85" s="1"/>
  <c r="E47" i="85"/>
  <c r="E22" i="85"/>
  <c r="B24" i="83"/>
  <c r="B25" i="83" s="1"/>
  <c r="B31" i="91"/>
  <c r="A31" i="91"/>
  <c r="D13" i="77"/>
  <c r="E13" i="77"/>
  <c r="A57" i="73"/>
  <c r="A58" i="73" s="1"/>
  <c r="A59" i="73" s="1"/>
  <c r="A56" i="73"/>
  <c r="B9" i="73" s="1"/>
  <c r="E21" i="73"/>
  <c r="B22" i="73"/>
  <c r="B14" i="68"/>
  <c r="B7" i="68"/>
  <c r="G390" i="2"/>
  <c r="J390" i="2"/>
  <c r="J389" i="2"/>
  <c r="G391" i="2"/>
  <c r="J391" i="2"/>
  <c r="G392" i="2"/>
  <c r="J392" i="2"/>
  <c r="G365" i="2"/>
  <c r="J365" i="2"/>
  <c r="J363" i="2"/>
  <c r="G383" i="2"/>
  <c r="J383" i="2"/>
  <c r="G388" i="2"/>
  <c r="J388" i="2"/>
  <c r="J393" i="2"/>
  <c r="E24" i="83" l="1"/>
  <c r="A60" i="85"/>
  <c r="A67" i="85"/>
  <c r="A68" i="85"/>
  <c r="A69" i="85" s="1"/>
  <c r="A70" i="85" s="1"/>
  <c r="A71" i="85" s="1"/>
  <c r="B50" i="85"/>
  <c r="E23" i="85"/>
  <c r="D31" i="91"/>
  <c r="E31" i="91"/>
  <c r="E25" i="83"/>
  <c r="B26" i="83"/>
  <c r="B14" i="77"/>
  <c r="A14" i="77"/>
  <c r="A60" i="73"/>
  <c r="B10" i="73" s="1"/>
  <c r="A61" i="73"/>
  <c r="A62" i="73" s="1"/>
  <c r="A64" i="73" s="1"/>
  <c r="A65" i="73" s="1"/>
  <c r="E22" i="73"/>
  <c r="B23" i="73"/>
  <c r="D14" i="68"/>
  <c r="B15" i="68" s="1"/>
  <c r="E14" i="68"/>
  <c r="C7" i="68" s="1"/>
  <c r="G360" i="2"/>
  <c r="G361" i="2"/>
  <c r="G362" i="2"/>
  <c r="G364" i="2"/>
  <c r="G359" i="2"/>
  <c r="G368" i="2"/>
  <c r="G378" i="2"/>
  <c r="G379" i="2"/>
  <c r="G380" i="2"/>
  <c r="G371" i="2"/>
  <c r="A73" i="85" l="1"/>
  <c r="A74" i="85" s="1"/>
  <c r="A75" i="85" s="1"/>
  <c r="A76" i="85" s="1"/>
  <c r="A77" i="85" s="1"/>
  <c r="A78" i="85" s="1"/>
  <c r="A79" i="85" s="1"/>
  <c r="A80" i="85" s="1"/>
  <c r="A81" i="85" s="1"/>
  <c r="A82" i="85" s="1"/>
  <c r="A83" i="85" s="1"/>
  <c r="A84" i="85" s="1"/>
  <c r="A85" i="85" s="1"/>
  <c r="B51" i="85"/>
  <c r="E50" i="85"/>
  <c r="B33" i="91"/>
  <c r="A33" i="91"/>
  <c r="E26" i="83"/>
  <c r="B27" i="83"/>
  <c r="D14" i="77"/>
  <c r="E14" i="77"/>
  <c r="E23" i="73"/>
  <c r="B24" i="73"/>
  <c r="A67" i="73"/>
  <c r="A69" i="73" s="1"/>
  <c r="A70" i="73" s="1"/>
  <c r="A71" i="73" s="1"/>
  <c r="A72" i="73" s="1"/>
  <c r="A73" i="73" s="1"/>
  <c r="A74" i="73" s="1"/>
  <c r="A75" i="73" s="1"/>
  <c r="A66" i="73"/>
  <c r="D15" i="68"/>
  <c r="E15" i="68"/>
  <c r="A15" i="68"/>
  <c r="G372" i="2"/>
  <c r="G345" i="2"/>
  <c r="G347" i="2"/>
  <c r="A86" i="85" l="1"/>
  <c r="E51" i="85"/>
  <c r="B52" i="85"/>
  <c r="B53" i="85" s="1"/>
  <c r="E24" i="85"/>
  <c r="D33" i="91"/>
  <c r="B34" i="91" s="1"/>
  <c r="E33" i="91"/>
  <c r="A16" i="68"/>
  <c r="C7" i="85"/>
  <c r="B7" i="85"/>
  <c r="E26" i="85"/>
  <c r="B28" i="83"/>
  <c r="E27" i="83"/>
  <c r="B15" i="77"/>
  <c r="A15" i="77"/>
  <c r="A76" i="73"/>
  <c r="B11" i="73" s="1"/>
  <c r="A77" i="73"/>
  <c r="A79" i="73" s="1"/>
  <c r="A80" i="73" s="1"/>
  <c r="B12" i="73" s="1"/>
  <c r="E24" i="73"/>
  <c r="B25" i="73"/>
  <c r="B16" i="68"/>
  <c r="G356" i="2"/>
  <c r="G357" i="2"/>
  <c r="E53" i="85" l="1"/>
  <c r="B54" i="85"/>
  <c r="B55" i="85" s="1"/>
  <c r="B56" i="85" s="1"/>
  <c r="B57" i="85" s="1"/>
  <c r="A34" i="91"/>
  <c r="D34" i="91"/>
  <c r="B35" i="91" s="1"/>
  <c r="E34" i="91"/>
  <c r="E27" i="85"/>
  <c r="E28" i="83"/>
  <c r="C8" i="83"/>
  <c r="B29" i="83"/>
  <c r="E29" i="83" s="1"/>
  <c r="D15" i="77"/>
  <c r="E15" i="77"/>
  <c r="E25" i="73"/>
  <c r="B26" i="73"/>
  <c r="D16" i="68"/>
  <c r="E16" i="68"/>
  <c r="G358" i="2"/>
  <c r="J358" i="2"/>
  <c r="G373" i="2"/>
  <c r="J373" i="2"/>
  <c r="G374" i="2"/>
  <c r="J374" i="2"/>
  <c r="J372" i="2"/>
  <c r="G354" i="2"/>
  <c r="J354" i="2"/>
  <c r="B58" i="85" l="1"/>
  <c r="A35" i="91"/>
  <c r="D35" i="91"/>
  <c r="A36" i="91" s="1"/>
  <c r="E35" i="91"/>
  <c r="E28" i="85"/>
  <c r="B16" i="77"/>
  <c r="A16" i="77"/>
  <c r="E26" i="73"/>
  <c r="B27" i="73"/>
  <c r="A17" i="68"/>
  <c r="B17" i="68"/>
  <c r="E58" i="85" l="1"/>
  <c r="B59" i="85"/>
  <c r="C87" i="85"/>
  <c r="C88" i="85" s="1"/>
  <c r="B36" i="91"/>
  <c r="E29" i="85"/>
  <c r="B7" i="77"/>
  <c r="C7" i="77"/>
  <c r="D16" i="77"/>
  <c r="E16" i="77"/>
  <c r="E27" i="73"/>
  <c r="B28" i="73"/>
  <c r="D17" i="68"/>
  <c r="E17" i="68"/>
  <c r="A11" i="66"/>
  <c r="B11" i="66"/>
  <c r="E11" i="66" s="1"/>
  <c r="D12" i="66"/>
  <c r="D13" i="66"/>
  <c r="D14" i="66"/>
  <c r="D15" i="66"/>
  <c r="D16" i="66"/>
  <c r="D17" i="66"/>
  <c r="D18" i="66"/>
  <c r="D19" i="66"/>
  <c r="D20" i="66"/>
  <c r="D11" i="66"/>
  <c r="B26" i="66"/>
  <c r="C21" i="66"/>
  <c r="C22" i="66" s="1"/>
  <c r="A8" i="66"/>
  <c r="A7" i="66"/>
  <c r="E59" i="85" l="1"/>
  <c r="B61" i="85"/>
  <c r="B62" i="85" s="1"/>
  <c r="B63" i="85" s="1"/>
  <c r="B64" i="85" s="1"/>
  <c r="B65" i="85" s="1"/>
  <c r="B66" i="85" s="1"/>
  <c r="B60" i="85"/>
  <c r="B12" i="66"/>
  <c r="E12" i="66" s="1"/>
  <c r="D36" i="91"/>
  <c r="E36" i="91"/>
  <c r="D37" i="91"/>
  <c r="B13" i="66"/>
  <c r="B14" i="66" s="1"/>
  <c r="E14" i="66" s="1"/>
  <c r="E30" i="85"/>
  <c r="B17" i="77"/>
  <c r="A17" i="77"/>
  <c r="A18" i="77" s="1"/>
  <c r="A19" i="77" s="1"/>
  <c r="A20" i="77" s="1"/>
  <c r="A21" i="77" s="1"/>
  <c r="A22" i="77" s="1"/>
  <c r="D29" i="77"/>
  <c r="D30" i="77" s="1"/>
  <c r="E28" i="73"/>
  <c r="B29" i="73"/>
  <c r="A18" i="68"/>
  <c r="B18" i="68"/>
  <c r="A12" i="66"/>
  <c r="A13" i="66" s="1"/>
  <c r="A14" i="66" s="1"/>
  <c r="A15" i="66" s="1"/>
  <c r="A16" i="66" s="1"/>
  <c r="A17" i="66" s="1"/>
  <c r="A18" i="66" s="1"/>
  <c r="A19" i="66" s="1"/>
  <c r="A20" i="66" s="1"/>
  <c r="D21" i="66"/>
  <c r="D22" i="66" s="1"/>
  <c r="G355" i="2"/>
  <c r="J355" i="2"/>
  <c r="G341" i="2"/>
  <c r="J341" i="2"/>
  <c r="G348" i="2"/>
  <c r="J348" i="2"/>
  <c r="G349" i="2"/>
  <c r="J349" i="2"/>
  <c r="G344" i="2"/>
  <c r="J344" i="2"/>
  <c r="G350" i="2"/>
  <c r="J350" i="2"/>
  <c r="G351" i="2"/>
  <c r="J351" i="2"/>
  <c r="G352" i="2"/>
  <c r="J352" i="2"/>
  <c r="J345" i="2"/>
  <c r="G353" i="2"/>
  <c r="B67" i="85" l="1"/>
  <c r="B68" i="85"/>
  <c r="B15" i="66"/>
  <c r="E15" i="66" s="1"/>
  <c r="E13" i="66"/>
  <c r="A37" i="91"/>
  <c r="A46" i="91" s="1"/>
  <c r="B9" i="91" s="1"/>
  <c r="B37" i="91"/>
  <c r="E31" i="85"/>
  <c r="B18" i="77"/>
  <c r="E17" i="77"/>
  <c r="A23" i="77"/>
  <c r="A24" i="77" s="1"/>
  <c r="A26" i="77"/>
  <c r="A27" i="77" s="1"/>
  <c r="A28" i="77" s="1"/>
  <c r="E29" i="73"/>
  <c r="B30" i="73"/>
  <c r="D18" i="68"/>
  <c r="E18" i="68"/>
  <c r="B27" i="68"/>
  <c r="C7" i="66"/>
  <c r="B7" i="66"/>
  <c r="C8" i="66"/>
  <c r="B8" i="66"/>
  <c r="G336" i="2"/>
  <c r="B16" i="66" l="1"/>
  <c r="E16" i="66" s="1"/>
  <c r="E68" i="85"/>
  <c r="B69" i="85"/>
  <c r="B70" i="85" s="1"/>
  <c r="E37" i="91"/>
  <c r="B46" i="91"/>
  <c r="E46" i="91" s="1"/>
  <c r="C9" i="91" s="1"/>
  <c r="B38" i="91"/>
  <c r="A38" i="91"/>
  <c r="E32" i="85"/>
  <c r="A25" i="77"/>
  <c r="C8" i="77"/>
  <c r="B8" i="77"/>
  <c r="E18" i="77"/>
  <c r="B19" i="77"/>
  <c r="E30" i="73"/>
  <c r="B31" i="73"/>
  <c r="B19" i="68"/>
  <c r="A19" i="68"/>
  <c r="B8" i="68" s="1"/>
  <c r="B17" i="66"/>
  <c r="E17" i="66" s="1"/>
  <c r="B73" i="85" l="1"/>
  <c r="B71" i="85"/>
  <c r="D38" i="91"/>
  <c r="E38" i="91"/>
  <c r="E34" i="85"/>
  <c r="B8" i="85"/>
  <c r="C8" i="85"/>
  <c r="E19" i="77"/>
  <c r="B20" i="77"/>
  <c r="E31" i="73"/>
  <c r="B32" i="73"/>
  <c r="D19" i="68"/>
  <c r="E19" i="68"/>
  <c r="C8" i="68" s="1"/>
  <c r="D20" i="68"/>
  <c r="D21" i="68" s="1"/>
  <c r="D22" i="68" s="1"/>
  <c r="B18" i="66"/>
  <c r="E18" i="66" s="1"/>
  <c r="B74" i="85" l="1"/>
  <c r="E73" i="85"/>
  <c r="B39" i="91"/>
  <c r="A39" i="91"/>
  <c r="E35" i="85"/>
  <c r="E20" i="77"/>
  <c r="B21" i="77"/>
  <c r="E32" i="73"/>
  <c r="B33" i="73"/>
  <c r="C7" i="73" s="1"/>
  <c r="B34" i="73"/>
  <c r="A20" i="68"/>
  <c r="B20" i="68"/>
  <c r="E20" i="68" s="1"/>
  <c r="B19" i="66"/>
  <c r="E19" i="66" s="1"/>
  <c r="B75" i="85" l="1"/>
  <c r="E74" i="85"/>
  <c r="D39" i="91"/>
  <c r="E39" i="91"/>
  <c r="E36" i="85"/>
  <c r="B22" i="77"/>
  <c r="E21" i="77"/>
  <c r="E34" i="73"/>
  <c r="B36" i="73"/>
  <c r="B20" i="66"/>
  <c r="E20" i="66" s="1"/>
  <c r="B27" i="66"/>
  <c r="E75" i="85" l="1"/>
  <c r="B76" i="85"/>
  <c r="A40" i="91"/>
  <c r="B40" i="91"/>
  <c r="E37" i="85"/>
  <c r="B23" i="77"/>
  <c r="E22" i="77"/>
  <c r="B26" i="77"/>
  <c r="E36" i="73"/>
  <c r="B37" i="73"/>
  <c r="E76" i="85" l="1"/>
  <c r="B77" i="85"/>
  <c r="D40" i="91"/>
  <c r="E40" i="91"/>
  <c r="E40" i="85"/>
  <c r="E23" i="77"/>
  <c r="B24" i="77"/>
  <c r="B27" i="77"/>
  <c r="E26" i="77"/>
  <c r="E37" i="73"/>
  <c r="B38" i="73"/>
  <c r="E77" i="85" l="1"/>
  <c r="B78" i="85"/>
  <c r="B41" i="91"/>
  <c r="A41" i="91"/>
  <c r="E41" i="85"/>
  <c r="E27" i="77"/>
  <c r="B28" i="77"/>
  <c r="E28" i="77" s="1"/>
  <c r="E24" i="77"/>
  <c r="B25" i="77"/>
  <c r="E25" i="77" s="1"/>
  <c r="E38" i="73"/>
  <c r="B39" i="73"/>
  <c r="C36" i="65"/>
  <c r="C37" i="65" s="1"/>
  <c r="D35" i="65"/>
  <c r="D34" i="65"/>
  <c r="D33" i="65"/>
  <c r="I32" i="65"/>
  <c r="D32" i="65"/>
  <c r="D31" i="65"/>
  <c r="D30" i="65"/>
  <c r="D29" i="65"/>
  <c r="D27" i="65"/>
  <c r="D26" i="65"/>
  <c r="D25" i="65"/>
  <c r="D24" i="65"/>
  <c r="D23" i="65"/>
  <c r="D22" i="65"/>
  <c r="D21" i="65"/>
  <c r="I20" i="65"/>
  <c r="D20" i="65"/>
  <c r="D18" i="65"/>
  <c r="D16" i="65"/>
  <c r="D15" i="65"/>
  <c r="D14" i="65"/>
  <c r="E12" i="65"/>
  <c r="A8" i="65"/>
  <c r="A7" i="65"/>
  <c r="E78" i="85" l="1"/>
  <c r="B79" i="85"/>
  <c r="I36" i="65"/>
  <c r="D41" i="91"/>
  <c r="E41" i="91"/>
  <c r="E42" i="85"/>
  <c r="B40" i="73"/>
  <c r="E39" i="73"/>
  <c r="D36" i="65"/>
  <c r="D37" i="65" s="1"/>
  <c r="A13" i="65"/>
  <c r="A14" i="65" s="1"/>
  <c r="A15" i="65" s="1"/>
  <c r="B13" i="65"/>
  <c r="E13" i="65" s="1"/>
  <c r="G331" i="2"/>
  <c r="J331" i="2"/>
  <c r="G334" i="2"/>
  <c r="J334" i="2"/>
  <c r="G332" i="2"/>
  <c r="J332" i="2"/>
  <c r="G333" i="2"/>
  <c r="J333" i="2"/>
  <c r="G335" i="2"/>
  <c r="J335" i="2"/>
  <c r="B80" i="85" l="1"/>
  <c r="E79" i="85"/>
  <c r="B42" i="91"/>
  <c r="A42" i="91"/>
  <c r="E43" i="85"/>
  <c r="E40" i="73"/>
  <c r="B41" i="73"/>
  <c r="A16" i="65"/>
  <c r="A18" i="65" s="1"/>
  <c r="A20" i="65" s="1"/>
  <c r="A21" i="65" s="1"/>
  <c r="A22" i="65" s="1"/>
  <c r="A23" i="65" s="1"/>
  <c r="A24" i="65" s="1"/>
  <c r="B7" i="65"/>
  <c r="B14" i="65"/>
  <c r="B81" i="85" l="1"/>
  <c r="E80" i="85"/>
  <c r="D42" i="91"/>
  <c r="E42" i="91"/>
  <c r="E44" i="85"/>
  <c r="B43" i="73"/>
  <c r="B42" i="73"/>
  <c r="C8" i="73" s="1"/>
  <c r="E41" i="73"/>
  <c r="E14" i="65"/>
  <c r="B15" i="65"/>
  <c r="B8" i="65"/>
  <c r="A25" i="65"/>
  <c r="A26" i="65" s="1"/>
  <c r="A27" i="65" s="1"/>
  <c r="G323" i="2"/>
  <c r="G324" i="2"/>
  <c r="G325" i="2"/>
  <c r="G326" i="2"/>
  <c r="G327" i="2"/>
  <c r="G328" i="2"/>
  <c r="G329" i="2"/>
  <c r="G322" i="2"/>
  <c r="G330" i="2"/>
  <c r="B82" i="85" l="1"/>
  <c r="E81" i="85"/>
  <c r="A28" i="65"/>
  <c r="A29" i="65" s="1"/>
  <c r="A30" i="65" s="1"/>
  <c r="A31" i="65" s="1"/>
  <c r="A32" i="65" s="1"/>
  <c r="A33" i="65" s="1"/>
  <c r="A34" i="65" s="1"/>
  <c r="A43" i="91"/>
  <c r="B43" i="91"/>
  <c r="E45" i="85"/>
  <c r="B45" i="73"/>
  <c r="E43" i="73"/>
  <c r="E15" i="65"/>
  <c r="C7" i="65"/>
  <c r="B16" i="65"/>
  <c r="B83" i="85" l="1"/>
  <c r="E82" i="85"/>
  <c r="B9" i="65"/>
  <c r="A35" i="65"/>
  <c r="D43" i="91"/>
  <c r="E43" i="91"/>
  <c r="B8" i="91"/>
  <c r="C8" i="91"/>
  <c r="E48" i="85"/>
  <c r="E45" i="73"/>
  <c r="B46" i="73"/>
  <c r="E16" i="65"/>
  <c r="B18" i="65"/>
  <c r="B84" i="85" l="1"/>
  <c r="E83" i="85"/>
  <c r="B44" i="91"/>
  <c r="A44" i="91"/>
  <c r="E49" i="85"/>
  <c r="E46" i="73"/>
  <c r="B47" i="73"/>
  <c r="E18" i="65"/>
  <c r="B20" i="65"/>
  <c r="B85" i="85" l="1"/>
  <c r="E84" i="85"/>
  <c r="B86" i="85"/>
  <c r="E86" i="85" s="1"/>
  <c r="D44" i="91"/>
  <c r="D47" i="91" s="1"/>
  <c r="D48" i="91" s="1"/>
  <c r="E44" i="91"/>
  <c r="E47" i="73"/>
  <c r="B48" i="73"/>
  <c r="E20" i="65"/>
  <c r="B21" i="65"/>
  <c r="E52" i="85" l="1"/>
  <c r="E48" i="73"/>
  <c r="B49" i="73"/>
  <c r="B22" i="65"/>
  <c r="E21" i="65"/>
  <c r="E54" i="85" l="1"/>
  <c r="E49" i="73"/>
  <c r="B50" i="73"/>
  <c r="B23" i="65"/>
  <c r="E22" i="65"/>
  <c r="E56" i="85" l="1"/>
  <c r="E50" i="73"/>
  <c r="B51" i="73"/>
  <c r="E23" i="65"/>
  <c r="B24" i="65"/>
  <c r="C8" i="65" s="1"/>
  <c r="E57" i="85" l="1"/>
  <c r="E51" i="73"/>
  <c r="B52" i="73"/>
  <c r="B25" i="65"/>
  <c r="E24" i="65"/>
  <c r="E52" i="73" l="1"/>
  <c r="B53" i="73"/>
  <c r="B26" i="65"/>
  <c r="E25" i="65"/>
  <c r="B9" i="85" l="1"/>
  <c r="C9" i="85"/>
  <c r="E61" i="85"/>
  <c r="E53" i="73"/>
  <c r="B54" i="73"/>
  <c r="B27" i="65"/>
  <c r="B28" i="65" s="1"/>
  <c r="E26" i="65"/>
  <c r="B29" i="65" l="1"/>
  <c r="E29" i="65" s="1"/>
  <c r="E28" i="65"/>
  <c r="E62" i="85"/>
  <c r="B55" i="73"/>
  <c r="E54" i="73"/>
  <c r="E27" i="65"/>
  <c r="E63" i="85" l="1"/>
  <c r="E55" i="73"/>
  <c r="B56" i="73"/>
  <c r="C9" i="73" s="1"/>
  <c r="B57" i="73"/>
  <c r="B30" i="65"/>
  <c r="E64" i="85" l="1"/>
  <c r="E57" i="73"/>
  <c r="B58" i="73"/>
  <c r="E30" i="65"/>
  <c r="B31" i="65"/>
  <c r="E65" i="85" l="1"/>
  <c r="E58" i="73"/>
  <c r="B59" i="73"/>
  <c r="B32" i="65"/>
  <c r="E31" i="65"/>
  <c r="E66" i="85" l="1"/>
  <c r="E59" i="73"/>
  <c r="B60" i="73"/>
  <c r="C10" i="73" s="1"/>
  <c r="B61" i="73"/>
  <c r="B33" i="65"/>
  <c r="E32" i="65"/>
  <c r="C10" i="85" l="1"/>
  <c r="B10" i="85"/>
  <c r="E69" i="85"/>
  <c r="E61" i="73"/>
  <c r="B62" i="73"/>
  <c r="E33" i="65"/>
  <c r="B34" i="65"/>
  <c r="C9" i="65" s="1"/>
  <c r="E70" i="85" l="1"/>
  <c r="E62" i="73"/>
  <c r="B64" i="73"/>
  <c r="E34" i="65"/>
  <c r="B35" i="65"/>
  <c r="E35" i="65" s="1"/>
  <c r="E71" i="85" l="1"/>
  <c r="E64" i="73"/>
  <c r="B65" i="73"/>
  <c r="E65" i="73" l="1"/>
  <c r="B66" i="73"/>
  <c r="E66" i="73" s="1"/>
  <c r="B67" i="73"/>
  <c r="E67" i="73" l="1"/>
  <c r="B69" i="73"/>
  <c r="E69" i="73" l="1"/>
  <c r="B70" i="73"/>
  <c r="E70" i="73" l="1"/>
  <c r="B71" i="73"/>
  <c r="E71" i="73" l="1"/>
  <c r="B72" i="73"/>
  <c r="E72" i="73" l="1"/>
  <c r="B73" i="73"/>
  <c r="E73" i="73" l="1"/>
  <c r="B74" i="73"/>
  <c r="E74" i="73" l="1"/>
  <c r="B75" i="73"/>
  <c r="B76" i="73" l="1"/>
  <c r="C11" i="73" s="1"/>
  <c r="E75" i="73"/>
  <c r="B77" i="73"/>
  <c r="E77" i="73" l="1"/>
  <c r="B79" i="73"/>
  <c r="C11" i="85" l="1"/>
  <c r="B11" i="85"/>
  <c r="E79" i="73"/>
  <c r="B80" i="73"/>
  <c r="C12" i="73" s="1"/>
  <c r="G375" i="2" l="1"/>
  <c r="J375" i="2"/>
  <c r="G318" i="2"/>
  <c r="J318" i="2"/>
  <c r="G376" i="2"/>
  <c r="J376" i="2"/>
  <c r="G314" i="2"/>
  <c r="J314" i="2"/>
  <c r="G377" i="2"/>
  <c r="J377" i="2"/>
  <c r="J347" i="2"/>
  <c r="G406" i="2"/>
  <c r="J406" i="2"/>
  <c r="G321" i="2"/>
  <c r="J321" i="2"/>
  <c r="G308" i="2" l="1"/>
  <c r="J308" i="2"/>
  <c r="G307" i="2"/>
  <c r="J307" i="2"/>
  <c r="G303" i="2" l="1"/>
  <c r="G304" i="2"/>
  <c r="J304" i="2"/>
  <c r="J303" i="2"/>
  <c r="G311" i="2"/>
  <c r="J311" i="2"/>
  <c r="G309" i="2"/>
  <c r="J309" i="2"/>
  <c r="G289" i="2" l="1"/>
  <c r="G272" i="2" l="1"/>
  <c r="G285" i="2" l="1"/>
  <c r="G286" i="2"/>
  <c r="G287" i="2"/>
  <c r="G288" i="2"/>
  <c r="G290" i="2"/>
  <c r="G291" i="2"/>
  <c r="G292" i="2"/>
  <c r="G293" i="2"/>
  <c r="G294" i="2"/>
  <c r="G295" i="2"/>
  <c r="G296" i="2"/>
  <c r="G297" i="2"/>
  <c r="G298" i="2"/>
  <c r="G265" i="2" l="1"/>
  <c r="G255" i="2" l="1"/>
  <c r="J255" i="2"/>
  <c r="G300" i="2"/>
  <c r="J300" i="2"/>
  <c r="G301" i="2"/>
  <c r="J301" i="2"/>
  <c r="G277" i="2"/>
  <c r="J277" i="2"/>
  <c r="G275" i="2"/>
  <c r="J275" i="2"/>
  <c r="G263" i="2"/>
  <c r="J263" i="2"/>
  <c r="G302" i="2"/>
  <c r="J302" i="2"/>
  <c r="G267" i="2"/>
  <c r="G264" i="2"/>
  <c r="G262" i="2" l="1"/>
  <c r="J262" i="2"/>
  <c r="G233" i="2" l="1"/>
  <c r="G250" i="2" l="1"/>
  <c r="J250" i="2"/>
  <c r="J435" i="2" l="1"/>
  <c r="G239" i="2"/>
  <c r="G432" i="2"/>
  <c r="J432" i="2"/>
  <c r="G433" i="2"/>
  <c r="J433" i="2"/>
  <c r="G434" i="2"/>
  <c r="J434" i="2"/>
  <c r="G254" i="2"/>
  <c r="J254" i="2"/>
  <c r="G252" i="2"/>
  <c r="G435" i="2"/>
  <c r="G436" i="2"/>
  <c r="J436" i="2"/>
  <c r="G259" i="2" l="1"/>
  <c r="G258" i="2"/>
  <c r="G256" i="2"/>
  <c r="G253" i="2"/>
  <c r="G251" i="2"/>
  <c r="G249" i="2"/>
  <c r="G247" i="2"/>
  <c r="J437" i="2" l="1"/>
  <c r="J438" i="2"/>
  <c r="J439" i="2"/>
  <c r="J239" i="2"/>
  <c r="G238" i="2"/>
  <c r="J238" i="2"/>
  <c r="J440" i="2"/>
  <c r="G232" i="2" l="1"/>
  <c r="G246" i="2"/>
  <c r="G245" i="2"/>
  <c r="G244" i="2"/>
  <c r="G243" i="2"/>
  <c r="G241" i="2"/>
  <c r="G240" i="2"/>
  <c r="G237" i="2"/>
  <c r="G234" i="2"/>
  <c r="G236" i="2"/>
  <c r="G231" i="2"/>
  <c r="G229" i="2"/>
  <c r="G223" i="2" l="1"/>
  <c r="G226" i="2" l="1"/>
  <c r="G664" i="2"/>
  <c r="J664" i="2"/>
  <c r="G665" i="2"/>
  <c r="J665" i="2"/>
  <c r="G666" i="2"/>
  <c r="J666" i="2"/>
  <c r="G667" i="2"/>
  <c r="J667" i="2"/>
  <c r="G227" i="2"/>
  <c r="J227" i="2"/>
  <c r="G668" i="2"/>
  <c r="J668" i="2"/>
  <c r="G695" i="2"/>
  <c r="J695" i="2"/>
  <c r="G212" i="2"/>
  <c r="G228" i="2" l="1"/>
  <c r="G224" i="2"/>
  <c r="G220" i="2" l="1"/>
  <c r="G214" i="2" l="1"/>
  <c r="E12" i="38" l="1"/>
  <c r="G225" i="2"/>
  <c r="J225" i="2"/>
  <c r="J191" i="2"/>
  <c r="J190" i="2"/>
  <c r="G697" i="2"/>
  <c r="J697" i="2"/>
  <c r="J212" i="2"/>
  <c r="G698" i="2"/>
  <c r="J698" i="2"/>
  <c r="J205" i="2"/>
  <c r="G213" i="2"/>
  <c r="J213" i="2"/>
  <c r="G206" i="2"/>
  <c r="J206" i="2"/>
  <c r="G699" i="2"/>
  <c r="J699" i="2"/>
  <c r="G199" i="2"/>
  <c r="J199" i="2"/>
  <c r="G196" i="2"/>
  <c r="G221" i="2"/>
  <c r="G219" i="2"/>
  <c r="G235" i="2"/>
  <c r="G218" i="2"/>
  <c r="G217" i="2"/>
  <c r="G216" i="2"/>
  <c r="G215" i="2"/>
  <c r="G211" i="2"/>
  <c r="G210" i="2"/>
  <c r="G209" i="2"/>
  <c r="G204" i="2"/>
  <c r="G203" i="2"/>
  <c r="A8" i="38"/>
  <c r="A7" i="38"/>
  <c r="G188" i="2"/>
  <c r="G181" i="2"/>
  <c r="G200" i="2"/>
  <c r="G187" i="2"/>
  <c r="G180" i="2"/>
  <c r="G691" i="2"/>
  <c r="J691" i="2"/>
  <c r="G692" i="2"/>
  <c r="J692" i="2"/>
  <c r="G195" i="2"/>
  <c r="J195" i="2"/>
  <c r="G693" i="2"/>
  <c r="J693" i="2"/>
  <c r="G191" i="2"/>
  <c r="G694" i="2"/>
  <c r="J694" i="2"/>
  <c r="J196" i="2"/>
  <c r="G201" i="2"/>
  <c r="J201" i="2"/>
  <c r="G170" i="2"/>
  <c r="J170" i="2"/>
  <c r="J197" i="2"/>
  <c r="I21" i="38"/>
  <c r="J21" i="38"/>
  <c r="B2" i="38"/>
  <c r="B26" i="38"/>
  <c r="H21" i="38"/>
  <c r="C21" i="38"/>
  <c r="C22" i="38" s="1"/>
  <c r="G164" i="2"/>
  <c r="J164" i="2"/>
  <c r="G193" i="2"/>
  <c r="J696" i="2"/>
  <c r="G185" i="2"/>
  <c r="J185" i="2"/>
  <c r="G190" i="2"/>
  <c r="G142" i="2"/>
  <c r="G155" i="2"/>
  <c r="J140" i="2"/>
  <c r="G154" i="2"/>
  <c r="J154" i="2"/>
  <c r="J158" i="2"/>
  <c r="G161" i="2"/>
  <c r="J161" i="2"/>
  <c r="G143" i="2"/>
  <c r="J143" i="2"/>
  <c r="G169" i="2"/>
  <c r="J169" i="2"/>
  <c r="G689" i="2"/>
  <c r="J689" i="2"/>
  <c r="G160" i="2"/>
  <c r="J160" i="2"/>
  <c r="G163" i="2"/>
  <c r="J163" i="2"/>
  <c r="G159" i="2"/>
  <c r="J159" i="2"/>
  <c r="G690" i="2"/>
  <c r="J690" i="2"/>
  <c r="G172" i="2"/>
  <c r="G173" i="2"/>
  <c r="G174" i="2"/>
  <c r="G175" i="2"/>
  <c r="G176" i="2"/>
  <c r="G177" i="2"/>
  <c r="G178" i="2"/>
  <c r="G152" i="2"/>
  <c r="G153" i="2"/>
  <c r="G162" i="2"/>
  <c r="G165" i="2"/>
  <c r="G167" i="2"/>
  <c r="G179" i="2"/>
  <c r="G138" i="2"/>
  <c r="G139" i="2"/>
  <c r="G150" i="2"/>
  <c r="G131" i="2"/>
  <c r="J131" i="2"/>
  <c r="G118" i="2"/>
  <c r="G685" i="2"/>
  <c r="J685" i="2"/>
  <c r="G686" i="2"/>
  <c r="J686" i="2"/>
  <c r="G140" i="2"/>
  <c r="G141" i="2"/>
  <c r="J141" i="2"/>
  <c r="G687" i="2"/>
  <c r="J687" i="2"/>
  <c r="G148" i="2"/>
  <c r="G149" i="2"/>
  <c r="G688" i="2"/>
  <c r="J688" i="2"/>
  <c r="G137" i="2"/>
  <c r="G130" i="2"/>
  <c r="G208" i="2"/>
  <c r="G133" i="2"/>
  <c r="J133" i="2"/>
  <c r="G684" i="2"/>
  <c r="J684" i="2"/>
  <c r="G682" i="2"/>
  <c r="J682" i="2"/>
  <c r="G124" i="2"/>
  <c r="J124" i="2"/>
  <c r="G125" i="2"/>
  <c r="J125" i="2"/>
  <c r="G129" i="2"/>
  <c r="J129" i="2"/>
  <c r="G123" i="2"/>
  <c r="G115" i="2"/>
  <c r="J115" i="2"/>
  <c r="G127" i="2"/>
  <c r="G128" i="2"/>
  <c r="G119" i="2"/>
  <c r="G117" i="2"/>
  <c r="G121" i="2"/>
  <c r="G126" i="2"/>
  <c r="G111" i="2"/>
  <c r="G680" i="2"/>
  <c r="J680" i="2"/>
  <c r="G114" i="2"/>
  <c r="J114" i="2"/>
  <c r="G101" i="2"/>
  <c r="J101" i="2"/>
  <c r="G105" i="2"/>
  <c r="G113" i="2"/>
  <c r="J113" i="2"/>
  <c r="J111" i="2"/>
  <c r="G95" i="2"/>
  <c r="G103" i="2"/>
  <c r="G104" i="2"/>
  <c r="G107" i="2"/>
  <c r="G109" i="2"/>
  <c r="G112" i="2"/>
  <c r="G86" i="2"/>
  <c r="G85" i="2"/>
  <c r="G94" i="2"/>
  <c r="G93" i="2"/>
  <c r="G92" i="2"/>
  <c r="G90" i="2"/>
  <c r="J90" i="2"/>
  <c r="G678" i="2"/>
  <c r="J678" i="2"/>
  <c r="G84" i="2"/>
  <c r="J84" i="2"/>
  <c r="G100" i="2"/>
  <c r="J100" i="2"/>
  <c r="G102" i="2"/>
  <c r="J102" i="2"/>
  <c r="G91" i="2"/>
  <c r="J91" i="2"/>
  <c r="G679" i="2"/>
  <c r="J679" i="2"/>
  <c r="G97" i="2"/>
  <c r="G98" i="2"/>
  <c r="G99" i="2"/>
  <c r="G82" i="2"/>
  <c r="J66" i="2"/>
  <c r="G73" i="2"/>
  <c r="G70" i="2"/>
  <c r="J70" i="2"/>
  <c r="G78" i="2"/>
  <c r="G675" i="2"/>
  <c r="J675" i="2"/>
  <c r="G75" i="2"/>
  <c r="J75" i="2"/>
  <c r="G77" i="2"/>
  <c r="J77" i="2"/>
  <c r="G72" i="2"/>
  <c r="J72" i="2"/>
  <c r="G79" i="2"/>
  <c r="J79" i="2"/>
  <c r="G68" i="2"/>
  <c r="G69" i="2"/>
  <c r="G74" i="2"/>
  <c r="G80" i="2"/>
  <c r="G81" i="2"/>
  <c r="G676" i="2"/>
  <c r="J676" i="2"/>
  <c r="G63" i="2"/>
  <c r="J63" i="2"/>
  <c r="G64" i="2"/>
  <c r="J64" i="2"/>
  <c r="J674" i="2"/>
  <c r="G677" i="2"/>
  <c r="J677" i="2"/>
  <c r="G76" i="2"/>
  <c r="J76" i="2"/>
  <c r="G51" i="2"/>
  <c r="G59" i="2"/>
  <c r="G61" i="2"/>
  <c r="J681" i="2"/>
  <c r="G62" i="2"/>
  <c r="J62" i="2"/>
  <c r="G67" i="2"/>
  <c r="G116" i="2"/>
  <c r="J60" i="2"/>
  <c r="G60" i="2"/>
  <c r="J116" i="2"/>
  <c r="G53" i="2"/>
  <c r="G58" i="2"/>
  <c r="G57" i="2"/>
  <c r="G56" i="2"/>
  <c r="G55" i="2"/>
  <c r="G52" i="2"/>
  <c r="G49" i="2"/>
  <c r="G48" i="2"/>
  <c r="G54" i="2"/>
  <c r="G43" i="2"/>
  <c r="G25" i="2"/>
  <c r="J42" i="2"/>
  <c r="G42" i="2"/>
  <c r="J41" i="2"/>
  <c r="G41" i="2"/>
  <c r="J53" i="2"/>
  <c r="J50" i="2"/>
  <c r="G50" i="2"/>
  <c r="J45" i="2"/>
  <c r="G45" i="2"/>
  <c r="J51" i="2"/>
  <c r="J671" i="2"/>
  <c r="J670" i="2"/>
  <c r="J673" i="2"/>
  <c r="J672" i="2"/>
  <c r="J46" i="2"/>
  <c r="G40" i="2"/>
  <c r="G39" i="2"/>
  <c r="G38" i="2"/>
  <c r="G37" i="2"/>
  <c r="G36" i="2"/>
  <c r="G35" i="2"/>
  <c r="J34" i="2"/>
  <c r="G34" i="2"/>
  <c r="J33" i="2"/>
  <c r="G32" i="2"/>
  <c r="G31" i="2"/>
  <c r="G30" i="2"/>
  <c r="G29" i="2"/>
  <c r="G28" i="2"/>
  <c r="G27" i="2"/>
  <c r="G26" i="2"/>
  <c r="G24" i="2"/>
  <c r="G22" i="2"/>
  <c r="G21" i="2"/>
  <c r="G20" i="2"/>
  <c r="G19" i="2"/>
  <c r="G18" i="2"/>
  <c r="G17" i="2"/>
  <c r="G16" i="2"/>
  <c r="G23" i="2"/>
  <c r="J14" i="2"/>
  <c r="G14" i="2"/>
  <c r="J13" i="2"/>
  <c r="G13" i="2"/>
  <c r="G12" i="2"/>
  <c r="G11" i="2"/>
  <c r="J10" i="2"/>
  <c r="G10" i="2"/>
  <c r="G9" i="2"/>
  <c r="G8" i="2"/>
  <c r="J7" i="2"/>
  <c r="G7" i="2"/>
  <c r="J6" i="2"/>
  <c r="G6" i="2"/>
  <c r="G5" i="2"/>
  <c r="J4" i="2"/>
  <c r="G4" i="2"/>
  <c r="G3" i="2"/>
  <c r="E13" i="38" l="1"/>
  <c r="B7" i="38" l="1"/>
  <c r="E14" i="38" l="1"/>
  <c r="E15" i="38" l="1"/>
  <c r="E16" i="38" l="1"/>
  <c r="E17" i="38" l="1"/>
  <c r="D21" i="38"/>
  <c r="D22" i="38" s="1"/>
  <c r="E18" i="38" l="1"/>
  <c r="B27" i="38"/>
  <c r="B8" i="38"/>
  <c r="E20" i="38" l="1"/>
  <c r="E19" i="38"/>
  <c r="E32" i="161"/>
  <c r="B33" i="161"/>
  <c r="B35" i="161" s="1"/>
  <c r="B36" i="161" l="1"/>
  <c r="E35" i="161"/>
  <c r="E33" i="161"/>
  <c r="B37" i="161" l="1"/>
  <c r="B38" i="161" s="1"/>
  <c r="E36" i="161"/>
  <c r="E38" i="161" l="1"/>
  <c r="B39" i="161"/>
  <c r="E37" i="161"/>
  <c r="E39" i="161" l="1"/>
  <c r="B40" i="161"/>
  <c r="E40" i="161" l="1"/>
  <c r="B41" i="161"/>
  <c r="E41" i="161" l="1"/>
  <c r="B42" i="161"/>
  <c r="E42" i="161" l="1"/>
  <c r="B43" i="161"/>
  <c r="E43" i="161" l="1"/>
  <c r="B44" i="161"/>
  <c r="B45" i="161" l="1"/>
  <c r="B46" i="161" s="1"/>
  <c r="E44" i="161"/>
  <c r="E46" i="161" l="1"/>
  <c r="E45" i="161"/>
  <c r="E47" i="161" l="1"/>
  <c r="B48" i="161"/>
  <c r="E48" i="161" l="1"/>
  <c r="B49" i="161"/>
  <c r="B50" i="161" s="1"/>
  <c r="E49" i="161" l="1"/>
  <c r="B51" i="161" l="1"/>
  <c r="E50" i="161"/>
  <c r="B52" i="161" l="1"/>
  <c r="E52" i="161" s="1"/>
  <c r="C8" i="161"/>
  <c r="B53" i="161" l="1"/>
  <c r="E53" i="161" s="1"/>
  <c r="B54" i="161" l="1"/>
  <c r="E54" i="161" s="1"/>
  <c r="B56" i="161" l="1"/>
  <c r="E56" i="161" s="1"/>
  <c r="B57" i="161" l="1"/>
  <c r="E57" i="161" s="1"/>
  <c r="B58" i="161" l="1"/>
  <c r="E58" i="161" s="1"/>
  <c r="B59" i="161" l="1"/>
  <c r="E59" i="161" s="1"/>
  <c r="B60" i="161" l="1"/>
  <c r="E60" i="161" s="1"/>
  <c r="B61" i="161"/>
  <c r="E61" i="161" l="1"/>
  <c r="B62" i="161"/>
  <c r="E62" i="161" l="1"/>
  <c r="B63" i="161"/>
  <c r="B64" i="161" l="1"/>
  <c r="B70" i="161" s="1"/>
  <c r="B71" i="161" s="1"/>
  <c r="B11" i="161" s="1"/>
  <c r="E63" i="161"/>
  <c r="E70" i="161" l="1"/>
  <c r="A70" i="161"/>
  <c r="A71" i="161" s="1"/>
  <c r="B10" i="161" s="1"/>
  <c r="C10" i="161"/>
  <c r="E71" i="161"/>
  <c r="C11" i="161" s="1"/>
  <c r="E64" i="161"/>
  <c r="B65" i="161"/>
  <c r="B66" i="161" l="1"/>
  <c r="E65" i="161"/>
  <c r="E66" i="161" l="1"/>
  <c r="B67" i="161"/>
  <c r="B68" i="161" l="1"/>
  <c r="E68" i="161" s="1"/>
  <c r="C9" i="16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Ng, Mun Ling</author>
  </authors>
  <commentList>
    <comment ref="D2" authorId="0" shapeId="0" xr:uid="{5EAC9EB9-D840-47C9-8F44-01CA6B8E5AB3}">
      <text>
        <r>
          <rPr>
            <b/>
            <sz val="9"/>
            <color indexed="81"/>
            <rFont val="Tahoma"/>
            <family val="2"/>
          </rPr>
          <t>Ng, Mun Ling:</t>
        </r>
        <r>
          <rPr>
            <sz val="9"/>
            <color indexed="81"/>
            <rFont val="Tahoma"/>
            <family val="2"/>
          </rPr>
          <t xml:space="preserve">
w/c means week commencing with [Date]</t>
        </r>
      </text>
    </comment>
    <comment ref="G2" authorId="0" shapeId="0" xr:uid="{2A27C817-CAC7-4081-B59C-D02816A90B8A}">
      <text>
        <r>
          <rPr>
            <b/>
            <sz val="9"/>
            <color indexed="81"/>
            <rFont val="Tahoma"/>
            <family val="2"/>
          </rPr>
          <t>Ng, Mun Ling:</t>
        </r>
        <r>
          <rPr>
            <sz val="9"/>
            <color indexed="81"/>
            <rFont val="Tahoma"/>
            <family val="2"/>
          </rPr>
          <t xml:space="preserve">
Monthly View coding not capable of repeating if spread across multiple dates</t>
        </r>
      </text>
    </comment>
    <comment ref="H2" authorId="0" shapeId="0" xr:uid="{575DB82A-A398-4930-98C9-6C219557DE40}">
      <text>
        <r>
          <rPr>
            <b/>
            <sz val="9"/>
            <color indexed="81"/>
            <rFont val="Tahoma"/>
            <family val="2"/>
          </rPr>
          <t>Ng, Mun Ling:</t>
        </r>
        <r>
          <rPr>
            <sz val="9"/>
            <color indexed="81"/>
            <rFont val="Tahoma"/>
            <family val="2"/>
          </rPr>
          <t xml:space="preserve">
Show only the Incomplete (blank), In Progress and Not Required</t>
        </r>
      </text>
    </comment>
    <comment ref="J2" authorId="0" shapeId="0" xr:uid="{69ED85AB-7D1F-4001-B734-97041680434A}">
      <text>
        <r>
          <rPr>
            <b/>
            <sz val="9"/>
            <color indexed="81"/>
            <rFont val="Tahoma"/>
            <family val="2"/>
          </rPr>
          <t>Ng, Mun Ling:</t>
        </r>
        <r>
          <rPr>
            <sz val="9"/>
            <color indexed="81"/>
            <rFont val="Tahoma"/>
            <family val="2"/>
          </rPr>
          <t xml:space="preserve">
This is the description that will appear in the calendar</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tc={93BCA2B6-6101-4C4C-9F9C-C1CCB5308092}</author>
  </authors>
  <commentList>
    <comment ref="C28" authorId="0" shapeId="0" xr:uid="{93BCA2B6-6101-4C4C-9F9C-C1CCB5308092}">
      <text>
        <t>[Threaded comment]
Your version of Excel allows you to read this threaded comment; however, any edits to it will get removed if the file is opened in a newer version of Excel. Learn more: https://go.microsoft.com/fwlink/?linkid=870924
Comment:
    @Tan, Cheng Kiat need to include drum out timing. around 45 mins for druming out</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tc={26464E38-0F2D-4EFA-9324-F03A28138E41}</author>
  </authors>
  <commentList>
    <comment ref="F70" authorId="0" shapeId="0" xr:uid="{26464E38-0F2D-4EFA-9324-F03A28138E41}">
      <text>
        <t>[Threaded comment]
Your version of Excel allows you to read this threaded comment; however, any edits to it will get removed if the file is opened in a newer version of Excel. Learn more: https://go.microsoft.com/fwlink/?linkid=870924
Comment:
    Will hold R1 recipe until this operation</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tc={07E1E4AA-1153-4140-87DA-72599619844D}</author>
  </authors>
  <commentList>
    <comment ref="B19" authorId="0" shapeId="0" xr:uid="{07E1E4AA-1153-4140-87DA-72599619844D}">
      <text>
        <t>[Threaded comment]
Your version of Excel allows you to read this threaded comment; however, any edits to it will get removed if the file is opened in a newer version of Excel. Learn more: https://go.microsoft.com/fwlink/?linkid=870924
Comment:
    In parallel to drying</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tc={394A2BDF-8106-4DCF-9035-1A0A0A9EBD67}</author>
  </authors>
  <commentList>
    <comment ref="B19" authorId="0" shapeId="0" xr:uid="{394A2BDF-8106-4DCF-9035-1A0A0A9EBD67}">
      <text>
        <t>[Threaded comment]
Your version of Excel allows you to read this threaded comment; however, any edits to it will get removed if the file is opened in a newer version of Excel. Learn more: https://go.microsoft.com/fwlink/?linkid=870924
Comment:
    In parallel to drying</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tc={39D3E663-0EDE-48F3-BC7E-562D18290C34}</author>
  </authors>
  <commentList>
    <comment ref="B19" authorId="0" shapeId="0" xr:uid="{39D3E663-0EDE-48F3-BC7E-562D18290C34}">
      <text>
        <t>[Threaded comment]
Your version of Excel allows you to read this threaded comment; however, any edits to it will get removed if the file is opened in a newer version of Excel. Learn more: https://go.microsoft.com/fwlink/?linkid=870924
Comment:
    In parallel to Product Drying so that we can run A1-4 to A1-6 (three A1s) in a week</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tc={9284A417-8371-416D-8497-138B857C4296}</author>
  </authors>
  <commentList>
    <comment ref="B12" authorId="0" shapeId="0" xr:uid="{9284A417-8371-416D-8497-138B857C4296}">
      <text>
        <t>[Threaded comment]
Your version of Excel allows you to read this threaded comment; however, any edits to it will get removed if the file is opened in a newer version of Excel. Learn more: https://go.microsoft.com/fwlink/?linkid=870924
Comment:
    Recipe start time</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tc={BB0EBA1F-776F-4AEC-B3F2-0010034EF6C3}</author>
  </authors>
  <commentList>
    <comment ref="B12" authorId="0" shapeId="0" xr:uid="{BB0EBA1F-776F-4AEC-B3F2-0010034EF6C3}">
      <text>
        <t>[Threaded comment]
Your version of Excel allows you to read this threaded comment; however, any edits to it will get removed if the file is opened in a newer version of Excel. Learn more: https://go.microsoft.com/fwlink/?linkid=870924
Comment:
    Recipe start time</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tc={31DB60DD-B580-4A19-98FF-06FAB5F09AA1}</author>
  </authors>
  <commentList>
    <comment ref="B12" authorId="0" shapeId="0" xr:uid="{31DB60DD-B580-4A19-98FF-06FAB5F09AA1}">
      <text>
        <t>[Threaded comment]
Your version of Excel allows you to read this threaded comment; however, any edits to it will get removed if the file is opened in a newer version of Excel. Learn more: https://go.microsoft.com/fwlink/?linkid=870924
Comment:
    Recipe start time</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tc={377B7880-A74E-4056-ACE8-3BDA8AE42E94}</author>
  </authors>
  <commentList>
    <comment ref="B12" authorId="0" shapeId="0" xr:uid="{377B7880-A74E-4056-ACE8-3BDA8AE42E94}">
      <text>
        <t>[Threaded comment]
Your version of Excel allows you to read this threaded comment; however, any edits to it will get removed if the file is opened in a newer version of Excel. Learn more: https://go.microsoft.com/fwlink/?linkid=870924
Comment:
    Recipe start time</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tc={DDE128B1-B404-46CE-9EF0-D6E92233021D}</author>
  </authors>
  <commentList>
    <comment ref="B12" authorId="0" shapeId="0" xr:uid="{DDE128B1-B404-46CE-9EF0-D6E92233021D}">
      <text>
        <t>[Threaded comment]
Your version of Excel allows you to read this threaded comment; however, any edits to it will get removed if the file is opened in a newer version of Excel. Learn more: https://go.microsoft.com/fwlink/?linkid=870924
Comment:
    Recipe start time</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tc={5645BF6F-918C-44A8-8DC0-361AB6A181F3}</author>
  </authors>
  <commentList>
    <comment ref="F70" authorId="0" shapeId="0" xr:uid="{5645BF6F-918C-44A8-8DC0-361AB6A181F3}">
      <text>
        <t>[Threaded comment]
Your version of Excel allows you to read this threaded comment; however, any edits to it will get removed if the file is opened in a newer version of Excel. Learn more: https://go.microsoft.com/fwlink/?linkid=870924
Comment:
    Will hold R1 recipe until this operation</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tc={4C517E9C-DB70-43D7-B042-7FEB49AD3A4E}</author>
  </authors>
  <commentList>
    <comment ref="F70" authorId="0" shapeId="0" xr:uid="{4C517E9C-DB70-43D7-B042-7FEB49AD3A4E}">
      <text>
        <t>[Threaded comment]
Your version of Excel allows you to read this threaded comment; however, any edits to it will get removed if the file is opened in a newer version of Excel. Learn more: https://go.microsoft.com/fwlink/?linkid=870924
Comment:
    Will hold R1 recipe until this operation</t>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tc={D6A14680-1785-47BE-8719-55A1B6D5E2F4}</author>
  </authors>
  <commentList>
    <comment ref="F73" authorId="0" shapeId="0" xr:uid="{D6A14680-1785-47BE-8719-55A1B6D5E2F4}">
      <text>
        <t>[Threaded comment]
Your version of Excel allows you to read this threaded comment; however, any edits to it will get removed if the file is opened in a newer version of Excel. Learn more: https://go.microsoft.com/fwlink/?linkid=870924
Comment:
    Will hold R1 recipe until this operation</t>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tc={435BF586-31D1-4586-A731-F7EF0C45B649}</author>
    <author>tc={1808B646-9A31-4220-B40C-07F24ABFB08E}</author>
  </authors>
  <commentList>
    <comment ref="B8" authorId="0" shapeId="0" xr:uid="{435BF586-31D1-4586-A731-F7EF0C45B649}">
      <text>
        <t>[Threaded comment]
Your version of Excel allows you to read this threaded comment; however, any edits to it will get removed if the file is opened in a newer version of Excel. Learn more: https://go.microsoft.com/fwlink/?linkid=870924
Comment:
    Reactor 2 results before reagent sample can be taken</t>
      </text>
    </comment>
    <comment ref="B10" authorId="1" shapeId="0" xr:uid="{1808B646-9A31-4220-B40C-07F24ABFB08E}">
      <text>
        <t>[Threaded comment]
Your version of Excel allows you to read this threaded comment; however, any edits to it will get removed if the file is opened in a newer version of Excel. Learn more: https://go.microsoft.com/fwlink/?linkid=870924
Comment:
    Reactor 1 sample results to be given before chem canister sample can be taken</t>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tc={80F3291A-D7DC-4A5E-B69B-575B2552464C}</author>
    <author>tc={F125185A-77D3-49E2-A2F9-291945A90EA1}</author>
  </authors>
  <commentList>
    <comment ref="B8" authorId="0" shapeId="0" xr:uid="{80F3291A-D7DC-4A5E-B69B-575B2552464C}">
      <text>
        <t>[Threaded comment]
Your version of Excel allows you to read this threaded comment; however, any edits to it will get removed if the file is opened in a newer version of Excel. Learn more: https://go.microsoft.com/fwlink/?linkid=870924
Comment:
    Reactor 2 results before reagent sample can be taken</t>
      </text>
    </comment>
    <comment ref="B10" authorId="1" shapeId="0" xr:uid="{F125185A-77D3-49E2-A2F9-291945A90EA1}">
      <text>
        <t>[Threaded comment]
Your version of Excel allows you to read this threaded comment; however, any edits to it will get removed if the file is opened in a newer version of Excel. Learn more: https://go.microsoft.com/fwlink/?linkid=870924
Comment:
    Reactor 1 sample results to be given before chem canister sample can be taken</t>
      </text>
    </comment>
  </commentList>
</comments>
</file>

<file path=xl/sharedStrings.xml><?xml version="1.0" encoding="utf-8"?>
<sst xmlns="http://schemas.openxmlformats.org/spreadsheetml/2006/main" count="10527" uniqueCount="2698">
  <si>
    <t>Roles &amp; Responsibilities for production planning</t>
  </si>
  <si>
    <t>Function</t>
  </si>
  <si>
    <t>Rep</t>
  </si>
  <si>
    <t>Solvents/LN2 loading and wastes unloading</t>
  </si>
  <si>
    <t>Mfg support (facilitator)</t>
  </si>
  <si>
    <t>LT / Mun ling</t>
  </si>
  <si>
    <t xml:space="preserve">Track and request required delivery dates </t>
  </si>
  <si>
    <t>Coordinate and ensure delivery per request</t>
  </si>
  <si>
    <t>Mfg</t>
  </si>
  <si>
    <t>Sara / Wilson</t>
  </si>
  <si>
    <t>Solvents loading</t>
  </si>
  <si>
    <t>Mfg (Choo/Sara)</t>
  </si>
  <si>
    <t>SC (PJ/Jasmine)</t>
  </si>
  <si>
    <t>SC</t>
  </si>
  <si>
    <t>Jasmine / Edwin / PJ</t>
  </si>
  <si>
    <t>LN2 loading</t>
  </si>
  <si>
    <t>F &amp; E</t>
  </si>
  <si>
    <t>Arun / Zhao Xiang</t>
  </si>
  <si>
    <t>Waste unloading</t>
  </si>
  <si>
    <t>EHS (Poh yeng/Leslie)</t>
  </si>
  <si>
    <t>EHS</t>
  </si>
  <si>
    <t>Leslie / Poh Yeng / Jing Ya</t>
  </si>
  <si>
    <t xml:space="preserve">Notes: </t>
  </si>
  <si>
    <t>QC</t>
  </si>
  <si>
    <t>Michelle / Jason / Xing Yi</t>
  </si>
  <si>
    <t>Any deviation to plan must be flagged out asap prior to delivery.</t>
  </si>
  <si>
    <t>PD</t>
  </si>
  <si>
    <t>Ron / Aseem</t>
  </si>
  <si>
    <t>PQA / IQA</t>
  </si>
  <si>
    <t>Terence / Daisy</t>
  </si>
  <si>
    <t>Automation</t>
  </si>
  <si>
    <t>Wilma</t>
  </si>
  <si>
    <t>Validation</t>
  </si>
  <si>
    <t>Salih</t>
  </si>
  <si>
    <t>1) Attendance is compulsory. Function rep to appoint designate if he/she can't attend.</t>
  </si>
  <si>
    <t>2) Function rep is responsible/accountable for providing all required functional support to meet production plan and schedule.</t>
  </si>
  <si>
    <t>All function rep to flag out any issues that may affect production in advance before or during this meeting.</t>
  </si>
  <si>
    <t>Standing Agenda</t>
  </si>
  <si>
    <t>1) Production schedule updates – LT/Munling</t>
  </si>
  <si>
    <t>- changes to plan / schedule (if any)</t>
  </si>
  <si>
    <t>- look ahead for next week</t>
  </si>
  <si>
    <t>2) Routine activities - All</t>
  </si>
  <si>
    <t>- IPC / Release testing</t>
  </si>
  <si>
    <t>- Genba / QOP activities</t>
  </si>
  <si>
    <t>- Loading of bulk LN2 &amp; solvents / unloading of wastes</t>
  </si>
  <si>
    <t>3) Non-routine activities - All</t>
  </si>
  <si>
    <t>- Upcoming PM / GM / Cal activities</t>
  </si>
  <si>
    <t>- Any other non-routine activities</t>
  </si>
  <si>
    <t>4) Function readiness for upcoming production/cleaning</t>
  </si>
  <si>
    <t>- Production/Cleaning prep (Choo/Sara)</t>
  </si>
  <si>
    <t>- Production/Cleaning support e.g. CC, Dev (LT/Munling)</t>
  </si>
  <si>
    <t>- Materials (Jasmine/Edwin)</t>
  </si>
  <si>
    <t>- Equipment (Arun / Alex)</t>
  </si>
  <si>
    <t>- QC testing (Michelle/Jason)</t>
  </si>
  <si>
    <t>- Cleaning (Gek Koon/Richard)</t>
  </si>
  <si>
    <t>- Automation (Ken/HuiNing)</t>
  </si>
  <si>
    <t>- All other required items from PD, EHS, QA</t>
  </si>
  <si>
    <t>F&amp;E Dashboard</t>
  </si>
  <si>
    <t>Process BOM per PSD-400053 ver 12.0</t>
  </si>
  <si>
    <t>Batch Cleaning BOM provided by Validation</t>
  </si>
  <si>
    <t>Step Cleaning BOM provided by Validation</t>
  </si>
  <si>
    <t>A1</t>
  </si>
  <si>
    <t>Waste &amp; Tank Levels</t>
  </si>
  <si>
    <t>Process BOM - Step A1</t>
  </si>
  <si>
    <t>Cleaning BOM - A1 batch cleaning</t>
  </si>
  <si>
    <t>Cleaning BOM - Post Step A1 cleaning</t>
  </si>
  <si>
    <t>Waste Generated</t>
  </si>
  <si>
    <t>Current time</t>
  </si>
  <si>
    <t>Operation Phase</t>
  </si>
  <si>
    <t>Stage</t>
  </si>
  <si>
    <t>Item No</t>
  </si>
  <si>
    <t>Item Category</t>
  </si>
  <si>
    <t>BOM / Material Number</t>
  </si>
  <si>
    <t>Description</t>
  </si>
  <si>
    <t>Qty.</t>
  </si>
  <si>
    <t>UOM</t>
  </si>
  <si>
    <t>Consumption Phase</t>
  </si>
  <si>
    <t>Group</t>
  </si>
  <si>
    <t>Data Source</t>
  </si>
  <si>
    <t xml:space="preserve">Equipment </t>
  </si>
  <si>
    <t>Solvents</t>
  </si>
  <si>
    <t>Quantity</t>
  </si>
  <si>
    <t>Process</t>
  </si>
  <si>
    <t>Post step clean</t>
  </si>
  <si>
    <t>batch clean</t>
  </si>
  <si>
    <t>Total (L)</t>
  </si>
  <si>
    <t>981 DSI Step A1 PR-043 ASM (Grace SM)</t>
  </si>
  <si>
    <t>G</t>
  </si>
  <si>
    <t>Reactor 54312</t>
  </si>
  <si>
    <t>Ethyl Acetate (Tank Farm)</t>
  </si>
  <si>
    <t>387L</t>
  </si>
  <si>
    <t>Canister 77012</t>
  </si>
  <si>
    <t>Water</t>
  </si>
  <si>
    <t>72L</t>
  </si>
  <si>
    <t xml:space="preserve">Organic </t>
  </si>
  <si>
    <t>Step A1 Production</t>
  </si>
  <si>
    <t>Acetone</t>
  </si>
  <si>
    <t>40L</t>
  </si>
  <si>
    <t>Aqueous</t>
  </si>
  <si>
    <t>NIL</t>
  </si>
  <si>
    <t>Levels</t>
  </si>
  <si>
    <t>Dispensing</t>
  </si>
  <si>
    <t>L</t>
  </si>
  <si>
    <t>981 DSM Boc-Hph-Leu-Phe-OBn Grace</t>
  </si>
  <si>
    <t>PTD-400662</t>
  </si>
  <si>
    <t>Packaging</t>
  </si>
  <si>
    <t>Ethyl Acetate (Drum)</t>
  </si>
  <si>
    <t>140L</t>
  </si>
  <si>
    <t>Organic Waste</t>
  </si>
  <si>
    <t>CHEM Methanesulfonic Acid</t>
  </si>
  <si>
    <t>Ethyl Acetate</t>
  </si>
  <si>
    <t>Tank Farm</t>
  </si>
  <si>
    <t>Methanol</t>
  </si>
  <si>
    <t>3600L</t>
  </si>
  <si>
    <t>Aqueous Waste</t>
  </si>
  <si>
    <t>Reactor</t>
  </si>
  <si>
    <t>CHEM Methyl Tert-Butyl Ether</t>
  </si>
  <si>
    <t>NA</t>
  </si>
  <si>
    <t>251L</t>
  </si>
  <si>
    <t>SOL Ethyl Acetate Bulk Solvent Sub Assem</t>
  </si>
  <si>
    <t>Pre Campaign Solvents Usage</t>
  </si>
  <si>
    <t>Filter Dryer 59811</t>
  </si>
  <si>
    <t xml:space="preserve">Methanol </t>
  </si>
  <si>
    <t>3923L</t>
  </si>
  <si>
    <t>MTBE (Drum)</t>
  </si>
  <si>
    <t>48L</t>
  </si>
  <si>
    <t>n-heptane</t>
  </si>
  <si>
    <t>EA (Tank farm)</t>
  </si>
  <si>
    <t>161L</t>
  </si>
  <si>
    <t xml:space="preserve">Drum </t>
  </si>
  <si>
    <r>
      <t>N</t>
    </r>
    <r>
      <rPr>
        <vertAlign val="subscript"/>
        <sz val="11"/>
        <color theme="1"/>
        <rFont val="Calibri"/>
        <family val="2"/>
        <scheme val="minor"/>
      </rPr>
      <t>2</t>
    </r>
  </si>
  <si>
    <t>Filter Dryer</t>
  </si>
  <si>
    <t>BAG Continuous Liner 14"x30' AF116</t>
  </si>
  <si>
    <t>EA</t>
  </si>
  <si>
    <t>APPX-426413</t>
  </si>
  <si>
    <t>Drum</t>
  </si>
  <si>
    <t>PCNTR Polyethylene 6 MIL 24"X30"</t>
  </si>
  <si>
    <t>7494L</t>
  </si>
  <si>
    <t>MTBE</t>
  </si>
  <si>
    <t>A2</t>
  </si>
  <si>
    <t>Process BOM - Step A2</t>
  </si>
  <si>
    <t>Cleaning BOM - A2 batch cleaning</t>
  </si>
  <si>
    <t>Cleaning BOM - Post Step A2 Cleaning</t>
  </si>
  <si>
    <t>981 DSI Step A2 PR-044 ASM (Grace SM)</t>
  </si>
  <si>
    <t>Reactor 54311</t>
  </si>
  <si>
    <t>327L</t>
  </si>
  <si>
    <t>36L</t>
  </si>
  <si>
    <t>Step A2 Production</t>
  </si>
  <si>
    <t>138L</t>
  </si>
  <si>
    <t>981 DSM Morpholinoacetic Acid</t>
  </si>
  <si>
    <t>G1</t>
  </si>
  <si>
    <t>3196L</t>
  </si>
  <si>
    <t>981 DSM Morpholinoacetic Acid (WRG)</t>
  </si>
  <si>
    <t>537L</t>
  </si>
  <si>
    <t>CHEM TBTU</t>
  </si>
  <si>
    <t>336L</t>
  </si>
  <si>
    <t>Aq</t>
  </si>
  <si>
    <t>CHEM N,N-Diisopropylethylamine</t>
  </si>
  <si>
    <t>3572L</t>
  </si>
  <si>
    <t>Chem Potassium Hydrogen Carbonate</t>
  </si>
  <si>
    <t>Mix Tank 1 75011</t>
  </si>
  <si>
    <t>800L</t>
  </si>
  <si>
    <t>CHEM Sodium Hydrogen Sulfate Monohydrate</t>
  </si>
  <si>
    <t>THF (drum)</t>
  </si>
  <si>
    <t>Mix Tank2 75012</t>
  </si>
  <si>
    <t>300L</t>
  </si>
  <si>
    <t>CHEM Sodium Bicarbonate USP</t>
  </si>
  <si>
    <t>217L</t>
  </si>
  <si>
    <t>CHEM Tetrahydrofuran, Stabilized w BHT</t>
  </si>
  <si>
    <t xml:space="preserve">Heptane </t>
  </si>
  <si>
    <t>52L</t>
  </si>
  <si>
    <t>Heptane</t>
  </si>
  <si>
    <t>6768L</t>
  </si>
  <si>
    <t>378L</t>
  </si>
  <si>
    <t>THF</t>
  </si>
  <si>
    <t>SOL n-Heptane Bulk Solvent Sub Assem ASM</t>
  </si>
  <si>
    <t>A3</t>
  </si>
  <si>
    <t>Process BOM - Step A3</t>
  </si>
  <si>
    <t>Cleaning BOM - A3 batch cleaning</t>
  </si>
  <si>
    <t>Cleaning BOM - Post Step A3 Cleaning</t>
  </si>
  <si>
    <t>981 DSI Step A3 PR-026 ASM (Grace SM)</t>
  </si>
  <si>
    <t>708L</t>
  </si>
  <si>
    <t>3029L</t>
  </si>
  <si>
    <t>Step A3 Production</t>
  </si>
  <si>
    <t>Reactor 54313</t>
  </si>
  <si>
    <t>384L</t>
  </si>
  <si>
    <t>N-Heptane</t>
  </si>
  <si>
    <t>235L</t>
  </si>
  <si>
    <t>720L</t>
  </si>
  <si>
    <t xml:space="preserve">DCM (Drum) </t>
  </si>
  <si>
    <t>900L</t>
  </si>
  <si>
    <t>CHEM 5% Palladium on Carbon, Wet</t>
  </si>
  <si>
    <t>3151L</t>
  </si>
  <si>
    <t>SOL Methanol Bulk Solvent Sub Assem ASM</t>
  </si>
  <si>
    <t>2000L</t>
  </si>
  <si>
    <t>1812L</t>
  </si>
  <si>
    <t>Hydrogenator 54313</t>
  </si>
  <si>
    <t xml:space="preserve">3567L </t>
  </si>
  <si>
    <t xml:space="preserve">4375L </t>
  </si>
  <si>
    <t>Hydrogenator</t>
  </si>
  <si>
    <t>FLTR Zeta Plus S Series filter cartridge</t>
  </si>
  <si>
    <t>185L</t>
  </si>
  <si>
    <t>N-heptane</t>
  </si>
  <si>
    <t>FLTR Duoline Dispo Needlefelt PTFE</t>
  </si>
  <si>
    <t>DCM</t>
  </si>
  <si>
    <t>Drums</t>
  </si>
  <si>
    <t>14122L</t>
  </si>
  <si>
    <t xml:space="preserve">Tank Farm </t>
  </si>
  <si>
    <t>GAS Hydrogen Ultra Pure (Rack)</t>
  </si>
  <si>
    <t>555L</t>
  </si>
  <si>
    <t>B</t>
  </si>
  <si>
    <t>Process BOM - Step B</t>
  </si>
  <si>
    <t>Cleaning BOM - B batch cleaning</t>
  </si>
  <si>
    <t>Cleaning BOM - Post Step B Cleaning</t>
  </si>
  <si>
    <t>981 DSI Step B PR-024 ASM (Grace SM)</t>
  </si>
  <si>
    <t>Acetone (Tank Farm)</t>
  </si>
  <si>
    <t>264L</t>
  </si>
  <si>
    <t>Step B Production</t>
  </si>
  <si>
    <t>DCM (Drum)</t>
  </si>
  <si>
    <t>600L</t>
  </si>
  <si>
    <t>Acetone (drum)</t>
  </si>
  <si>
    <t>981 DSM Boc-Leu-keto-epoxide Grace</t>
  </si>
  <si>
    <t>Ethyl Acetate (drum)</t>
  </si>
  <si>
    <t>CHEM Trifluoro Acetic Acid</t>
  </si>
  <si>
    <t>1690L</t>
  </si>
  <si>
    <t>Chem Dichloromethane</t>
  </si>
  <si>
    <t>2328L</t>
  </si>
  <si>
    <t>540L</t>
  </si>
  <si>
    <t xml:space="preserve">Acetone </t>
  </si>
  <si>
    <t>1250L</t>
  </si>
  <si>
    <t>4526L</t>
  </si>
  <si>
    <t>213L</t>
  </si>
  <si>
    <t>27L</t>
  </si>
  <si>
    <t>Tank farm</t>
  </si>
  <si>
    <t>6216L</t>
  </si>
  <si>
    <t>C</t>
  </si>
  <si>
    <t>Process BOM - Step C</t>
  </si>
  <si>
    <t>Cleaning BOM - C1 to C2 batch cleaning</t>
  </si>
  <si>
    <t>Cleaning BOM - Post Step C Cleaning</t>
  </si>
  <si>
    <t>981 DS Step C ASM (Grace SM)</t>
  </si>
  <si>
    <t>MEK (Drum)</t>
  </si>
  <si>
    <t xml:space="preserve">60L </t>
  </si>
  <si>
    <t>37L</t>
  </si>
  <si>
    <t>Step C Production</t>
  </si>
  <si>
    <t>360L</t>
  </si>
  <si>
    <t>139L</t>
  </si>
  <si>
    <t>3100L</t>
  </si>
  <si>
    <t>981 DS CML</t>
  </si>
  <si>
    <t>MEK</t>
  </si>
  <si>
    <t>60L</t>
  </si>
  <si>
    <t>Ethyl Acetate (tank farm)</t>
  </si>
  <si>
    <t>2314L</t>
  </si>
  <si>
    <t>981 DS ASM</t>
  </si>
  <si>
    <t>179L</t>
  </si>
  <si>
    <t>3149L</t>
  </si>
  <si>
    <t>CHEM HBTU</t>
  </si>
  <si>
    <t>Cleaning BOM - C2 to C1 batch cleaning</t>
  </si>
  <si>
    <t>2712L</t>
  </si>
  <si>
    <t>CHEM HOBT</t>
  </si>
  <si>
    <t>247L</t>
  </si>
  <si>
    <t>DMF (Drum)</t>
  </si>
  <si>
    <t>FLTR Ultradyne Filter Cartridge - 0.4 μm</t>
  </si>
  <si>
    <t>Ethyl Acetate (Tank farm)</t>
  </si>
  <si>
    <t>4374L</t>
  </si>
  <si>
    <t>CHEM N, N-Dimethylformamide</t>
  </si>
  <si>
    <t>152L</t>
  </si>
  <si>
    <t>CHEM Methyl Ethyl Ketone (2-Butanone)</t>
  </si>
  <si>
    <t>DMF</t>
  </si>
  <si>
    <t>ho</t>
  </si>
  <si>
    <t>416L</t>
  </si>
  <si>
    <t>318L</t>
  </si>
  <si>
    <t>5026L</t>
  </si>
  <si>
    <t>10623L</t>
  </si>
  <si>
    <t>EXEF-144380</t>
  </si>
  <si>
    <t>339L</t>
  </si>
  <si>
    <t>38L</t>
  </si>
  <si>
    <t>556L</t>
  </si>
  <si>
    <t>Misc. Solvent Usage</t>
  </si>
  <si>
    <t>MeOH consumption</t>
  </si>
  <si>
    <t>Dispensing iso cleaning</t>
  </si>
  <si>
    <t>220214Z</t>
  </si>
  <si>
    <t>Average</t>
  </si>
  <si>
    <t>220211W</t>
  </si>
  <si>
    <t>210812Y</t>
  </si>
  <si>
    <t>FD iso cleaning</t>
  </si>
  <si>
    <t>220103Z</t>
  </si>
  <si>
    <t>211124Z</t>
  </si>
  <si>
    <t>211029Z</t>
  </si>
  <si>
    <t>Before</t>
  </si>
  <si>
    <t>After</t>
  </si>
  <si>
    <t>Consumption</t>
  </si>
  <si>
    <t>DSP Pack Out</t>
  </si>
  <si>
    <t>DS Packout ADL Bag - BOM</t>
  </si>
  <si>
    <t>DS Packout ADL Bag</t>
  </si>
  <si>
    <t>981 DS ASM Grace ADL Bag</t>
  </si>
  <si>
    <t>ADL Bag DS Packout </t>
  </si>
  <si>
    <t>Dispensing &amp; Packout</t>
  </si>
  <si>
    <t>BAG API DOVERPAC SF, 15L, WELOC 4</t>
  </si>
  <si>
    <t>DS Packout Patheon Bag - BOM</t>
  </si>
  <si>
    <t>DS Packout Patheon Bag</t>
  </si>
  <si>
    <t>981 DS ASM Grace Patheon Bag</t>
  </si>
  <si>
    <t>Patheon Bag DS Packout</t>
  </si>
  <si>
    <t>References</t>
  </si>
  <si>
    <t>Reference standards required by QC to support Carfilzomib</t>
  </si>
  <si>
    <t>Step A1</t>
  </si>
  <si>
    <t>Type of Ref std</t>
  </si>
  <si>
    <t>Step B</t>
  </si>
  <si>
    <t>IPC 1.0 DSI Release</t>
  </si>
  <si>
    <t>PR-042 Reference Standard</t>
  </si>
  <si>
    <t xml:space="preserve">IPC 1.0 / DSI Release </t>
  </si>
  <si>
    <t>PR-016 Reference Standard</t>
  </si>
  <si>
    <t>PR-043 Reference Standard</t>
  </si>
  <si>
    <t>PR-024 Reference Standard</t>
  </si>
  <si>
    <t>PR-044 Reference Standard</t>
  </si>
  <si>
    <t>PR-026 Reference Standard</t>
  </si>
  <si>
    <t>Step C</t>
  </si>
  <si>
    <t>Step A2</t>
  </si>
  <si>
    <t>IPC 1.0 / 2.0 and DSI Release</t>
  </si>
  <si>
    <t>Carfilzomib Drug Substance Reference Standard</t>
  </si>
  <si>
    <t>PR-059425 Reference Standard</t>
  </si>
  <si>
    <t xml:space="preserve">PR-187 Reference Standard </t>
  </si>
  <si>
    <t>CRM 1, Certified Reference Material (CRM) standard solution</t>
  </si>
  <si>
    <t>Step A3</t>
  </si>
  <si>
    <t>CRM 2, Certified Reference Material (CRM) standard solution</t>
  </si>
  <si>
    <t xml:space="preserve">CRM 3, Certified Reference Material (CRM) standard solution </t>
  </si>
  <si>
    <t>CRM 3, Certified Reference Material (CRM) standard solution</t>
  </si>
  <si>
    <t>Tank Levels</t>
  </si>
  <si>
    <t>S/No</t>
  </si>
  <si>
    <t>Date of risk logged</t>
  </si>
  <si>
    <t>Risk descriptions</t>
  </si>
  <si>
    <t>Impact</t>
  </si>
  <si>
    <t>Mitigation action</t>
  </si>
  <si>
    <t>Target completion date</t>
  </si>
  <si>
    <t>Owner</t>
  </si>
  <si>
    <t>Status</t>
  </si>
  <si>
    <t>Comments</t>
  </si>
  <si>
    <r>
      <t>Contract lab (Helsin) not able to re-qualify reference standard (PR-026) on time before it expires end APR due to COVID.</t>
    </r>
    <r>
      <rPr>
        <sz val="11"/>
        <color rgb="FFFF0000"/>
        <rFont val="Calibri"/>
        <family val="2"/>
        <scheme val="minor"/>
      </rPr>
      <t xml:space="preserve"> </t>
    </r>
  </si>
  <si>
    <t>PR-026 re-qualification is needed for IPC and release testing for all process steps (except Step B). May have to stop production if we do not have qualified reference standard</t>
  </si>
  <si>
    <t>1) ASM QC with support from AS/ASTL will perform the re-qualification before dxpiry
2) Alcami may be able to provide non-expiring PR-026 RS</t>
  </si>
  <si>
    <t>Michelle</t>
  </si>
  <si>
    <t>Completed</t>
  </si>
  <si>
    <t xml:space="preserve">[1Apr] Jason updated that Alcami is shipping non-expiring PR-026 RS and he'll update once it is delivered. Meanwhile, QC will continue to perform re-qual at ASM as plan.
[15Apr] PR-026 received </t>
  </si>
  <si>
    <t>Scrubber pH probe alarms</t>
  </si>
  <si>
    <t>Hold process recipe, may disrupt production</t>
  </si>
  <si>
    <t>F&amp;E to rectify the pH probe before Step C</t>
  </si>
  <si>
    <t>Alex</t>
  </si>
  <si>
    <t xml:space="preserve">Supply of new FD and dispensing isolator Gloves not available from supplier due to COVID. Current spare gloves in WH are expired. </t>
  </si>
  <si>
    <t>In event of torn gloves currently in use at FD and dispensing, we can't replace with the expired spare gloves, impact to production.</t>
  </si>
  <si>
    <t xml:space="preserve">1) SC to follow up with other Amgen sites if they have same gloves to deliver to ASM 
2) Arun to set-up meeting to explore the using of expired gloves with QA, EHS, SC, Mfg, FE </t>
  </si>
  <si>
    <t>1) Edwin
2) Arun</t>
  </si>
  <si>
    <t xml:space="preserve">[7Apr] To use the new non anti-static gloves via equivalent form by Arun (assessment in progress) </t>
  </si>
  <si>
    <t>Methanol fail GC test OOS during annual FAS testing, pending lab investigations</t>
  </si>
  <si>
    <t>May affect Methanol release for production if it moves back to FAS (takes ~22 days for testing). No impact for now, pending lab investigations</t>
  </si>
  <si>
    <t>If true OOS, SC to bring in 3 unique lots (Lot02, Lot03, Lot04) from the supplier in drums for FAS testing</t>
  </si>
  <si>
    <t>[8Apr] Discussions with contract lab in progress to determine OOS
[16Apr] Per the lab investigation, the initial OOS result obtained by contact lab (ELLI) was due to equipment error. Single repeat testing has been performed yesterday and the preliminary result obtained (100.4%) meets the Specification of NLT 99.5%. r.</t>
  </si>
  <si>
    <t>Benzene specs in Methanol</t>
  </si>
  <si>
    <t>1) Draining of Methanol bulk tank
2) Affect Canada filing</t>
  </si>
  <si>
    <t>Complete Specs for bulk Methanol
Laise with Supplier to include Benzene test</t>
  </si>
  <si>
    <t>Edwin/PJ</t>
  </si>
  <si>
    <t>[03Jun] Specs revised and RMS update pending. Once RMS approved, then Methanol draining can be performed. Longer request lead time in the future (To schedule 1 week in advance. Supplier takes 3 days to test.)</t>
  </si>
  <si>
    <t>n-Heptane delivery only in Oct 2021 (Manufacturer restart plant only in 31 Jul 2021)</t>
  </si>
  <si>
    <t>Affect B campaign, tentatively scheduled in 12 Jul 2021</t>
  </si>
  <si>
    <r>
      <t xml:space="preserve">1) PJ to contact alternative qualified supplier (same n-heptane manufacturer)
2) Manufacturing to calculate if current qty in tank is sufficient (bypass interlock 1400L) - EHSS engagement is req
3) Run only 1 lot of A2&gt;A3 (deplete safety stock)
4) Qualify alternative source (alternative source req PD assessment on cryst. etc) - PJ
</t>
    </r>
    <r>
      <rPr>
        <b/>
        <sz val="11"/>
        <color theme="1"/>
        <rFont val="Calibri"/>
        <family val="2"/>
        <scheme val="minor"/>
      </rPr>
      <t>5) Leverage on existing supplier from network (Helsinn source from Italy)</t>
    </r>
    <r>
      <rPr>
        <sz val="11"/>
        <color theme="1"/>
        <rFont val="Calibri"/>
        <family val="2"/>
        <scheme val="minor"/>
      </rPr>
      <t xml:space="preserve"> - this option in progress</t>
    </r>
  </si>
  <si>
    <t>PJ/ Wilson</t>
  </si>
  <si>
    <t>14Apr2021: PJ to approach GSS for sourcing support
21Apr2021: Qual of new supplier in progress
28Apr2021: OP A - Supply from Helsinn, source from Italy (less critical change) OP B - Qual of new supplier SK Chemicals, source from Korea | Clarification from PD that process risk has been assessed based on Helsinn mfg process (low risk)
05May21: No further updates from what we already know (regulatory confirmed that for Italy source its Level 1 non reportable change so less/no impact)
12May2021: Supplier change  to Italy source to be initiated first then CC can be raised by ASM (17May - technical team will feedback). Timeline still unknown/ arrival date. Clarification that there is no change in method of loading (drums &gt; Tee Hai &gt; isotanker)
19 May 2021: Third week of June target closure of CC, PO raised for shipment of heptane from Italy. CUT OFF date for delivery is post Step A3 cleaning, 05 Jul 2021
27 May 2021: Target date for n-heptane delivery on 09 Jul 2021 (AAS testing), date may be earlier pending RM meeting
02 Jun 2021: Fuji oil pending delivery in end June (Italy source as backup)
09 Jun 2021: 02 Jul 2021 expect delivery from fuji oil, 09 Jul 2021 worse case from Italy</t>
  </si>
  <si>
    <t>New packaging for TFA (1L) not ready, existing 0.5L bottle available only (sufficient for B-2 and B-3)</t>
  </si>
  <si>
    <t>Safety/ ergonomic concerns, current packaging is approx 300mL (filtered by manufacturer)</t>
  </si>
  <si>
    <t>Further clarity required</t>
  </si>
  <si>
    <t>Wilson</t>
  </si>
  <si>
    <t>MTBE updated delivery date</t>
  </si>
  <si>
    <t>Impacts B campaign, tentatively scheduled to start on 12 Jul 2021</t>
  </si>
  <si>
    <t>No mitigation action required as A2-7 and A3-7 was planned to extend campaign</t>
  </si>
  <si>
    <t>Ma Lan</t>
  </si>
  <si>
    <t>21Apr2021: ETA SG Port 15 June 2021, material release potentially 1st week of July
28Apr2021: On track. To discuss on A2-5 if we are moving forward with A2-7/ A3-7
12 May 2021: Dispatch was late by 8 days (original 05 May 21, 13 May now) but ETA still same
27 May 2021: ETD 25 May 2021, ETA still 1st week of July 2021
16Jun2021: 28 Jun 2021 to arrive at ASM, still targeted to release material by 1st week of Jul 2021
23Jun2021: 28 Jun 2021 reach SG, targeted to be released on week of 05 Jul 2021
30 Jun 2021: On track for release next week</t>
  </si>
  <si>
    <t>Mix Tank Filter: FEP encap Silicon gasket to Silicon Gasket</t>
  </si>
  <si>
    <t>Affects Step C campaign, tentatively in end Jul/ early August 2021</t>
  </si>
  <si>
    <r>
      <rPr>
        <b/>
        <sz val="11"/>
        <color theme="1"/>
        <rFont val="Calibri"/>
        <family val="2"/>
        <scheme val="minor"/>
      </rPr>
      <t>Option A (To silicon gasket, no self install of encap gasket): Not BOM, require PD assessment to justify usage of new Mix Tank filter. To handle similar to sampling scoop. Material assessment by PD. Not ZR01 item therefore no CC required.</t>
    </r>
    <r>
      <rPr>
        <sz val="11"/>
        <color theme="1"/>
        <rFont val="Calibri"/>
        <family val="2"/>
        <scheme val="minor"/>
      </rPr>
      <t xml:space="preserve">
Option B (To silicon gasket, self install of encap gasket)</t>
    </r>
  </si>
  <si>
    <t>PJ</t>
  </si>
  <si>
    <r>
      <t xml:space="preserve">28Apr2021: Any concerns on NaHSO4 compatibility with Silicon? (Next campaign impact, not current campaign)
</t>
    </r>
    <r>
      <rPr>
        <sz val="11"/>
        <rFont val="Calibri"/>
        <family val="2"/>
        <scheme val="minor"/>
      </rPr>
      <t>05May2021: Pending PD assessment. Filter stock already reached Singapore Pall Warehouse - waiting for delivery instruction. Ryan to follow up with PD to gather assessment + deliverables</t>
    </r>
    <r>
      <rPr>
        <sz val="11"/>
        <color rgb="FFFF0000"/>
        <rFont val="Calibri"/>
        <family val="2"/>
        <scheme val="minor"/>
      </rPr>
      <t xml:space="preserve">
</t>
    </r>
    <r>
      <rPr>
        <sz val="11"/>
        <rFont val="Calibri"/>
        <family val="2"/>
        <scheme val="minor"/>
      </rPr>
      <t xml:space="preserve">12 May 2021: </t>
    </r>
    <r>
      <rPr>
        <sz val="11"/>
        <color theme="1"/>
        <rFont val="Calibri"/>
        <family val="2"/>
        <scheme val="minor"/>
      </rPr>
      <t>SAP material creation required to bring in material (S/C side), documentation of compatibility assessment &gt; PJ to reach out to Delphine first and keep ket stakeholders in the loop
19 May 2021: Maximo/ CE - pending TQA input
27 May 2021: PJ to follow up with Ryan 
02 Jun 2021: Alignment meeting on 01 Jun 2021, AAE WO to be raised - Ryan to follow up on action
09 Jun 2021: PJ to follow up material compatibility documentation - to check in next week
16 Jun 2021: FORM-457426 per PJ's email may not be the right documentation
23 Jun 2021: Manufacturing (Wilson) will be raising CE
30 Jun 2021: SAP reference to material compatibility cannot be done, to document material compatibility in APPX for consumables. Item will be closed as material release is no longer an issue. Compatibility documentation not within scope of tracker.</t>
    </r>
  </si>
  <si>
    <t>Only 4 catalyst filter in stock, require 6 pcs for A3 campaign. Require last 2 pcs by end of June.</t>
  </si>
  <si>
    <t>Impacts A3-6 on 05 Jul 2021</t>
  </si>
  <si>
    <t>No mitigation required as filter is on track for arrival. Item left to track for status updates.</t>
  </si>
  <si>
    <r>
      <t xml:space="preserve">05May21: 4 units (more than sufficient coz MFG only req 2 pcs for this campaign) to be delivered by end May, target release date 01 June 2021. MFG requires filter by 01 Jul 2021. </t>
    </r>
    <r>
      <rPr>
        <sz val="11"/>
        <color rgb="FFFF0000"/>
        <rFont val="Calibri"/>
        <family val="2"/>
        <scheme val="minor"/>
      </rPr>
      <t xml:space="preserve">
</t>
    </r>
    <r>
      <rPr>
        <sz val="11"/>
        <rFont val="Calibri"/>
        <family val="2"/>
        <scheme val="minor"/>
      </rPr>
      <t>12 May 2021: Purchased 4 pcs of cat filter - good for next A3 campaign</t>
    </r>
  </si>
  <si>
    <t xml:space="preserve">Interim: Inventory status of HOBT &amp; TBTU in ASM2 Cold Room </t>
  </si>
  <si>
    <t>Per SDS, HOBT and TBTU are considered flammable material and are required by Amgen Corporate EHSS to upgrade room/ limit inventory</t>
  </si>
  <si>
    <t>Within 113kg limit (derived from 250 lbs given by the regulatory standard NFPA 400)</t>
  </si>
  <si>
    <t>TBD</t>
  </si>
  <si>
    <t>Ma Lan/ Leslie</t>
  </si>
  <si>
    <t>In progress</t>
  </si>
  <si>
    <t>09Jun2021: Inventory within limits
16Jun2021: Inventory within limits, Ryan to provide date for 'permanent' solution next week
23Jun2021: Inventory within limits
30Jun2021: Inventory within limits
07Jul2021: Inventory within limits
14Jul2021: Inventory within limits
21Jul2021: Inventory within limits
28 Jul 2021: Inventory within limits
11Aug2021: Inventory within limits
18Aug2021: Inventory within limits
25Aug2021: Inventory within limits
08Sep2021: Inventory within limits
15Sep2021: Inventory within limits
22Sep2021: Inventory within limits
29 Sep 2021: Inventory within limits
06Oct 2021: Inventory within limits (25.4kg)
13Oct2021: Inventory within limits (25.4kg)
20Oct2021: Inventory within limits (25.4kg) 
27Oct2021: Inventory within limits (18.5kg)
03Nov2021: Inventory within limits (18.5 kg)
10Nov2021:  Inventory within limits (18.5 kg)
17Nov2021:  Inventory within limits (18.9 kg)
01Dec2021:  Inventory within limits (35 kg)
08Dec2021: Inventory within limits (35 kg)
15Dec2021: Inventory within limits (35kg)
22Dec2021: Inventory within limits (35kg)
29Dec2021: Inventory within limits (35kg)
5Jan2022: Inventory within limits (35kg)
12Jan2022: Inventory within limits (35kg)
19Jan2022: Inventory within limits (35kg)
26Jan2022: Inventory within limits (35kg)
04Feb2022: Inventory within limit (35kg)
09Feb2022: Inventory within limit (35kg)
16Feb2022: Inventory within limits (35kg)
23Feb2022: Inventory within limits (35kg)
02Mar2022: Inventory within limits (35kg)
09Mar2022: Inventory within limits (0kg)
16Mar2022: Inventory within limits (35kg)
23Mar2022: Inventory within limits (35kg)
31Mar2022: Inventory within limits (35kg)
06 Apr 2022: Inventory within limits (7.2 kg)
13 Apr 2022: Inventory within limits (7.2 kg)
20 Apr 2022: Inventory within limits (7.2kg)
27 Apr 2022: Inventory within limits (7.2kg)
04 May 2022: Inventory within limits (7.2kg)
11 May 2022: Inventory within limits (5.5kg)
18 May 2022: Inventory within limits (5.5kg)
25 May 2022: Inventory within limits (15.6kg)</t>
  </si>
  <si>
    <t>Rx 2 PM date</t>
  </si>
  <si>
    <t>Minor impact to production schedule</t>
  </si>
  <si>
    <t>Options evaluation, awating confirmation from Arun (System Owner):
Option 1: Rx2 PMCAL after A1 campaign
Proposed date of PMCAL for this option: End Aug
Option 2: Postpone Rx 2 PMCAL to after A2 campaign
Proposed date of PMCAL for this option: Start of Oct</t>
  </si>
  <si>
    <t>Arun</t>
  </si>
  <si>
    <t>28 Jul 2021: Only 1 WO affected, will be extended to Oct</t>
  </si>
  <si>
    <t xml:space="preserve">Heat exchanger PM date window required - hot work involved </t>
  </si>
  <si>
    <t>Cannot be performed during mfg operations as hot work is involved</t>
  </si>
  <si>
    <t>1) To perform during 2 week window 06Aug2021 - 15 Aug 2021 (suggested 10-13Aug2021)</t>
  </si>
  <si>
    <t>Ramon</t>
  </si>
  <si>
    <t>Dispensing isolator drum chamber inflatable seal</t>
  </si>
  <si>
    <t>Impact dispensing activities</t>
  </si>
  <si>
    <t>Currently an inflatable seal of another port is fixed on the drum chamber but since it is not made for the drum loading port</t>
  </si>
  <si>
    <t>15Sep2021: PO raised and seal scheduled for delivery end Oct 2021
20Oct2021: Seal already received, pending installation of seal (WO to be scheduled)</t>
  </si>
  <si>
    <t xml:space="preserve">TR-512746 (Elevated DMF/ MEK in IPC sample) outstanding actions </t>
  </si>
  <si>
    <t>Y2021 C-2 start date</t>
  </si>
  <si>
    <t>Hypercare activities are:
- Pre-campaign flushing
- Internal check of critical valves e.g. XV-112</t>
  </si>
  <si>
    <r>
      <rPr>
        <b/>
        <sz val="11"/>
        <color theme="1"/>
        <rFont val="Calibri"/>
        <family val="2"/>
        <scheme val="minor"/>
      </rPr>
      <t>To be discussed on 10 Nov 21:</t>
    </r>
    <r>
      <rPr>
        <sz val="11"/>
        <color theme="1"/>
        <rFont val="Calibri"/>
        <family val="2"/>
        <scheme val="minor"/>
      </rPr>
      <t xml:space="preserve"> Start date of Y2021 C-4 to be brought forward to 22 Nov</t>
    </r>
  </si>
  <si>
    <t>Overall schedule brought forward by one week:
- Non-routine protocol to be ready by 30 Nov 2021</t>
  </si>
  <si>
    <t>N/A</t>
  </si>
  <si>
    <t>Stagger to be implemented only for 2022 campaign</t>
  </si>
  <si>
    <t xml:space="preserve">Current DMF inventory not sufficient to support C-4 on 29 Nov 2021. </t>
  </si>
  <si>
    <t>Potential delay to start of C-4 due to DMF inavailability.</t>
  </si>
  <si>
    <t>1) Immediate action: SC to expedite the delivery
2) CAPA: SC to review their inventory estimation and forecast (refer to BOM tab for qty requirement). SC to create Dummy order to account for misc. e.g. batch cleaning, pre-campaign activities</t>
  </si>
  <si>
    <t>Ryan</t>
  </si>
  <si>
    <t>01Dec: worst case ETA 6 Dec 
06 Dec: Arrived</t>
  </si>
  <si>
    <t>Retest of Step B DSI can only extend for 30days</t>
  </si>
  <si>
    <t>Retested DSI expires before use in mid Mar 2022
09Mar2022: Retest of Step B DSI may be needed depending on Step C 2022 start date</t>
  </si>
  <si>
    <t>Need to retest again in Feb 2022</t>
  </si>
  <si>
    <t>Jasmine</t>
  </si>
  <si>
    <r>
      <t xml:space="preserve">Possible to terminate re-eval form. New form to be raised. Will be tested on Jan/Feb 2022
No change to start of Step C. 
Retest on 3 Feb, QC testing and review by 21 Feb, material issued by 9 Mar
As per 9 Feb2022,
MFG sampled on/by 11 Feb 2022
QC testing date to be confirmed, Schedule dependent on MEK and DMF arrival (2 days from 14 Feb at most)
QC needs the proposed expiry date, testing on week of 21. Update to QC on week of 21 FEB, check with Jasmine
Expiry: 8 April
Expected use: 4 April (Step C Grace) 
23Mar2022: Potential for TR538364 to delay the start of Step C. Actions to be discussed tomorrow.
Updates 06 Apr 2022: Retest activities to start on 11 Apr 2022 and complete by 06 May 2022
</t>
    </r>
    <r>
      <rPr>
        <b/>
        <sz val="11"/>
        <color theme="1"/>
        <rFont val="Calibri"/>
        <family val="2"/>
        <scheme val="minor"/>
      </rPr>
      <t>Updates 27 Apr 2022:</t>
    </r>
    <r>
      <rPr>
        <sz val="11"/>
        <color theme="1"/>
        <rFont val="Calibri"/>
        <family val="2"/>
        <scheme val="minor"/>
      </rPr>
      <t xml:space="preserve"> Step B PR-024 DSI extended from 08Apr2022 to 21May2022 (i.e. expires on 21 May 2022)</t>
    </r>
  </si>
  <si>
    <t xml:space="preserve">Current Dipea inventory not sufficient to support C-4 on 29 Nov 2021 </t>
  </si>
  <si>
    <t>Potential delay to start of C-4 due to Dipea inavailability.</t>
  </si>
  <si>
    <t>1) Immediate action: SC to liase with ARI to expedite FAS testing by 26 Nov 2021 (done)
2) CAPA: SC and Mfg to find out cause for the disccrepancy i.e. required vs actual imventory</t>
  </si>
  <si>
    <t>Sara / Ryan</t>
  </si>
  <si>
    <t>01Dec: Cause for discrepancy: didn't account for heel loss &amp; consumption for cleaning/pre-campaign flushing. To include all these + safety stock (2 drums)</t>
  </si>
  <si>
    <t>Top up of solvent bulk tanks, need to consider shutdown after Mar 2022 and 2 years expiry</t>
  </si>
  <si>
    <t>Wastage of solvent, etc</t>
  </si>
  <si>
    <t>Review solvent usage till end of CFZ campaign in Mar 2022 and minimize top-up to avoid wastage</t>
  </si>
  <si>
    <t>PJ / Ryan / Wilson</t>
  </si>
  <si>
    <t>01Dec: 6000L Ethyl Acetate (to top-up w/c 13Dec), no top-up for Heptane and actone. Need to assess Methanol consumption</t>
  </si>
  <si>
    <t>H2 delivery for A3 - prefer 1 rack due to safety/space concern</t>
  </si>
  <si>
    <t>Before A3 on 27-Dec</t>
  </si>
  <si>
    <t>Additional support for 2 cylinders as spare (need different material number?) Need to assess. 
Installation of wall bracket to be done</t>
  </si>
  <si>
    <t>Leslie</t>
  </si>
  <si>
    <t xml:space="preserve">To be implemented in 2023. 2 racks available. Need to install wall bracket. Material number is the same. Part number is different.
Provision needed for storage location and wall bracket.  Discussion needed on how it appears in inventory. </t>
  </si>
  <si>
    <t>Chemical Canister failed EVI</t>
  </si>
  <si>
    <t>Batch disposition</t>
  </si>
  <si>
    <t xml:space="preserve">Boroscope on 22 Dec </t>
  </si>
  <si>
    <t>Investigation found debris in the canister nozzle. Xinghua to analyse the debris by 28 Dec. Assesment on impact. Batch dispo potentially impacted for last 3 lots Step C. No impact to start A3. NC raised</t>
  </si>
  <si>
    <t>Seed packout</t>
  </si>
  <si>
    <t>2022 Step C</t>
  </si>
  <si>
    <t>Decision on which batch to use. By end of Jan. Likely using older batch
Packout and release takes 2 weeks, required for 2nd batch of C 2022 onwards. Confirmed to be using older batch. MFG to packout on 18 Feb
Pending dispo.</t>
  </si>
  <si>
    <t>QC manpower shortage during A3-6</t>
  </si>
  <si>
    <t>Delay in IPC Testing for IPC2.0</t>
  </si>
  <si>
    <t>Wilson and Sara to discuss and decide. 2.0 on Thursday. 2.1 on Monday</t>
  </si>
  <si>
    <t xml:space="preserve">To confirm delivery of B materials and PO </t>
  </si>
  <si>
    <t>arrival on 22 Feb</t>
  </si>
  <si>
    <t>To confirm date of Swab familiarization</t>
  </si>
  <si>
    <t xml:space="preserve">Dependent on start of A3-5. Plan is still to do after A3. </t>
  </si>
  <si>
    <t>DMF quantity insufficient to run Step C</t>
  </si>
  <si>
    <t>Start of Step C 2022</t>
  </si>
  <si>
    <t>Additional hypercare on quantity by Manufacturing during production as ordered quantity is barely sufficient</t>
  </si>
  <si>
    <t>Expected to arrive 18 March 
To confirm arrival by week of 14Feb
AAS by 20 March
In case FAS triggered, 8 Apr expected release
Confirmed by week of 14 Feb
DAI on first week of March
Decision pending on Start of Step C 2022
Trying to reach out to contract manufacturer for spare DMF and MEK
Update 15 Mar 2022: S/C will be able to confirm the arrival date of DMF next planning meeting
Update 23Mar2022: DMF will arrive SG 24 Mar 2022. Expected arrival to ASM is 28 Mar 2022. (3 x drums AAS testing). Expected arrival can support C-2 and C-3.
Update 31Mar2022: DMF received did not have tamper-free evidence seal. Earliest possible date arrival still finalizing, tentative end Apr (not confirmed).
Update 06 Apr 2022: no change, tentative end Apr
Update 13 Apr 2022: More details on delivery date on 14 Apr 2022
Update 20 Apr 2022: 23 May 2022
Update 27 Apr 2022: Will request for photographic evidence of tamper-evidence seal. Ship date is 29 Apr 2022 (2 drums). Arrival timeline TBD, but normally 2 weeks' arrival approx 13 May 2022 (1 drum can be released first, sufficient for prod)
Update 04 May 2022: Shipped out on 29 Apr 2022
Update 11 May 2022: Arrival estimated on 11 May 2022 (delayed, will arrive on 12 May 2022, tmr)</t>
  </si>
  <si>
    <t>MEK quantity has no safety margin, quantity is just enough</t>
  </si>
  <si>
    <t>Only needed for 3rd batch. 
Expected arrival in ASM on 14 March (best case) (AAS by 30 March)
DAI on first week of March
Decision pending on Start of Step C 2022
Trying to reach out to contract manufacturer for spare DMF and MEK
Expected release on 1st or 2nd week of May
Update 15 Mar 2022: Expected arrival 29 Mar 2022
Update 23 Mar 2022: 4 drums MEK arrived on site. Pending release by QA. Supply is sufficient for C campaign, C1 to C-3.
Update 31 Mar 2022: 4 drums of MEK released by QA. 1 MEK drum will arrive 13 Apr 2022 (FAS testing), to be released early May. 4 drums just sufficient of 3 batches of Step C.</t>
  </si>
  <si>
    <t>Non-routine Step C (Grace) to Step C (Helsinn) cleaning</t>
  </si>
  <si>
    <t>Impacts start of Step C (Helsinn)</t>
  </si>
  <si>
    <t>Delay start of Step C (Helsinn) batches</t>
  </si>
  <si>
    <t>Choo/ Terence Lum/ Salih</t>
  </si>
  <si>
    <t>- Expected protocol execution (will be approved before): 11 Apr 2022
- Try to push for 07 Apr 2022 approval
- Samples expected Carfilzomib Reactor 1 &amp; 2 RD, RS, Chemical canister RS, FD RD, reagent line RS
Update 23Mar2022: Jasmine to schedule meeting to discuss the sequence of C batches and whether if non-routine cleaning can be avoided.
Updated 06 Apr 2022: Protocol draft ready, lead time of 1 week in advance required to 'approved'
Update 20 Apr 2022: To be approved 16 May 2022
Update 27 Apr 2022: Protocol in CDOCS for review, on track. Target approval 06 May 2022.
Update 04 May 2022: Target approval 06 May 2022, or latest early next week 09 May 2022
Update 11 May 2022: Target approval 13 May 2022
Update 18 May 2022: Addendum to gate release of equipment and start of Step C bx-2
Update 25 May 2022: Addendum approved and issued</t>
  </si>
  <si>
    <t>Retest of Carfilzomib DS (Grace)</t>
  </si>
  <si>
    <t>Impacts supply to ADL</t>
  </si>
  <si>
    <t>Not Required</t>
  </si>
  <si>
    <t>- MFG to sample Carfilzomib DS (Grace) on Tuesday, 22 Mar 2022 and pass sample to QC
- QC ready to receive samples</t>
  </si>
  <si>
    <t>Due to safety incident on 15 Mar 2022, "return to service" for impacted equipment prior to start of Step C (Grace) production</t>
  </si>
  <si>
    <t>Step C (Grace) production</t>
  </si>
  <si>
    <t>Return to service by MFG to be performed</t>
  </si>
  <si>
    <t>To confirm if Step C (Senn/ Helsinn) i.e. C-2 will be using recently produced B-1 B-2 Y2022 lots</t>
  </si>
  <si>
    <t>Step C (Senn/ Helsinn) production</t>
  </si>
  <si>
    <t>14 kg of PR-024 in the inventory, sufficient. No need to use B-1/ B-2 lots</t>
  </si>
  <si>
    <t>Bulk solvent to be emptied due to expiry. Methanol bulk tank emptying due on 28 Jun 2022 and hence all post C cleaning have to be completed by this date, otherwise MeOH bulk tank have to be emptied and refilled prior.</t>
  </si>
  <si>
    <t>Impact all steps</t>
  </si>
  <si>
    <t>1. F&amp;E to feedback on expiry date
2. Small group created to discuss actions in greater details</t>
  </si>
  <si>
    <t>14912 - 28 Jun 2022 (MeOH)
14913 - 28 Jul 2022
14914 - 28 Aug 2022
14915 - 28 May 2022 (Heptane) - prepping to empty</t>
  </si>
  <si>
    <t>Step C batch 2 and 3 shift structure 
Option A: 24/ 5 days
Option B: 24/ 7 days</t>
  </si>
  <si>
    <t xml:space="preserve">Impacts Step C </t>
  </si>
  <si>
    <t>Delay start of Step C batches</t>
  </si>
  <si>
    <t>Wilson/ Sara</t>
  </si>
  <si>
    <t>C-2 and C-3 both 24/7</t>
  </si>
  <si>
    <t>Processing Start Date and Time</t>
  </si>
  <si>
    <t>Start Date</t>
  </si>
  <si>
    <t>Insert date here</t>
  </si>
  <si>
    <t>Start Time</t>
  </si>
  <si>
    <t>Insert time here</t>
  </si>
  <si>
    <t>IPC Table</t>
  </si>
  <si>
    <t>IPC Sample Type</t>
  </si>
  <si>
    <t>Anticipated Day</t>
  </si>
  <si>
    <t>Anticipated Time</t>
  </si>
  <si>
    <t>Results</t>
  </si>
  <si>
    <t>Reactor 54312 Sample for Residual Drug (PR-043)</t>
  </si>
  <si>
    <t>Filter Dryer Residual Drug Sample (PR-043)</t>
  </si>
  <si>
    <t>Chemical Canister Sample for Residual Solvent (Acetone in EA)</t>
  </si>
  <si>
    <t>Day Date</t>
  </si>
  <si>
    <t>Start Time
(hr : min)</t>
  </si>
  <si>
    <t>Estimated Process Time
(hr : min)</t>
  </si>
  <si>
    <t>Actual Process Time
(hr : min)</t>
  </si>
  <si>
    <t>Standard Process Time
(hr: min)</t>
  </si>
  <si>
    <t>Cleaning Schedule</t>
  </si>
  <si>
    <t>Notes</t>
  </si>
  <si>
    <t>EtOAC</t>
  </si>
  <si>
    <t>MeOH</t>
  </si>
  <si>
    <t>Organic waste</t>
  </si>
  <si>
    <t>54312-R-1 Post A1 Cleaning</t>
  </si>
  <si>
    <t>Flush of chemical fumehood pump and lance (Water)</t>
  </si>
  <si>
    <t>1st Solvent Rinse of Chemical Canister (Water)</t>
  </si>
  <si>
    <t>2nd Solvent Rinse of Chemical Canister (Water)</t>
  </si>
  <si>
    <t>3rd Solvent Rinse of Chemical Canister (Acetone)</t>
  </si>
  <si>
    <t>Process Solvent Rinse of Chemical Canister (EA)</t>
  </si>
  <si>
    <t>Manual Cleaning of Chemical Canister (Not within recipe)</t>
  </si>
  <si>
    <t>Once Through - Distillate Receiver Cleaning (EA)</t>
  </si>
  <si>
    <t>Bulk Solvent Charge - Flushing of Solvent Manifold (Methanol)</t>
  </si>
  <si>
    <t>Once through (Methanol)</t>
  </si>
  <si>
    <t>Fill and Boil -1</t>
  </si>
  <si>
    <t>Fill and Boil -2</t>
  </si>
  <si>
    <t>Fill and Boil -3</t>
  </si>
  <si>
    <t>Once through w N2 blowdown</t>
  </si>
  <si>
    <t>Vacuum Drying</t>
  </si>
  <si>
    <t>Enhanced Visual inspection</t>
  </si>
  <si>
    <t>Sampling Solvent Charge through sprayball (Methanol)</t>
  </si>
  <si>
    <t>Sample for residual drug (PR-043) &amp; Drain to Org Waste Tank, 6 hours testing time</t>
  </si>
  <si>
    <t>Drying and General Visual Inspection</t>
  </si>
  <si>
    <t>Cleaning Solvent Flushing of Transfer Line (R2 to FD) with Methanol</t>
  </si>
  <si>
    <t>Filter Dryer Post A1 Cleaning</t>
  </si>
  <si>
    <t>Once Through with N2 blowdown (Methanol)</t>
  </si>
  <si>
    <t>1st Fill and Boil</t>
  </si>
  <si>
    <t>2nd Fill and Boil</t>
  </si>
  <si>
    <t>3rd Fill and Boil</t>
  </si>
  <si>
    <t>Wipe down FD Base and Mesh</t>
  </si>
  <si>
    <t xml:space="preserve">Once through w N2 blowdown (Methanol) </t>
  </si>
  <si>
    <t>Enhanced Visual Inspection</t>
  </si>
  <si>
    <t>Final Sample Solvent Rinse</t>
  </si>
  <si>
    <t>Sample for drug substance analysis (in Methanol), 6 hours testing time</t>
  </si>
  <si>
    <t>Sampling of Chemical Canister</t>
  </si>
  <si>
    <t>Chemical Canister Sample (Acetone in EA)</t>
  </si>
  <si>
    <t>Total Process Time (hr:min)</t>
  </si>
  <si>
    <t>Total</t>
  </si>
  <si>
    <t>Total Process Time (days)</t>
  </si>
  <si>
    <t/>
  </si>
  <si>
    <t>Insert Date Here</t>
  </si>
  <si>
    <t>Insert Time Here</t>
  </si>
  <si>
    <t>End Time
(hr: min)</t>
  </si>
  <si>
    <t>Production Schedule</t>
  </si>
  <si>
    <t>Org Waste</t>
  </si>
  <si>
    <t>Reaction Prep: PR-044 Dissolution and transfer to Hydro</t>
  </si>
  <si>
    <t>Reaction Prep: Catalyst Charge &amp; transfer to Hydro</t>
  </si>
  <si>
    <t>Hydrogenolysis</t>
  </si>
  <si>
    <t>IPC1.0: Reaction Conversion</t>
  </si>
  <si>
    <t xml:space="preserve">Catalyst Filtration&amp; Distillation </t>
  </si>
  <si>
    <t>Crystallization</t>
  </si>
  <si>
    <t>Filtration</t>
  </si>
  <si>
    <t>Displacement washes</t>
  </si>
  <si>
    <t>Drying</t>
  </si>
  <si>
    <t>Sampling</t>
  </si>
  <si>
    <t>IPC2.0: Purity, LOD</t>
  </si>
  <si>
    <t>Packout</t>
  </si>
  <si>
    <t>Processing Finish Date and Time</t>
  </si>
  <si>
    <t>Finish Date</t>
  </si>
  <si>
    <t>Equipment Ready for Use</t>
  </si>
  <si>
    <t>Insert time and date here</t>
  </si>
  <si>
    <t>IPC: LOD</t>
  </si>
  <si>
    <t>End Process Time
(hr: min)</t>
  </si>
  <si>
    <t>EtoAc</t>
  </si>
  <si>
    <t>Salt Prep: KHCO3 only</t>
  </si>
  <si>
    <t xml:space="preserve">Salt Break/Phase Split: Charge solvents and PR-043.MSOH </t>
  </si>
  <si>
    <t>Post Salt Break Distillation: For reaction prep</t>
  </si>
  <si>
    <t>Charge MAA, DIPEA, THF &amp; Heating</t>
  </si>
  <si>
    <t>Reaction: Age at 20C for 5 hours</t>
  </si>
  <si>
    <t>IPC: Reaction Conversion</t>
  </si>
  <si>
    <t>NaHSO4, NaHCO3 prep while waiting for IPC results</t>
  </si>
  <si>
    <t>Post Reaction Distillation: Solvent Switch</t>
  </si>
  <si>
    <t>Quench and Washes</t>
  </si>
  <si>
    <t>Distillation: Concentration</t>
  </si>
  <si>
    <t>Wash</t>
  </si>
  <si>
    <t>Batch Cleaning: Process solvent flush of Manifold</t>
  </si>
  <si>
    <t>Fill and boil (EA)</t>
  </si>
  <si>
    <t>General Visual Inspection</t>
  </si>
  <si>
    <t>Start Time              
 (hr : min)</t>
  </si>
  <si>
    <t>EtOAc</t>
  </si>
  <si>
    <t>   54311-R-01 (Cleaning Solvent)</t>
  </si>
  <si>
    <t xml:space="preserve">   1st Solvent Rinse of Chemical Canister (Water)</t>
  </si>
  <si>
    <t xml:space="preserve">   2nd Solvent Rinse of Chemical Canister (Acetone)</t>
  </si>
  <si>
    <t xml:space="preserve">   Process Solvent Rinse of Chemical Canister (EA)</t>
  </si>
  <si>
    <t xml:space="preserve">   Distillate Receiver Rinse with EA</t>
  </si>
  <si>
    <t xml:space="preserve">   Workup Receiver Water and Slovent Rinse (EA)</t>
  </si>
  <si>
    <t xml:space="preserve">   Solvent Manifold Flushing (Methanol)</t>
  </si>
  <si>
    <t xml:space="preserve">   Once Through (Methanol)</t>
  </si>
  <si>
    <t xml:space="preserve">   Fill and Boil - 1 (Methanol)</t>
  </si>
  <si>
    <t xml:space="preserve">   Fill and Boil - 2 (Methanol)</t>
  </si>
  <si>
    <t xml:space="preserve">   Manual Cleaning</t>
  </si>
  <si>
    <t xml:space="preserve">   Vacuum Drying</t>
  </si>
  <si>
    <t xml:space="preserve">   Enhanced Visual Inspection</t>
  </si>
  <si>
    <t>54311-R-01 (Process Solvent)</t>
  </si>
  <si>
    <t xml:space="preserve">   Transfer Line Flush</t>
  </si>
  <si>
    <t xml:space="preserve">   Once Through</t>
  </si>
  <si>
    <t xml:space="preserve">   1st Fill and Boil</t>
  </si>
  <si>
    <t xml:space="preserve">   2nd Fill and Boil </t>
  </si>
  <si>
    <t xml:space="preserve">   3rd Fill and Boil </t>
  </si>
  <si>
    <t xml:space="preserve">   Wipe down FD Base and Mesh</t>
  </si>
  <si>
    <t xml:space="preserve">   Final Sample Solvent Rinse</t>
  </si>
  <si>
    <t xml:space="preserve">   Sample for drug substance (PR-44 in Methanol)</t>
  </si>
  <si>
    <t xml:space="preserve">   General Visual Inspection</t>
  </si>
  <si>
    <t xml:space="preserve">   Top up of Canister with EA</t>
  </si>
  <si>
    <t xml:space="preserve">   Chemical Canister CV Sample (Acetone in EA)</t>
  </si>
  <si>
    <t xml:space="preserve">   Flushing of R1 with Methanol</t>
  </si>
  <si>
    <t>75011 &amp; 75012 Mix-tank</t>
  </si>
  <si>
    <t xml:space="preserve">   Mix Tank 1</t>
  </si>
  <si>
    <t xml:space="preserve">   Mix Tank 2</t>
  </si>
  <si>
    <t xml:space="preserve">Total </t>
  </si>
  <si>
    <t xml:space="preserve">   Pure Pocket Cleaning: Transfer Line Flush from 54312 (Methanol) - 1</t>
  </si>
  <si>
    <t>MONDAY</t>
  </si>
  <si>
    <t xml:space="preserve">   Pure Pocket Cleaning: Transfer Line Flush from 54312 (Ethyl Acetate) - 2</t>
  </si>
  <si>
    <t>Amount of MeOH used</t>
  </si>
  <si>
    <t xml:space="preserve">   Drum Solvent Rinse (Ethyl Acetate)</t>
  </si>
  <si>
    <t>Amount of Ethyl Acetate used</t>
  </si>
  <si>
    <t xml:space="preserve">   Solvent Rinse of Chemical Canister (Water) -1</t>
  </si>
  <si>
    <t xml:space="preserve">Amount of organic Waste  </t>
  </si>
  <si>
    <t xml:space="preserve">   Solvent Rinse of Chemical Canister (Acetone) -2</t>
  </si>
  <si>
    <t xml:space="preserve">Amount of aqueous Waste  </t>
  </si>
  <si>
    <t xml:space="preserve">   Solvent Rinse of Chemical Canister (Ethyl Acetate with half an hour blowdown) -3</t>
  </si>
  <si>
    <t xml:space="preserve">   Flushing of Solvent Manifold (Methanol)</t>
  </si>
  <si>
    <t xml:space="preserve">   Once Through (Acetone)</t>
  </si>
  <si>
    <t xml:space="preserve">   Fill &amp; Boil w N2 blowdown - 1 (Water)</t>
  </si>
  <si>
    <t xml:space="preserve">   Fill &amp; Boil w N2 blowdown - 2 (Acetone)</t>
  </si>
  <si>
    <t xml:space="preserve">   Fill &amp; Boil w N2 blowdown - 3 (Acetone)</t>
  </si>
  <si>
    <t>TUESDAY</t>
  </si>
  <si>
    <t xml:space="preserve">   Fill &amp; Boil w N2 blowdown - 4 (Methanol)</t>
  </si>
  <si>
    <t xml:space="preserve">   Vacuum Drying + General Visual Inspection + Manual Cleaning</t>
  </si>
  <si>
    <t xml:space="preserve">   Once Through (Methanol) w N2 blowdown</t>
  </si>
  <si>
    <t xml:space="preserve">   Enhanced Visual Inspection (Pressure Test after Opening)</t>
  </si>
  <si>
    <t xml:space="preserve">   Sample Rinse + Sample Collection + Drain</t>
  </si>
  <si>
    <t>WEDNESDAY</t>
  </si>
  <si>
    <t xml:space="preserve">   Sample for drug substance analysis (PR-024 in Methanol)</t>
  </si>
  <si>
    <t xml:space="preserve">   Solvent Manifold Process Solvent Pre-Flush w N2 blowdown (Ethyl Acetate)</t>
  </si>
  <si>
    <t xml:space="preserve">   Process Solvent Flush of R1 (EA) w N2 blowdown - 1</t>
  </si>
  <si>
    <t xml:space="preserve">   Process Solvent Flush of R1 (EA) w N2 blowdown - 2</t>
  </si>
  <si>
    <t xml:space="preserve">   Process Solvent Flush of R1 (EA) w N2 blowdown - 3</t>
  </si>
  <si>
    <t xml:space="preserve">   Process Solvent Flush of R1 (EA) w N2 blowdown - 4</t>
  </si>
  <si>
    <t xml:space="preserve">   Sample Collection + Drain</t>
  </si>
  <si>
    <t xml:space="preserve">   Sample for Residual Solvent Methanol (Ethyl Acetate)</t>
  </si>
  <si>
    <t xml:space="preserve">   Drying with General Visual Inspection</t>
  </si>
  <si>
    <t>59811-D-01</t>
  </si>
  <si>
    <t xml:space="preserve">   Transfer Line Flush from 54311 (Methanol) </t>
  </si>
  <si>
    <t xml:space="preserve">   Once through w N2 blowdown (Methanol)</t>
  </si>
  <si>
    <t xml:space="preserve">   Fill &amp; Boil - 1 (Methanol)</t>
  </si>
  <si>
    <t>THURSDAY</t>
  </si>
  <si>
    <t xml:space="preserve">   Fill &amp; Boil - 2 (Methanol)</t>
  </si>
  <si>
    <t xml:space="preserve">   Fill &amp; Boil - 3 (Methanol)</t>
  </si>
  <si>
    <t xml:space="preserve">   Vacuum Dry</t>
  </si>
  <si>
    <t xml:space="preserve">   Enhanced Visual Inspection (Pressure Test before Opening)</t>
  </si>
  <si>
    <t>   Final Sample Rinse + Draining</t>
  </si>
  <si>
    <t xml:space="preserve">   FD Sample for drug substance analysis (PR-024 in Methanol)</t>
  </si>
  <si>
    <t xml:space="preserve">   Once Through Spray Ring only (Methanol)</t>
  </si>
  <si>
    <t>FRIDAY</t>
  </si>
  <si>
    <t xml:space="preserve">   Transfer Line Flushing Pure Pocket (Methanol)</t>
  </si>
  <si>
    <t xml:space="preserve">   Exmat Sample</t>
  </si>
  <si>
    <t xml:space="preserve">   Transfer Line Flushing (Ethyl Acetate)</t>
  </si>
  <si>
    <t xml:space="preserve">   Drying and General Visual Inspection</t>
  </si>
  <si>
    <t>54311-R-01 Re-Cleaning (due to ARA TR482940)</t>
  </si>
  <si>
    <t xml:space="preserve">   Process Solvent Flush of R1 (EA) w N2 blowdown</t>
  </si>
  <si>
    <t>54311-R-01 2nd Re-Cleaning (due to ARA TR482940)</t>
  </si>
  <si>
    <t xml:space="preserve">   Solvent Manifold Flushing</t>
  </si>
  <si>
    <t xml:space="preserve">   Sample Collection</t>
  </si>
  <si>
    <t xml:space="preserve">   Sample for Residual Solvent Methanol (in Ethyl Acetate)</t>
  </si>
  <si>
    <r>
      <t xml:space="preserve">   </t>
    </r>
    <r>
      <rPr>
        <sz val="11"/>
        <rFont val="Calibri"/>
        <family val="2"/>
      </rPr>
      <t>Vacuum Drying</t>
    </r>
  </si>
  <si>
    <t>54311-R-01 &amp; 77012-T-04</t>
  </si>
  <si>
    <t xml:space="preserve">   Rinse Process Solvent Flushing of R1 with N2 blowdown</t>
  </si>
  <si>
    <t xml:space="preserve">   Sampling of Residual Solvent (Acetone in  Ethyl Acetate)</t>
  </si>
  <si>
    <t>Insert Date and Time here</t>
  </si>
  <si>
    <t>n-Heptane</t>
  </si>
  <si>
    <t>Reaction Prep: PR-016, DCM</t>
  </si>
  <si>
    <t>Reaction Prep: Charging of TFA addition</t>
  </si>
  <si>
    <t>Reaction</t>
  </si>
  <si>
    <t>Batch Washing</t>
  </si>
  <si>
    <t>IPC2.0: LOD (Analyzed by MFG)</t>
  </si>
  <si>
    <t>Batch ID</t>
  </si>
  <si>
    <t>Insert time and Date here</t>
  </si>
  <si>
    <t>Insert Batch ID here</t>
  </si>
  <si>
    <t>EtoAC</t>
  </si>
  <si>
    <t>Aqueous waste</t>
  </si>
  <si>
    <t>Reaction Prep: DIPEA, DMF, PR-026, HOBt, HBTU, PR-024 TFA</t>
  </si>
  <si>
    <t>Reaction: Age for 6 hours (Reactor 1) and Preparation of NaHCO3 solution (Mix Tank 1)</t>
  </si>
  <si>
    <t>Amount of aqueous waste</t>
  </si>
  <si>
    <t>Amount of organic waste</t>
  </si>
  <si>
    <t>Quench and Washes (Reactor 2)</t>
  </si>
  <si>
    <t>Drum Solvent Charge (MEK) - Batch cleaning of Reactor 1</t>
  </si>
  <si>
    <t>Performed in parallel to Quench and Washes operation</t>
  </si>
  <si>
    <t>Once through with N2 blowdown (water)</t>
  </si>
  <si>
    <t>1st process solvent flush through SB with N2 blowdown (Ethyl Acetate)</t>
  </si>
  <si>
    <t>2nd process solvent flush through SB with N2 blowdown (Ethyl Acetate)</t>
  </si>
  <si>
    <t>Sample collection and drain</t>
  </si>
  <si>
    <t>Transfer through Polish Filter to Pure Pocket</t>
  </si>
  <si>
    <t>Distillation</t>
  </si>
  <si>
    <t>Cake Washing (MEK Charge, Cooling, Txfr, Wash 1-2-3)</t>
  </si>
  <si>
    <t>HOLD</t>
  </si>
  <si>
    <t>IPC: GC, LC, KF</t>
  </si>
  <si>
    <t>S/ No</t>
  </si>
  <si>
    <t>Before which campaign?</t>
  </si>
  <si>
    <t>Task</t>
  </si>
  <si>
    <t>Target Completion Date</t>
  </si>
  <si>
    <t>Comment</t>
  </si>
  <si>
    <t>Y2021 A3-3</t>
  </si>
  <si>
    <t>Any open WO/CE impacting the start of the campaign?
Equipment: Hydrog, Hydrogen cylinder skid, Mix Tank 3</t>
  </si>
  <si>
    <t>Shawn/ Ramon</t>
  </si>
  <si>
    <t>Complete</t>
  </si>
  <si>
    <t>27May2021: 1) Ryan - forklift implementation date - Nov 2021 2) Ramon - insulation for cat. Pump - update by 27 May 2021 offline 3) Shawn - replacement of floor drain pump - scheduled on Monday 31 May 21</t>
  </si>
  <si>
    <t>Any PSSR required for startup?</t>
  </si>
  <si>
    <t>19May2021: SOP requirement for PSSR only if equip has been idle for 6 months. Team will do Genba as start up check.</t>
  </si>
  <si>
    <t>All Return To Service performed? 
Equipment: Hydrog, Mix tank</t>
  </si>
  <si>
    <t>19May2021: RTS for both equipment performed. 
Insulation for cat pump has not been installed (see cell G3)</t>
  </si>
  <si>
    <t>Any impacted SOPs/ training updated before or during campaign?</t>
  </si>
  <si>
    <t>19May2021: Hydrog SOP revision in progress (not for A3 campaign but for audit)
27May2021: Will be removed from tracker since not critical for campaign</t>
  </si>
  <si>
    <t>Any change control/ CAPAs impacting campaign?</t>
  </si>
  <si>
    <t>Munling/ Peiyun</t>
  </si>
  <si>
    <t>No outstanding CAPAs impacting Step A3 campaign</t>
  </si>
  <si>
    <t>Y2020 B-2</t>
  </si>
  <si>
    <t>Any WO/ CE impacting the start of campaign?
Equipment: Reactor 1, drum charge station, chemical fumehood, chemical canister, scrubber</t>
  </si>
  <si>
    <t>Drum charge station: Fix valve passing WO - pending MTBE arrival for RTS
Chemical fumehood, chemical canister: 6 outstanding WO - pending damaged suction hoses replacement, vent hose camlock issue, lance holder installation (Update 07 Jul 2021: Suction hose replacement after B campaign, other WO scheduled or completed)
Scrubber: 2 CEs - hi-hi &amp; lo-lo alarm feedback delay, conductivity analyzer replacement &amp; keypad installation</t>
  </si>
  <si>
    <t>Y2021 B-2</t>
  </si>
  <si>
    <t>SOP requirement for PSSR only if equip has been idle for 6 months. Team will do Genba as start up check.</t>
  </si>
  <si>
    <t>All Return To Service performed? 
Equipment: Reactor 1, chemical canister, drum charge station</t>
  </si>
  <si>
    <t>23 Jun 2021: Multiple hose replacement in progress, RTS performed as it is replaced
30 Jun 2021: To review RTS for drum charge lines, reagent line and chem canister lines
07 Jul 2021: No RTS required for reagent line and chem canister. RTS for drum charge lines will be flushed as part of pre-campaign.</t>
  </si>
  <si>
    <t>Rx 1, chem canister and drum charge station SOPs not required to be updated with Step B specific/ related steps (not gating)</t>
  </si>
  <si>
    <t>Pending a change control on interlock and tuning parameters</t>
  </si>
  <si>
    <t>Y2022 A2-1</t>
  </si>
  <si>
    <t>Any WO/ CE impacting the start of campaign?
Equipment: Reactor 1 and 2, chemical canister, chemical fumehood, dispensing isolator, downflow booth, FD</t>
  </si>
  <si>
    <t>All Return To Service performed? 
Equipment: Reactor 1 and 2, chemical canister, chemical fumehood, dispensing isolator, downflow booth, FD</t>
  </si>
  <si>
    <t>Any equipment pending RTS cleaning?
18 Aug 2021: Concern raised on heat exchanger RTS - confirmed by MFG to be performed, no sweating from reinstallation of insulation</t>
  </si>
  <si>
    <t>Any impacted SOPs or training required before or during campaign?</t>
  </si>
  <si>
    <t>25 Aug 21: FD SOP to be effective on 30 Aug 2021 (for post packout CC)</t>
  </si>
  <si>
    <t>25 Aug 21: A2 post packout flush recipe to be downloaded by Friday, 27 Aug 2021</t>
  </si>
  <si>
    <t>Y2021 C-2</t>
  </si>
  <si>
    <t>13Oct2021: All necessary WOs either completed or scheduled prior to start of Step C campaign.
- Pending XV-154 limit switch check
- Pending FD sight glass
- Pending Scrubber pump rectification (to be scheduled after C-2, not urgent)</t>
  </si>
  <si>
    <t>Not required</t>
  </si>
  <si>
    <t>20 Oct 2021: Post Rx-2 PM RTS completed</t>
  </si>
  <si>
    <t>No SOP updated required for start of Step C</t>
  </si>
  <si>
    <t>No CAPAs/ CC impacted start of Step C</t>
  </si>
  <si>
    <t>QC testing readiness</t>
  </si>
  <si>
    <t>Xingyi</t>
  </si>
  <si>
    <t>Y2022 A3-1</t>
  </si>
  <si>
    <t>Any WO/ CE impacting the start of campaign?
Equipment: Reactor 1 and 2, hydrog, mix tank 3, dispensing isolator, downflow booth, FD</t>
  </si>
  <si>
    <t>1. WOs already scheduled 
2. Distillate T joint installation to be rescheduled</t>
  </si>
  <si>
    <t>Leak test passed. To confirm hydrogenator panel ready? Ready to move H2 cylinder? Ready to use gate?</t>
  </si>
  <si>
    <t>All Return To Service performed? 
Equipment: Reactor 1 and 2, hydrog, mix tank 3, dispensing isolator, downflow booth, FD</t>
  </si>
  <si>
    <t>None</t>
  </si>
  <si>
    <t>SOP regarding gate at ASM2, effective by 27 Dec</t>
  </si>
  <si>
    <t>Cheng Kiat/ Peiyun</t>
  </si>
  <si>
    <t>Good to go</t>
  </si>
  <si>
    <t>Any WO/ CE impacting the start of campaign?
Equipment: Reactor 1, chemical canister, dispensing isolator, downflow booth, FD</t>
  </si>
  <si>
    <t xml:space="preserve">PMCERT on FD unable to proceed, another window needed, arrange on 24 Feb. </t>
  </si>
  <si>
    <t>All Return To Service performed? 
Equipment: Reactor 1, chemical canister, dispensing isolator, downflow booth, FD</t>
  </si>
  <si>
    <t xml:space="preserve">RTS for swab familiarization for R2, </t>
  </si>
  <si>
    <t xml:space="preserve">None, DAI on start of B </t>
  </si>
  <si>
    <t>all good</t>
  </si>
  <si>
    <t>IH monitoring for DCM needed</t>
  </si>
  <si>
    <t>Ask Wui Jin, 1st round done, second round during batch cleaning</t>
  </si>
  <si>
    <t xml:space="preserve">Y2022 Step C (Grace) </t>
  </si>
  <si>
    <t>Any WO/ CE impacting the start of campaign?
Equipment: Reactor 1 and 2, chemical canister, dispensing isolator, downflow booth, FD, mix tank 2</t>
  </si>
  <si>
    <t>Ramon/ Shawn</t>
  </si>
  <si>
    <t>1. Air leak on flowserve valve (on return line of Reactor 1 TCU) - pending solenoid valve replacement, MFG prefers to be rectified prior to Step C (F&amp;E to propose mitigation actions e.g. leverage on hydrog TCU)
2. Troubleshooting of TCU still not complete - pending SO checkback on status</t>
  </si>
  <si>
    <t>All Return To Service performed? 
Equipment: Reactor 1 and 2, chemical canister, dispensing isolator, downflow booth, FD, mix tank 2</t>
  </si>
  <si>
    <t>Mfg to check that all mfg staff has been trained on SOPs that are updated during this pause</t>
  </si>
  <si>
    <t>Munling</t>
  </si>
  <si>
    <t>1. Pending confirmation: Installation of filter on N2 CFH line</t>
  </si>
  <si>
    <t>IH monitoring for DMF, MEK and Carfilzomib DS</t>
  </si>
  <si>
    <t>Wuijin</t>
  </si>
  <si>
    <t>No.</t>
  </si>
  <si>
    <t>Routine Activities (PM/ PMCAL, CM, Genba, Isotanker, Material Readiness, Sampling)</t>
  </si>
  <si>
    <t>w/c</t>
  </si>
  <si>
    <t>Contact</t>
  </si>
  <si>
    <t>End Date</t>
  </si>
  <si>
    <t>Note</t>
  </si>
  <si>
    <t>Short Description</t>
  </si>
  <si>
    <t>QoP - Return to service rinse sample collection</t>
  </si>
  <si>
    <t>Sam</t>
  </si>
  <si>
    <t>QoP - Rinse Sampling</t>
  </si>
  <si>
    <t>N2 loading</t>
  </si>
  <si>
    <t>Waste offloading - Organic</t>
  </si>
  <si>
    <t>Waste offloading - Org</t>
  </si>
  <si>
    <t>Methanol loading</t>
  </si>
  <si>
    <t>MES OS patching</t>
  </si>
  <si>
    <t>Shu Shan</t>
  </si>
  <si>
    <t>Patching scheduled from 2 - 8pm
[07Jan20] Patching changed from 06Jan to 07Jan (4 - 9pm)</t>
  </si>
  <si>
    <t>54390472 - Rectify alarm faults on glycol chiller</t>
  </si>
  <si>
    <t>Rectify gly alarm fault</t>
  </si>
  <si>
    <t>Genba: Patheon DS pack-out</t>
  </si>
  <si>
    <t>Choo/ Sara</t>
  </si>
  <si>
    <t>Genba - Packout</t>
  </si>
  <si>
    <t>Patheon DS pack-out</t>
  </si>
  <si>
    <t>Cleaning protocol for post Step A1 non-routine cleaning</t>
  </si>
  <si>
    <t>Gek Koon</t>
  </si>
  <si>
    <t>A1 NR cleang protocol</t>
  </si>
  <si>
    <t>Seed packout (100g, sufficient for 2 years)</t>
  </si>
  <si>
    <t>Waste offloading - Aq</t>
  </si>
  <si>
    <t>[07Jan20] Postponed from 07Jan to 11Jan as MeOH isotanker still on site</t>
  </si>
  <si>
    <t xml:space="preserve">      54152364 - SG00291011VA03 - SG002 VIBRATION ANALYSIS ROUTE FOR TANK FARM - ASM2 SG002 DATA COLLECTION OF VIBRATION ROUTE, TANK FARM -</t>
  </si>
  <si>
    <t>Vibration data collection till end Jan</t>
  </si>
  <si>
    <t>Vibration analysis</t>
  </si>
  <si>
    <t>QoP - chemical canister cleaning</t>
  </si>
  <si>
    <t>Alternative is A2 dispensing</t>
  </si>
  <si>
    <t>QoP - Chem Canister</t>
  </si>
  <si>
    <t xml:space="preserve">      54152556 - SG00261510TS01 - TEMPERATURE SENSOR TS-01 - CALIBRATION OF INSTRUMENTS BY APPROVED VENDORS - L102</t>
  </si>
  <si>
    <t>L102 temp sensor cal</t>
  </si>
  <si>
    <t xml:space="preserve">      54152067 - SG00273501 - SUB-SYSTEM, TEST WEIGHTS - CALIBRATION OF INSTRUMENTS BY APPROVED VENDORS -</t>
  </si>
  <si>
    <t>Test weight cal</t>
  </si>
  <si>
    <t xml:space="preserve">      54152051 - SG00273501 - SUB-SYSTEM, TEST WEIGHTS - CALIBRATION OF INSTRUMENTS BY APPROVED VENDORS -</t>
  </si>
  <si>
    <t xml:space="preserve">      54152015 - SG00251901PR01 - QC ENDOPTS PLATE READER PR-01 - ASM - CALIBRATION OF INSTRUMENT BY APPROVED VENDORS - L213</t>
  </si>
  <si>
    <t>QC endo plate reader cal</t>
  </si>
  <si>
    <t xml:space="preserve">      54151999 - SG00273591 - SUB-SYSTEM, WAREHOUSE TEST WEIGHT - CALIBRATION OF INSTRUMENTS BY APPROVED VENDORS - W102</t>
  </si>
  <si>
    <t xml:space="preserve">      52153096 - SG00214913PD001 - ACETONE STORAGE, PIPING DISTRIBUTION PD-001 - TO CHECK AND TROUBLESHOOT FOR 14913-XV-014. - YARD</t>
  </si>
  <si>
    <t xml:space="preserve">Replacement of valve - confined space entry </t>
  </si>
  <si>
    <t>Troubleshoot 14913-XV-014</t>
  </si>
  <si>
    <t>Genba - Walkdown of DCM to org waste tank</t>
  </si>
  <si>
    <t>Genba - DCM to org waste</t>
  </si>
  <si>
    <t xml:space="preserve">      54320355 - SG00225011X01B - PURIFIED WATER GENERATION SKID X-01B, BWT OSMOTRON PRO 500 PW-25 - RO MEMBRANE SANITIZATION FOR SYSTEM SG002250 - U101</t>
  </si>
  <si>
    <t>PUR H20 RO sani</t>
  </si>
  <si>
    <t>54574095 TO TROUBLESHOOT CHILLER-02 CIRCUIT-01 VFD FAULT</t>
  </si>
  <si>
    <t>Tblesht chiller VFD fault</t>
  </si>
  <si>
    <t xml:space="preserve">      54152705 - SG00265103 - SUBSYSTEM, PD PIPETTE - CALIBRATION OF INSTRUMENTS BY APPROVED VENDORS - L101</t>
  </si>
  <si>
    <t>Pipette cal</t>
  </si>
  <si>
    <t xml:space="preserve">      54152689 - SG00265103 - SUBSYSTEM, PD PIPETTE - CALIBRATION OF INSTRUMENTS BY APPROVED VENDORS - L101</t>
  </si>
  <si>
    <t xml:space="preserve">      54152673 - SG00265103 - SUBSYSTEM, PD PIPETTE - CALIBRATION OF INSTRUMENTS BY APPROVED VENDORS - L101</t>
  </si>
  <si>
    <t xml:space="preserve">      54152637 - SG00265103 - SUBSYSTEM, PD PIPETTE - CALIBRATION OF INSTRUMENTS BY APPROVED VENDORS - L101</t>
  </si>
  <si>
    <t xml:space="preserve">      54152621 - SG00265103 - SUBSYSTEM, PD PIPETTE - CALIBRATION OF INSTRUMENTS BY APPROVED VENDORS - L101</t>
  </si>
  <si>
    <t xml:space="preserve">      54152605 - SG00265103 - SUBSYSTEM, PD PIPETTE - CALIBRATION OF INSTRUMENTS BY APPROVED VENDORS - L101</t>
  </si>
  <si>
    <t xml:space="preserve">      54152589 - SG00265103 - SUBSYSTEM, PD PIPETTE - CALIBRATION OF INSTRUMENTS BY APPROVED VENDORS - L101</t>
  </si>
  <si>
    <t>ADL DS pack-out</t>
  </si>
  <si>
    <t>21.75kg Senn/ Helsinn (2 lots)
[08Jan20] PO to be released by 13Jan20</t>
  </si>
  <si>
    <t xml:space="preserve">      54152433 - SG00210011B03 - COMPRESSED AIR GENERATION SYSTEM, AIR COMPRESSOR B-03 - 3 MONTH MAINTENANCE OF COMPAIR AIR COMPRESSOR 10011-B-03 (D22HRS -10W) - U201</t>
  </si>
  <si>
    <t>Air comp maint</t>
  </si>
  <si>
    <t xml:space="preserve">      54152416 - SG00210011B02 - COMPRESSED AIR GENERATION SYSTEM, AIR COMPRESSOR B-02 - 3 MONTH MAINTENANCE OF COMPAIR AIR COMPRESSOR 10011-B-02 (D22HRS -10W) - U201</t>
  </si>
  <si>
    <t xml:space="preserve">      54152399 - SG00210011B01 - COMPRESSED AIR GENERATION SYSTEM, AIR COMPRESSOR B-01 - 3 MONTH MAINTENANCE OF COMPAIR AIR COMPRESSOR 10011-B-01 (D22HRS -10W) - U201</t>
  </si>
  <si>
    <t xml:space="preserve">      54152745 - SG00260701 - SUB-SYSTEM, SINGAPORE INSTRUMENT STANDARDS - CALIBRATION OF INSTRUMENTS BY APPROVED VENDORS -</t>
  </si>
  <si>
    <t>Instrument cal</t>
  </si>
  <si>
    <t xml:space="preserve">      54152196 - SG00260701 - SUB-SYSTEM, SINGAPORE INSTRUMENT STANDARDS - CALIBRATION OF INSTRUMENTS BY APPROVED VENDORS -</t>
  </si>
  <si>
    <t xml:space="preserve">      54152035 - SG00260701 - SUB-SYSTEM, SINGAPORE INSTRUMENT STANDARDS - CALIBRATION OF INSTRUMENTS BY APPROVED VENDORS -</t>
  </si>
  <si>
    <t>Material Readiness for A2</t>
  </si>
  <si>
    <t>PO Release for A2</t>
  </si>
  <si>
    <t>QC Testing Readiness</t>
  </si>
  <si>
    <t>Jason/ Michelle</t>
  </si>
  <si>
    <t>QC test readiness</t>
  </si>
  <si>
    <t xml:space="preserve">      54547935 - SG00291011VA02 - SG002 VIBRATION ANALYSIS ROUTE FOR UTILITY - ASM2 SG002 DATA COLLECTION OF VIBRATION ROUTE, UTILITY -_1105759_PMD</t>
  </si>
  <si>
    <t>QoP - MT2 prep</t>
  </si>
  <si>
    <t>PI upgrade</t>
  </si>
  <si>
    <t>Martijn</t>
  </si>
  <si>
    <t>[15Jan20] 21Jan20: 8am - 6pm for PI/RtReports, 22Jan20: 1 - 5pm for PI/ MES Interface</t>
  </si>
  <si>
    <t>Emergency Windows patching</t>
  </si>
  <si>
    <t>Ken Yip</t>
  </si>
  <si>
    <t>No production impact: HMI not available for short period (will coordinate w production), PI-Rt Report not available, MES EBR exceptions will be generated WO54634569</t>
  </si>
  <si>
    <t>E Windows patch</t>
  </si>
  <si>
    <t xml:space="preserve">      54152776 - SG00220815K01 - CHILLED WATER GENERATION, AIR COOLED CHILLER K-01 - MAINTENANCE, VENDOR SERVICES FOR EQUIPMENT OR SYSTEMS - YARD Asset:1085619 PM</t>
  </si>
  <si>
    <t>Chiller maint (H2O)</t>
  </si>
  <si>
    <t xml:space="preserve">      54152761 - SG00220815K02 - CHILLED WATER GENERATION, AIR COOLED CHILLER K-02 - MAINTENANCE, VENDOR SERVICES FOR EQUIPMENT OR SYSTEMS - YARD Asset:1085621 PM</t>
  </si>
  <si>
    <t>Date was changed from 23Jan20 to 22Jan20</t>
  </si>
  <si>
    <t>Genba - Chiller walkdown</t>
  </si>
  <si>
    <t>Andrew Swee</t>
  </si>
  <si>
    <t xml:space="preserve">      54567366 - SG00214921PI009 - TANK FARM SOLVENT CHARGE MANIFOLD, PRESSURE INDICATOR PI-009 - TO RECTIFY FAULTY PRESSURE GAUGE ON SOLVENT MANIFOLD 14921-PI-009. PRESSURE GAUGE SHOWING READING DURING NOT IN USE. - M201 Asset:1092616 GM</t>
  </si>
  <si>
    <t>Rectify 14921-PI-009</t>
  </si>
  <si>
    <t>Solvent loading - EtOAc</t>
  </si>
  <si>
    <t xml:space="preserve">      54152791 - SG00262502L05 - MANUFACTURING 25KG HOIST L-05 - MAINTENANCE OF LIFTING MACHINE/EQUIPMENT/GEARS BY VENDOR (STATUTORY INSPECTION) - Asset:1131185 PM</t>
  </si>
  <si>
    <t>Cat fil lifter maint</t>
  </si>
  <si>
    <t xml:space="preserve">      54547806 - SG00261599AI001 - UITILITIES HANDHELD OZONE METER - FOLLOW UP FROM AAE 54065343: TO AFFIX INSTRUMENT LABEL ON NEW HANDHELD OZONE METER. AN 1188478. - Asset:1188478 GM</t>
  </si>
  <si>
    <t>Handheld ozone labelling</t>
  </si>
  <si>
    <t xml:space="preserve">      54547805 - SG00261599AI001 - UITILITIES HANDHELD OZONE METER - FOLLOW UP FROM AAE 54065343: TO AFFIX ASSET LABEL ON NEW HANDHELD OZONE METER. AN 1188478. - Asset:1188478 GM</t>
  </si>
  <si>
    <t xml:space="preserve">      54296035 - SG00225011X02 - PURIFIED WATER GENERATION SKID X-02, REJECT WASTE TRANSFER SYSTEM - TO RECTIFIED TOWER BEACON LIGHT INDICATOR. - U101 Asset:1091414 GM</t>
  </si>
  <si>
    <t>Rectify PUR water beacon</t>
  </si>
  <si>
    <t xml:space="preserve">      54163217 - SG00275015 - SUB-SYSTEM, WORKUP RECEIVER - FABRICATE AND INSTALL TAG FOR 75015-CV-037 MARKED IN ATTACHED P&amp;ID. - M104 Asset: GM</t>
  </si>
  <si>
    <t>75015-CV-037 tagging</t>
  </si>
  <si>
    <t xml:space="preserve">      54320355 - SG00225011X01B - PURIFIED WATER GENERATION SKID X-01B, BWT OSMOTRON PRO 500 PW-25 - RO MEMBRANE SANITIZATION FOR SYSTEM SG002250 - U101_1091308_PM</t>
  </si>
  <si>
    <t xml:space="preserve">      54120673 - SG00214921 - SUB-SYSTEM, TANK FARM SOLVENT CHARGE MANIFOLD - TO REPOSITION 14921-MV-062 (N2 MANUAL VALVE AT ETHYL ACETATE SOLVENT MANIFOLD LINE) AS IT IS DIFFICULT TO REACH. REFER TO WO ATTACHMENT. - M201__GM</t>
  </si>
  <si>
    <t>Work performed and completed on 29 Jan</t>
  </si>
  <si>
    <t>Reposition 14921-MV-062</t>
  </si>
  <si>
    <t>Genba - THF drum charging</t>
  </si>
  <si>
    <t>Wilson Moh</t>
  </si>
  <si>
    <t>QoP - Distillation</t>
  </si>
  <si>
    <t>54656433 - INVESTIGATE 59811 PAL-195 FILTER DRYER MECHANICAL SEAL LOW PRESSURE</t>
  </si>
  <si>
    <t xml:space="preserve">Found agitator alarm due to low pressure and high flow. Informed SO and adjusted inlet pressure from 6bar to 5bar and pressure switch set point from 5.5bar to 4.5bar. Informed mfg staff ID 151007 to monitor the system. AJS/24 JAN 2020
Changed back the set point as per original and tested. Foundduring normal operation the flow went to 0.6 L/M and during vacuumthe flow went to 1.6L/M. No alarm was activated at flow andpressure. AJS/04 Feb 2020 
Monitor form 04 Feb 2020 to 07 Feb 2020 found no alarm frommechanical seal. Job is completed. AJS/07 Feb 2020 </t>
  </si>
  <si>
    <t>FD mech seal invstgation</t>
  </si>
  <si>
    <t>UPS battery replacement</t>
  </si>
  <si>
    <t>54634568 - Licensed Electrical Engineer (LEE) to review and recommend settings for ASM2 HVAC-MCC</t>
  </si>
  <si>
    <t xml:space="preserve"> - Planned outage on 03Feb20, 9 - 10am, RTS at 11am, cleaning to start at 1pm
- Materials to be moved out from Cold Room and Flammable Store</t>
  </si>
  <si>
    <t>Planned outage (HVAC)</t>
  </si>
  <si>
    <t xml:space="preserve">      54548237 - SG00254312P06 - CHEMICAL REACTOR #2, CONDENSOR PUMP P-06 - YEARLY MOTOR INSPECTION PM - ROOF_1093790_PM</t>
  </si>
  <si>
    <t>R2 insp cond pump</t>
  </si>
  <si>
    <t xml:space="preserve">      54548219 - SG00259811P03 - FILTER DRYER CONDENSER PUMP P-03 - YEARLY MOTOR INSPECTION PM - ROOF_1094283_PM</t>
  </si>
  <si>
    <t>FD insp cond pump</t>
  </si>
  <si>
    <t>53189429 - SG00281015CP01 - API WALK IN COLD ROOM (2-8 DEGREE CELSIUS) CONTROL PANEL CP-01 - ELECTRICAL - BULB REPLACEMENT - LIGHT " WAREHOUSE OUTGOING PHASE INDICATION LIGHT" FAULTY - W101</t>
  </si>
  <si>
    <t>Request panel outage to replace faulty indication light on 81015-CP-01 L1 outgoing indication light. WHOW 24Sep2019.
WO due date extended. CHW 19NOV19 CHW 21JAN20
1-02-N-NO-S. Request Outage, Cold Room Free of material.</t>
  </si>
  <si>
    <t>54660611 - SG00234533AHU33 - AHU-33 AIR HANDLING UNIT FOR WAREHOUSE - TO REPLACE SUPPLY FAN G4 FILTERS. - U201</t>
  </si>
  <si>
    <t>AIR FLOW RATE 2.78 M3/S
2-02-N-NO-S. Filters Kitted. KHK 28Jan2020
G4 filter replacement completed and system back in operation. AC/03Feb2020</t>
  </si>
  <si>
    <t>Replace AHU33 filter</t>
  </si>
  <si>
    <t>QoP - R1 EVI</t>
  </si>
  <si>
    <t>Samuel</t>
  </si>
  <si>
    <t xml:space="preserve">      54587498 - SG00213062UPS201 - ASM BUILDING 2 UPS-2-01 - MONTHLY MAINTENANCE FOR UPS - U202_1089769_PM</t>
  </si>
  <si>
    <t>UPS maint</t>
  </si>
  <si>
    <t xml:space="preserve">      54548273 - SG00275016T01 - CANISTER T-01 - 12 MONTH MAINTENANCE OF CANISTER (75016-T-01) - U206_1158335_PM</t>
  </si>
  <si>
    <t>Chem can PM</t>
  </si>
  <si>
    <t>Material Readiness - A1</t>
  </si>
  <si>
    <t>Genba - VI of chem can</t>
  </si>
  <si>
    <t>54674221 - SG00277012T04 - CHEMICAL FUME HOOD, CHEMICAL CANISTER T-04 - TO REMOVE CHEMICAL CANISTER DOME - M104</t>
  </si>
  <si>
    <t>2-04-N-NO-S. Support MA on removal Dome cover. KHK 29Jan2020</t>
  </si>
  <si>
    <t>Remove chem can dome</t>
  </si>
  <si>
    <t xml:space="preserve">      54587486 - SG00213060LDB201 - ASM BUILDING 2 LIGHTING DISTRIBUTION BOARD, LDB-2-01 - MONTHLY PM INSPECTION OF EMERGENCY EGRESS LIGHTING (CCD) - M203_1089794_PM</t>
  </si>
  <si>
    <t>Dist board 2 PM</t>
  </si>
  <si>
    <t xml:space="preserve">      54587474 - SG00213060LDB101 - ASM BUILDING 2 LIGHTING DISTRIBUTION BOARD, LDB-1-01 - MONTHLY PM INSPECTION OF EMERGENCY EGRESS LIGHTING (CCD) - M106_1089790_PM</t>
  </si>
  <si>
    <t>Checked Emergency lights with battery support. Found all emergency lights are working good condition. TDS, 07Feb2020</t>
  </si>
  <si>
    <t>Dist board 1 PM</t>
  </si>
  <si>
    <t>54548255 - SG00254311P06 - CHEMICAL REACTOR #1, CONDENSOR PUMP P-06 - YEARLY
MOTOR INSPECTION PM - ROOF</t>
  </si>
  <si>
    <t>Job completed as per job task. WHOW 10Feb2020</t>
  </si>
  <si>
    <t>R1 insp cond pump</t>
  </si>
  <si>
    <t>54587285 - SG00225011X01B - PURIFIED WATER GENERATION SKID X-01B, BWT OSMOTRON PRO 500 PW-25 - RO AND EDI SANITIZATION FOR SYSTEM SG002250 - U101</t>
  </si>
  <si>
    <t>QoP - A1 batch cleaning</t>
  </si>
  <si>
    <t>54548200 - SG00213061SBG201 - STANDBY GENERATOR SBG-2-01 - PREVENTIVE MAINTENANCE BY VENDOR SUPPORT SERVICES - YARD</t>
  </si>
  <si>
    <t>Perform PM as per WO. No abnormal found.IHO12Feb2020</t>
  </si>
  <si>
    <t>Standby gen PM</t>
  </si>
  <si>
    <r>
      <t xml:space="preserve">SG00265101 - SUB-SYSTEM, QC PIPETTE - CALIBRATION OF INSTRUMENTS BY APPROVED VENDORS - L102 
</t>
    </r>
    <r>
      <rPr>
        <b/>
        <sz val="11"/>
        <color theme="1"/>
        <rFont val="Calibri"/>
        <family val="2"/>
        <scheme val="minor"/>
      </rPr>
      <t>Work Orders: 
54548681
54548665
54548649
54548633
54548617
54548601
54548585
54548569</t>
    </r>
  </si>
  <si>
    <r>
      <t xml:space="preserve">SG00265101 - SUB-SYSTEM, QC PIPETTE - CALIBRATION OF INSTRUMENTS BY APPROVED VENDORS - L102 
</t>
    </r>
    <r>
      <rPr>
        <b/>
        <sz val="11"/>
        <color theme="1"/>
        <rFont val="Calibri"/>
        <family val="2"/>
        <scheme val="minor"/>
      </rPr>
      <t>Work Orders: 
54548553
54548537
54548521
54548505</t>
    </r>
    <r>
      <rPr>
        <sz val="11"/>
        <color theme="1"/>
        <rFont val="Calibri"/>
        <family val="2"/>
        <scheme val="minor"/>
      </rPr>
      <t xml:space="preserve">
</t>
    </r>
    <r>
      <rPr>
        <b/>
        <sz val="11"/>
        <color theme="1"/>
        <rFont val="Calibri"/>
        <family val="2"/>
        <scheme val="minor"/>
      </rPr>
      <t>54547878</t>
    </r>
  </si>
  <si>
    <t>54547906 - SG00273521AWS01 - QC ANALYTICAL WEIGHT SET AWS-01 - CALIBRATION OF
INSTRUMENTS BY APPROVED VENDORS - L102</t>
  </si>
  <si>
    <t>QC weight cal</t>
  </si>
  <si>
    <t>54547894 - SG00252801 - SUB-SYSTEM, QC TIMER - CALIBRATION OF STOP WATCHES
(TIMOMETER METHOD) - L102</t>
  </si>
  <si>
    <t>QC timer cal</t>
  </si>
  <si>
    <t xml:space="preserve">Delivery: 11 Feb, Tues 3-5pm
Collection: 12 Feb, Wed 4-6pm </t>
  </si>
  <si>
    <t>Genba - aq waste offloading</t>
  </si>
  <si>
    <t>54548150 - SG00234002AIT125 - FILTER DRYER, OXYGEN ANALYZER TRANSMITTER 59811-AIT-125 - CALIBRATION OF GAS ANALYZERS - M103</t>
  </si>
  <si>
    <t>M103 O2 analyzer cal</t>
  </si>
  <si>
    <t>54548120 - SG00234002AIT105HYDRO - HYDROGENATOR, OXYGEN GAS DETECTOR
54313-AIT-105 - CALIBRATION OF GAS ANALYZERS - M105</t>
  </si>
  <si>
    <t>M105 O2 analyzer cal</t>
  </si>
  <si>
    <t>54548060 - SG00234002AIT014 - DOWNFLOW BOOTH, OXYGEN GAS DETECTION 77011-AIT-014
- CALIBRATION OF GAS ANALYZERS - M101</t>
  </si>
  <si>
    <t>M101 O2 analyzer cal</t>
  </si>
  <si>
    <t>Vendor work on Chiller 2 (Daikin)</t>
  </si>
  <si>
    <t>Vendor work on Chiller</t>
  </si>
  <si>
    <t>Mix Tank 75012-T-01 Rouging (Exit/ entry cal required for full passivation) - Tentative</t>
  </si>
  <si>
    <t>MT2 Passivation</t>
  </si>
  <si>
    <t>54548105 - SG00234002AIT105CR - CHEMICAL REACTOR, OXYGEN GAS DETECTION
54311-AIT-105 - CALIBRATION OF GAS ANALYZERS - M201</t>
  </si>
  <si>
    <t>M201 O2 analyzer cal</t>
  </si>
  <si>
    <t>54548075 - SG00234002AIT007 - CHEMICAL FUME HOOD, OXYGEN GAS DETECTION 77012-
AIT-007 - CALIBRATION OF GAS ANALYZERS - M104</t>
  </si>
  <si>
    <t>M104 O2 analyzer cal</t>
  </si>
  <si>
    <t>54548045 - SG00234005AIT024 - CHILLED GLYCOL GENERATION SYSTEM GAS DETECTION PANEL
REFRIGERANT ANALYZER INDICATING TRANSMITER 15011-AT-024 - CALIBRATION OF GAS
ANALYZERS - U101</t>
  </si>
  <si>
    <t>U101 refri analyzer cal</t>
  </si>
  <si>
    <t>Genba - Drum tipper vs Helsinn bag</t>
  </si>
  <si>
    <t>Please request for min amt of EtOAc (6000L)</t>
  </si>
  <si>
    <t xml:space="preserve">      54548135 - SG00234002AT120 - API WALK IN COLD ROOM (2-8 DEGREE CELSIUS) OXYGEN LOW LEVEL DETECTOR 81015-AT-120 - CALIBRATION OF GAS ANALYZERS - W101_1095018_PMCAL</t>
  </si>
  <si>
    <t>Cold Room low O2 cal</t>
  </si>
  <si>
    <t xml:space="preserve">      54548090 - SG00234002AIT009 - PROCESS VACUUM SKID A, OXYGEN ANALYZER INDICATING TRANSMITTER 16011-AIT-009 - CALIBRATION OF GAS ANALYZERS - U206_1095012_PMCAL</t>
  </si>
  <si>
    <t>Vacuum skid A O2 cal</t>
  </si>
  <si>
    <t>QoP - Reaction aging/ post-charging</t>
  </si>
  <si>
    <t>QoP</t>
  </si>
  <si>
    <t xml:space="preserve">      54547923 - SG00225011X01BF27021 - SOFTENER F270.2.1 - 3 MONTHS SOFTENER SANITIZATION FOR SYSTEM SG002250 - U101_1091383_PM</t>
  </si>
  <si>
    <t>PUR h2O system softener sani</t>
  </si>
  <si>
    <t xml:space="preserve">      54548165 - SG00225021QIT84551 - PURIFIED WATER DISTRIBUTION, LOOPO OZONE MEASURING SENSOR QIT845.5.1 - CALIBRATION OF METTLER TOLEDO DISSOLVED OZONE MONITOR - U101_1091429_PMCAL</t>
  </si>
  <si>
    <t>PUR h2O Ozone monitor cal</t>
  </si>
  <si>
    <r>
      <rPr>
        <b/>
        <sz val="11"/>
        <color theme="1"/>
        <rFont val="Calibri"/>
        <family val="2"/>
        <scheme val="minor"/>
      </rPr>
      <t xml:space="preserve">Filter Dryer Isolator Related PM/ PMCAL    </t>
    </r>
    <r>
      <rPr>
        <sz val="11"/>
        <color theme="1"/>
        <rFont val="Calibri"/>
        <family val="2"/>
        <scheme val="minor"/>
      </rPr>
      <t xml:space="preserve">  
- 54579335 - SG00259811BI12 - FILTER DRYER DISCHARGE GLOVEBOX BI-12 - CHANGE THE FD UPPER CHAMBER EXHAUST HEPA FILTERS (F1 &amp; F2) - M103_1094349_GM
- 54548301 - SG00259811BI12 - FILTER DRYER DISCHARGE GLOVEBOX BI-12 - 6 MONTHS FILTER DRYER GLOVE BOX NITROGEN INLET FILTER &amp; GAUGE FILTERS REPLACEMENT - M103_1094349_PM
- 54548329 - SG00259811BI12 - FILTER DRYER DISCHARGE GLOVEBOX BI-12 - ISOLATOR WITH HEPA FILTER CERTIFICATION - M103_1094349_PMCERT
- 54548875 - SG00259811AIT74A - FILTER DRYER DISCHARGE GLOVEBOX LOWER CHAMBER OXYGEN TRANSMITTER AIT-74A - CALIBRATION OF GAS ANALYZERS - M103_1117473_PMCAL
- 54548740 - SG00259811PT60A - FILTER DRYER DISCHARGE GLOVEBOX LOWER CHAMBER PRESSURE TRANSMITTER PT-60A - CALIBRATION OF PRESSURE TRANSMITTERS - M103_1094325_PMCAL
- 54548725 - SG00259811PT59A - FILTER DRYER DISCHARGE GLOVEBOX UPPER CHAMBER PRESSURE TRANSMITTER PT-59A - CALIBRATION OF PRESSURE TRANSMITTERS - M103_1094321_PMCAL</t>
    </r>
  </si>
  <si>
    <t>FD Isolator related PM</t>
  </si>
  <si>
    <t xml:space="preserve">      54548843 - SG00259811X08 - FILTER DRYER COMILL X-08 - 12 MONTH MAINTENANCE OF FILTER DRYER COMILL (59811- X-08) - M103_1094350_PM</t>
  </si>
  <si>
    <t>PM completed as per job plan</t>
  </si>
  <si>
    <t>Comil PM</t>
  </si>
  <si>
    <r>
      <rPr>
        <b/>
        <sz val="11"/>
        <color theme="1"/>
        <rFont val="Calibri"/>
        <family val="2"/>
        <scheme val="minor"/>
      </rPr>
      <t>Filter Dryer PM</t>
    </r>
    <r>
      <rPr>
        <sz val="11"/>
        <color theme="1"/>
        <rFont val="Calibri"/>
        <family val="2"/>
        <scheme val="minor"/>
      </rPr>
      <t xml:space="preserve">
- 54548825 - SG00259811P15 - FILTER DRYER WASTE TRANSFER PUMP P-15 - 12 MONTH MAINTENANCE OF DIAPHRAGM PUMP - M103_1094364_PM
- 54548809 - SG00259811P07 - FILTER DRYER MOTHER LIQUOR SUMP PUMP P-07 - 12 MONTH MAINTENANCE AND LUBRICATION OF FLOWSERVE CENTRIFUGAL PUMP - M103_1094301_PM
- 54548770 - SG00259811D01 - FILTER DRYER D-01 - 12 MONTH MAINTENANCE OF FILTER DRYER SG00259811 (HYDRAULIC UNIT) - M103_1094265_PM
- 54548793 - SG00259811P03 - FILTER DRYER CONDENSER PUMP P-03 - 12 MONTH MAINTENANCE AND LUBRICATION OF FLOWSERVE CENTRIFUGAL PUMP - ROOF_1094276_PM
- 54548890 - SG00259811PDSH162 - FILTER DRYER PRESSURE SWITCH PDSH-162 - CALIBRATION OF SWITCHES - M103_1165622_PMCAL
- 54548860 - SG00259811PIT107A - FILTER DRYER PRESSURE INDICATING TRANSMITTER PIT-107A - CALIBRATION OF PRESSURE TRANSMITTERS - M103_1110054_PMCAL
- 54548755 - SG00259811PT66A - FILTER DRYER BELLOWS VENT PRESSURE TRANSMITTER PT-66A - CALIBRATION OF PRESSURE TRANSMITTERS - M103_1094336_PMCAL
- 54548710 - SG00259811PIT107B - FILTER DRYER PRESSURE INDICATIING TRANSMITTER PIT-107B - CALIBRATION OF PRESSURE TRANSMITTERS - M103_1094341_PMCAL
- 54548698 - SG00259811PDSH167 - FILTER DRYER PRESSURE SWITCH PDSH-167 - CALIBRATION OF SWITCHES - M104_1094343_PMCAL</t>
    </r>
  </si>
  <si>
    <t>Filter Dryer related PM</t>
  </si>
  <si>
    <t xml:space="preserve">Solvent loading - MeOH </t>
  </si>
  <si>
    <t>12Feb2020: New lead time of 7-days instead of 5 days</t>
  </si>
  <si>
    <t xml:space="preserve">      54832382 - SG00256101PHM02 - QC LAB BENCHTOP PH METER PHM02 - CHILD OF CC WO 51544358: TO PERFORM INITIAL CALIBRATION AND AFFIX INSTRUMENT LABEL ON NEW PH METER. - L102_1190618_GMCAL</t>
  </si>
  <si>
    <t>Informed user EMP#187846 before start work.
Work completed, informed user EMP#187846. WHC 20FEB2020</t>
  </si>
  <si>
    <t xml:space="preserve">pH meter initial cal </t>
  </si>
  <si>
    <t>PO Release for Step A3</t>
  </si>
  <si>
    <t>Chiller 1 VFD replacement</t>
  </si>
  <si>
    <r>
      <rPr>
        <b/>
        <sz val="11"/>
        <color theme="1"/>
        <rFont val="Calibri"/>
        <family val="2"/>
        <scheme val="minor"/>
      </rPr>
      <t>Chilled H2O GM/ Inspection:</t>
    </r>
    <r>
      <rPr>
        <sz val="11"/>
        <color theme="1"/>
        <rFont val="Calibri"/>
        <family val="2"/>
        <scheme val="minor"/>
      </rPr>
      <t xml:space="preserve">
      54705744 - SG00220815TE002 - CHILLED WATER GENERATION, TEMPERATURE SENSOR TE-002 - TO VERIFY 20815-TIT-002 READING - TIT-002 CHILLED WATER SUPPLY LINE TEMPERATURE READING LOWER THAN CHILLER OUTLET TEMPERATURE. - YARD_1085637_GM
      54705700 - SG00220815K02 - CHILLED WATER GENERATION, AIR COOLED CHILLER K-02 - TO VERIFY CHILLED WATER LEAVING WATER TEMPERATURE AND ENTERING WATER TEMPERATURE SENSOR - YARD_1085621_GM
      54705683 - SG00220815K01 - CHILLED WATER GENERATION, AIR COOLED CHILLER K-01 - TO VERIFY CHILLED WATER LEAVING WATER TEMPERATURE AND ENTERING WATER TEMPERATURE SENSOR - YARD_1085619_GM</t>
    </r>
  </si>
  <si>
    <t>Wei Hoong Andrew Swee</t>
  </si>
  <si>
    <t>In Progress</t>
  </si>
  <si>
    <t>Status: WASSIGN
1-02-N-NO-S. ESCORT, PTW, LOTO, Scaffold required. Perform by SIEMENS vendor. CLS 25Feb2020</t>
  </si>
  <si>
    <t>Chilled H2O GM</t>
  </si>
  <si>
    <r>
      <rPr>
        <b/>
        <sz val="11"/>
        <color theme="1"/>
        <rFont val="Calibri"/>
        <family val="2"/>
        <scheme val="minor"/>
      </rPr>
      <t xml:space="preserve">Chilled Water Skid PM: </t>
    </r>
    <r>
      <rPr>
        <sz val="11"/>
        <color theme="1"/>
        <rFont val="Calibri"/>
        <family val="2"/>
        <scheme val="minor"/>
      </rPr>
      <t xml:space="preserve">
      54547979 - SG00220815K02 - CHILLED WATER GENERATION, AIR COOLED CHILLER K-02 - 6 MONTH MAINTENANCE OF 20815-K-02 CHILLER (MODEL EWADC17CXS) - YARD_1085621_PM
      54547968 - SG00220815K01 - CHILLED WATER GENERATION, AIR COOLED CHILLER K-01 - 6 MONTH MAINTENANCE OF 20815-K-01 CHILLER (MODEL EWADC17CXS) - YARD_1085619_PM</t>
    </r>
  </si>
  <si>
    <t>Still waiting further instruction from utility manager staff Id:144505.KWT/25 FEB 2020.</t>
  </si>
  <si>
    <t>Chilled water PM</t>
  </si>
  <si>
    <r>
      <rPr>
        <b/>
        <sz val="11"/>
        <color theme="1"/>
        <rFont val="Calibri"/>
        <family val="2"/>
        <scheme val="minor"/>
      </rPr>
      <t>Chilled Water Skid PM:</t>
    </r>
    <r>
      <rPr>
        <sz val="11"/>
        <color theme="1"/>
        <rFont val="Calibri"/>
        <family val="2"/>
        <scheme val="minor"/>
      </rPr>
      <t xml:space="preserve">
      54548022 - SG00220815PD001 - CHILLED WATER GENERATION, PIPING DISTRIBUTION PD-001 - 12 MONTH INSPECTION OF CHILLED WATER GENERATION (SG002208) - YARD_1099850_PM
      54548006 - SG00220815P02 - CHILLED WATER GENERATION, CHILLED WATER PUMP P-02 - 12 MONTH MAINTENANCE AND LUBRICATION OF FLOWSERVE CENTRIFUGAL PUMP - YARD_1099845_PM
      54547990 - SG00220815P01 - CHILLED WATER GENERATION, CHILLED WATER PUMP P-01 - 12 MONTH MAINTENANCE AND LUBRICATION OF FLOWSERVE CENTRIFUGAL PUMP - YARD_1099844_PM
      54587528 - SG00220815K01 - CHILLED WATER GENERATION, AIR COOLED CHILLER K-01 - MAINTENANCE, VENDOR SERVICES FOR EQUIPMENT OR SYSTEMS - YARD_1085619_PM
      54587513 - SG00220815K02 - CHILLED WATER GENERATION, AIR COOLED CHILLER K-02 - MAINTENANCE, VENDOR SERVICES FOR EQUIPMENT OR SYSTEMS - YARD_1085621_PM</t>
    </r>
  </si>
  <si>
    <t>Chilled H2O PM</t>
  </si>
  <si>
    <t>Y2020 Q1 Preventive Maintenance on the Security access control system, Traka Box and CCTV System</t>
  </si>
  <si>
    <t>Mark Tan (Bai Hao)</t>
  </si>
  <si>
    <t>Duration for PM has been extended</t>
  </si>
  <si>
    <t>Security systems PM</t>
  </si>
  <si>
    <t xml:space="preserve">      54968369 - SG00277012T04 - CHEMICAL FUME HOOD, CHEMICAL CANISTER T-04 - TO REMOVE CHEMICAL CANISTER DOME FOR MANUAL CLEANING - M104_1088528_GM</t>
  </si>
  <si>
    <t>Arun Krishnappa</t>
  </si>
  <si>
    <t>Support MFG remove dome cover. KHK 18Feb2020.</t>
  </si>
  <si>
    <t>Chem can dome removal</t>
  </si>
  <si>
    <t xml:space="preserve">      54587296 - SG00225011X01B - PURIFIED WATER GENERATION SKID X-01B, BWT OSMOTRON PRO 500 PW-25 - RO MEMBRANE SANITIZATION FOR SYSTEM SG002250 - U101_1091308_PM</t>
  </si>
  <si>
    <t>Hong Liang Lai</t>
  </si>
  <si>
    <t>PUR H2O R/O Sani</t>
  </si>
  <si>
    <t>Material Readiness for Step A3 (include H2 cylinder)</t>
  </si>
  <si>
    <t>A3 material delivery</t>
  </si>
  <si>
    <t>QoP - Hydrog Room</t>
  </si>
  <si>
    <t xml:space="preserve">Completed </t>
  </si>
  <si>
    <t xml:space="preserve">      53235213 - SG00254313F11 - HYDROGENATOR, POLISHING FILTER F-11 - 54313-F-11 CATALYST POLISHING FILTER TO REPLACE GASKET - M105_1093743_GM</t>
  </si>
  <si>
    <t>Cat filter gasket replacement</t>
  </si>
  <si>
    <t xml:space="preserve">      54968371 - SG00254313F11 - HYDROGENATOR, POLISHING FILTER F-11 - MECHANICAL SUPPORT FOR CATALYST FILTER CHANGE OUT - M105_1093743_GM</t>
  </si>
  <si>
    <t>Wee Kiat, Wilson Teo</t>
  </si>
  <si>
    <t>Support MFG on filter replacement. KHK 18Feb2020.</t>
  </si>
  <si>
    <t>Cat filter replacement</t>
  </si>
  <si>
    <t>53230304 - SG00254313P08 - HYDROGENATOR, CATALYST FILTRATION, PUMP P-08 - TO TROUBLESHOOT HYDROGENATOR PUMP. PUMP TRIPPED 11 TIMES DURING CLEANING - M105__GM</t>
  </si>
  <si>
    <t xml:space="preserve">Status: Waiting on plant condition
Manufacturing run 1st and 2nd CIP cycle and pump trip due to air lock.
Manufacturing manually bleed to remove airlock, then run the pump manual circulation to verify the flow.
Manufacturing again run 3rd CIP cycle and the pump run until endstep completed, pump no tripped. 
As information from system owner staff ID:205612 to monitor againfor the next post A3 step cleaning.
AC/27Feb2020 </t>
  </si>
  <si>
    <t>Troubleshoot cat pump</t>
  </si>
  <si>
    <t>Solvent loading - MeOH</t>
  </si>
  <si>
    <t>PR-016 Sampling (Dispensing Isolator)</t>
  </si>
  <si>
    <t>Ashraff</t>
  </si>
  <si>
    <t>PR-016 Sampling</t>
  </si>
  <si>
    <t>Catalyst waste drums removal</t>
  </si>
  <si>
    <t>54035380 COAT RUSTED SCRUBBER CABLE SUPPORT TRAY BOLTS WITH PAINT YARD SG00270011</t>
  </si>
  <si>
    <t>Support tray work</t>
  </si>
  <si>
    <t>No isotanker to be scheduled on 02Mar2020</t>
  </si>
  <si>
    <t>54554214 - SG00291011VA04 - SG002 PREDICTIVE MAINTENANCE ROUTE FOR HVAC - ASM2 SG002 DATA COLLECTION OF VIBRATION ROUTE, AIR HANDLING UNITS -_1105761_PMD</t>
  </si>
  <si>
    <t>Fang Chong Wong</t>
  </si>
  <si>
    <t>54554177 - SG00291011VA01 - S+B87:B104G002 VIBRATION ANALYSIS ROUTE FOR PROCESS EQUIPMENT - ASM2 SG002 DATA COLLECTION OF VIBRATION ROUTE, PROCESS EQUIPMENT -_1105758_PMD</t>
  </si>
  <si>
    <r>
      <rPr>
        <b/>
        <sz val="11"/>
        <color theme="1"/>
        <rFont val="Calibri"/>
        <family val="2"/>
        <scheme val="minor"/>
      </rPr>
      <t>Nitrogen Pressure Reduction and Distribution:</t>
    </r>
    <r>
      <rPr>
        <sz val="11"/>
        <color theme="1"/>
        <rFont val="Calibri"/>
        <family val="2"/>
        <scheme val="minor"/>
      </rPr>
      <t xml:space="preserve">
54553790 - SG00214521F03 - NITROGEN PRESSURE REDUCTION AND DISTRIBUTION FILTER F-03
- 12 MONTH MAINTENANCE NITROGEN CARTRIDGE FILTER REPLACEMENT (SG002145) - YARD
54553778 - SG00214521F02 - NITROGEN PRESSURE REDUCTION AND DISTRIBUTION FILTER F-02
- 12 MONTH MAINTENANCE NITROGEN CARTRIDGE FILTER REPLACEMENT (SG002145) - YARD
54553772 - SG00214521PD001 - NITROGEN PRESSURE REDUCTION AND DISTRIBUTION PIPING
DISTRIBUTION PD-001 - ANNUAL INSPECTION OF NITROGEN SYSTEM - YARD</t>
    </r>
  </si>
  <si>
    <t>Nitrogen PM</t>
  </si>
  <si>
    <t xml:space="preserve">      54666299 - SG00213062UPS201 - ASM BUILDING 2 UPS-2-01 - MONTHLY MAINTENANCE FOR UPS - U202</t>
  </si>
  <si>
    <t>Vun Keng Chong</t>
  </si>
  <si>
    <t>Monthly UPS PM</t>
  </si>
  <si>
    <t>55012551 - SG00254313F11 - HYDROGENATOR, POLISHING FILTER F-11 - MECHANICAL
SUPPORT FOR CATALYST FILTER CHANGE OUT - M105</t>
  </si>
  <si>
    <t>Wilson Toh Wee Kiat</t>
  </si>
  <si>
    <t>Cat Filter Changeout</t>
  </si>
  <si>
    <t>Cat waste drum removal</t>
  </si>
  <si>
    <t xml:space="preserve">QoP </t>
  </si>
  <si>
    <t>Siew Mei</t>
  </si>
  <si>
    <t>Original date: 04Mar2020</t>
  </si>
  <si>
    <t>53937451 - Aqueous waste tank PSV replacement</t>
  </si>
  <si>
    <t>Aq tank PSV removal</t>
  </si>
  <si>
    <t>54554664 - SG00260599 - SUB-SYSTEM, MISCELLANEOUS F&amp;E INSTRUMENTATION METERS AND TOOLS - CALIBRATION OF INSTRUMENTS BY APPROVED VENDORS -</t>
  </si>
  <si>
    <t>Meng Chong Lim</t>
  </si>
  <si>
    <t>Out For Service/Repair</t>
  </si>
  <si>
    <t>Miscellaneous tools cal</t>
  </si>
  <si>
    <t>54554567 - SG00273591 - SUB-SYSTEM, WAREHOUSE TEST WEIGHT - CALIBRATION OF INSTRUMENTS BY APPROVED VENDORS - W102</t>
  </si>
  <si>
    <t>Sundaralingam Subramaniam</t>
  </si>
  <si>
    <t>Warehouse weights cal</t>
  </si>
  <si>
    <t>54554418 - SG00260701 - SUB-SYSTEM, SINGAPORE INSTRUMENT STANDARDS - CALIBRATION OF INSTRUMENTS BY APPROVED VENDORS -</t>
  </si>
  <si>
    <t>54554255 - SG00260701 - SUB-SYSTEM, SINGAPORE INSTRUMENT STANDARDS - CALIBRATION OF INSTRUMENTS BY APPROVED VENDORS -</t>
  </si>
  <si>
    <t xml:space="preserve">      54666287 - SG00213060LDB201 - ASM BUILDING 2 LIGHTING DISTRIBUTION BOARD, LDB-2-01 - MONTHLY PM INSPECTION OF EMERGENCY EGRESS LIGHTING (CCD) - M203</t>
  </si>
  <si>
    <t>LDB PM</t>
  </si>
  <si>
    <t xml:space="preserve">      54666275 - SG00213060LDB101 - ASM BUILDING 2 LIGHTING DISTRIBUTION BOARD, LDB-1-01 - MONTHLY PM INSPECTION OF EMERGENCY EGRESS LIGHTING (CCD) - M106</t>
  </si>
  <si>
    <t>54553817 - SG00234003AIT105 - TECHNICAL GASES, QC AND PD LAB GAS DETECTOR W1061-AIT-001 - CALIBRATION OF GAS ANALYZERS - W106_1095010_PMCAL</t>
  </si>
  <si>
    <t>Gas analyzer cal</t>
  </si>
  <si>
    <t>55012555 - SG00254313F11 - HYDROGENATOR, POLISHING FILTER F-11 - MECHANICAL SUPPORT FOR CATALYST FILTER CHANGE OUT - M105_1093743_GM</t>
  </si>
  <si>
    <t>Cat filter changeout</t>
  </si>
  <si>
    <t>54587307 - SG00225011X01B - PURIFIED WATER GENERATION SKID X-01B, BWT OSMOTRON PRO 500 PW-25 - RO AND EDI SANITIZATION FOR SYSTEM SG002250 - U101_1091308_PM</t>
  </si>
  <si>
    <t>H2O RO Sani</t>
  </si>
  <si>
    <t>Additional waste drums for DCM drumming - 6 drums</t>
  </si>
  <si>
    <t>54553877 - SG00234003AIT005 - HYDROGEN GAS CYLINDER PRESSURE REDUCTION STATION, HYDROGEN GAS DETECTOR 14811-AIT-005 - CALIBRATION OF GAS ANALYZERS - W107_1095016_PMCAL</t>
  </si>
  <si>
    <t>Status: Returned to Lead Tech
Work order notes: WO route back for reschedule due to warehouse not available to move the H2 gas pallet. WHC 10MAR2020</t>
  </si>
  <si>
    <t>54553950 - SG00254392TE002 - PD CHEMICAL REACTOR #2, TEMPERATURE SENSOR TE-002 - CALIBRATION OF TEMPERATURE INDICATORS/TRANSMITTERS - L101_1134869_PMCAL</t>
  </si>
  <si>
    <t>PD Reactor TE cal</t>
  </si>
  <si>
    <t>54554241 - SG00281015CR01 - API WALK IN COLD ROOM (2-8 DEGREE CELSIUS) (2-8DEGREE) CR-01 - QUARTERLY COLD ROOM CONDENSING UNIT MAINTENANCE - W101_1092747_PM</t>
  </si>
  <si>
    <t>Cold room PM</t>
  </si>
  <si>
    <t>DS Packout - Depends if A3-2 has recrystallization</t>
  </si>
  <si>
    <t>Material released 5 - 6pm, tanker likely parked overnight, volume to top up: 7500L</t>
  </si>
  <si>
    <t>QoP - Packout</t>
  </si>
  <si>
    <t>Material Readiness for cleaning</t>
  </si>
  <si>
    <t>54554271 - SG00260701 - SUB-SYSTEM, SINGAPORE INSTRUMENT STANDARDS - CALIBRATION OF INSTRUMENTS BY APPROVED VENDORS -_1154658_PMCAL</t>
  </si>
  <si>
    <t>IH Monitoring - DCM waste drumming</t>
  </si>
  <si>
    <t>Wui Jin</t>
  </si>
  <si>
    <t>54553976 - SG00254311TCU04 - CHEMICAL REACTOR #1, TEMPERATURE CONTROL UNIT TCU-04 - ASM 2 TEMPERATURE CONTROL UNIT ELECTRICAL MAINTENANCE - U205_1093765_PM</t>
  </si>
  <si>
    <t>R1 TCU PM</t>
  </si>
  <si>
    <r>
      <rPr>
        <b/>
        <sz val="11"/>
        <color theme="1"/>
        <rFont val="Calibri"/>
        <family val="2"/>
        <scheme val="minor"/>
      </rPr>
      <t>Filter Dryer Isolator PMCAL:</t>
    </r>
    <r>
      <rPr>
        <sz val="11"/>
        <color theme="1"/>
        <rFont val="Calibri"/>
        <family val="2"/>
        <scheme val="minor"/>
      </rPr>
      <t xml:space="preserve">
54554335 - SG00259811PS41 - FILTER DRYER DISCHARGE GLOVEBOX LOWER CHAMBER EXTRACT BACK-UP UNDER PRESSURE SWITCH PS-41 - CALIBRATION OF SWITCHES - M103_1094317_PMCAL
54554323 - SG00259811PS36B - FILTER DRYER DISCHARGE GLOVEBOX UPPER CHAMBER EXTRACT HEALTHY BACK-UP PRESSURE SWITCH PS-36B - CALIBRATION OF SWITCHES - M103_1094313_PMCAL
54554311 - SG00259811PS36A - FILTER DRYER DISCHARGE GLOVEBOX UPPER CHAMBER EXTRACT HEALTHYBACK-UP PRESSURE SWITCH PS-36A - CALIBRATION OF SWITCHES - M103_1094311_PMCAL
54554153 - SG00259811PS41B - FILTER DRYER DISCHARGE GLOVEBOX LOWER CHAMBER EXTRACT HEALTHY BACK-UP PRESSURE SWITCH PS-41B - CALIBRATION OF SWITCHES - M103_1094319_PMCAL
54554141 - SG00259811PS40A - FILTER DRYER DISCHARGE GLOVEBOX LOWER CHAMBER EXTRACT HEALTHY BACK-UP PRESSURE SWITCH PS-40A - CALIBRATION OF SWITCHES - M103_1094315_PMCAL</t>
    </r>
  </si>
  <si>
    <t>54553964 - SG00254311TCU04 - CHEMICAL REACTOR #1, TEMPERATURE CONTROL UNIT TCU-04 - ASM 2 TEMPERATURE CONTROL UNIT MECHANICAL MAINTENANCE - U205_1093765_PM</t>
  </si>
  <si>
    <t>54554097 - SG00225021PD001 - PURIFIED WATER STORAGE AND DISTRIBUTION PIPING (LOOP O) - SLOPE INSPECTION - U101_1091322_PM</t>
  </si>
  <si>
    <t>H2O Piping PM</t>
  </si>
  <si>
    <t>DCM Waste Collection</t>
  </si>
  <si>
    <t>6 drums</t>
  </si>
  <si>
    <t>54553907 - SG00234006AIT134 - PURIFIED WATER STORAGE TANK, OZONE GAS DETECTION, 25021-AIT-134 - CALIBRATION OF GASTRON OZONE GAS DETECTOR AND SENSOR REPLACEMENT - U101_1095021_PMCAL</t>
  </si>
  <si>
    <t>Ozone analyzer PMCAL</t>
  </si>
  <si>
    <t>54553892 - SG00234004AIT124 - FILTER DRYER GAS DETECTION PANEL, LEL ANALYZER TRANSMITTER 59811-AIT-124 - CALIBRATION OF GAS ANALYZERS - M103_1095020_PMCAL</t>
  </si>
  <si>
    <t>M103 LEL analyz cal</t>
  </si>
  <si>
    <t>54553847 - SG00234004AIT104CR - CHEMICAL REACTOR, LEL GAS DETECTOR 54311-AIT-104 - CALIBRATION OF GAS ANALYZERS - M201_1095013_PMCAL</t>
  </si>
  <si>
    <t>M201 LEL analyz cal</t>
  </si>
  <si>
    <t>54553832 - SG00234004AIT008 - PROCESS VACUUM SKID A, LEL ANALYZER INDICATING TRANSMITTER 16011-AIT-008 - CALIBRATION OF GAS ANALYZERS - U206_1095011_PMCAL</t>
  </si>
  <si>
    <t>U206 LEL analyz cal</t>
  </si>
  <si>
    <t>54553802 - SG00234004AIT006 - CHEMICAL FUME HOOD, LEL GAS DETECTION 77012-AIT-006 - CALIBRATION OF GAS ANALYZERS - M104_1088525_PMCAL</t>
  </si>
  <si>
    <t>M104 LEL analyz cal</t>
  </si>
  <si>
    <t>54553923 - SG00234004AIT104HYDRO - HYDROGENATOR, LEL GAS DETECTORS 54313-AIT-104 - CALIBRATION OF GAS ANALYZERS - M105_1095022_PMCAL</t>
  </si>
  <si>
    <t>M105 LEL analyz cal</t>
  </si>
  <si>
    <t>54553862 - SG00234003AIT103 - HYDROGENATOR, HYDROGEN GAS DETECTOR 54313-AIT-103 - CALIBRATION OF GAS ANALYZERS - M105_1095014_PMCAL</t>
  </si>
  <si>
    <t>M105 H2 analyz cal</t>
  </si>
  <si>
    <t>54553757 - SG00234003AT010 - UPS ROOM, HYDROGEN GAS DETECTION, 34536-AT-010 - CALIBRATION OF GAS ANALYZERS - U202_1100849_PMCAL</t>
  </si>
  <si>
    <t>U202 H2 analyz cal</t>
  </si>
  <si>
    <t>54554102 - SG00234003AIT103 - HYDROGENATOR, HYDROGEN GAS DETECTOR 54313-AIT-103 - 12 MONTHS PM FOR TESTING OF HYDROGENATOR 54313-AAH-103 HARDWIRE INTERLOCK - M105_1095014_PM</t>
  </si>
  <si>
    <t>Cancelled</t>
  </si>
  <si>
    <t>Status: Waiting Owner Cancellation
10Mar2020: To be performed by Manufacturing</t>
  </si>
  <si>
    <t>Hydrog H2 gas detector</t>
  </si>
  <si>
    <r>
      <rPr>
        <b/>
        <sz val="11"/>
        <color theme="1"/>
        <rFont val="Calibri"/>
        <family val="2"/>
        <scheme val="minor"/>
      </rPr>
      <t>Hydrogenator</t>
    </r>
    <r>
      <rPr>
        <sz val="11"/>
        <color theme="1"/>
        <rFont val="Calibri"/>
        <family val="2"/>
        <scheme val="minor"/>
      </rPr>
      <t xml:space="preserve">
54553669 - 12MONTHS_ SG00254313PIT107A - PMCAL - PRESSURE,INDICATING TRANSMITTER_ CALIBRATION OF PRESSURE TRANSMITTERS_ HYDROGENATOR, PRESSURE INDICATING TRANSMITTER PIT-107A
54553640 - 12MONTHS_ SG00254313LIT119 - PMCAL - LEVEL,INDICATING TRANSMITTER_ CALIBRATION OF LEVEL TRANSMITTER - MAGNETROL GUIDED WAVE RADAR_ HYDROGENATOR, LEVEL INDICATING TRANSMITTER LIT-119
54553730 - SG00254313PIT107B - HYDROGENATOR, PRESSURE INDICATING TRANSMITTER
PIT-107B - CALIBRATION OF PRESSURE TRANSMITTERS - M105
54102470 - SG00254313LIT119 - HYDROGENATOR, LEVEL INDICATING TRANSMITTER LIT-119 -
VERIFY THE 54313-LAHH-118 ALARM TRIGGER LEVEL BY FILLING WATER. - M105
54554034 - SG00254313TCU04 - HYDROGENATOR, TEMPERATURE CONTROL UNIT TCU-04 -
ASM 2 TEMPERATURE CONTROL UNIT ELECTRICAL MAINTENANCE - M201</t>
    </r>
  </si>
  <si>
    <t>Hydrog PMCAL</t>
  </si>
  <si>
    <t>54554021 - SG00254313TCU04 - HYDROGENATOR, TEMPERATURE CONTROL UNIT TCU-04 -
ASM 2 TEMPERATURE CONTROL UNIT MECHANICAL MAINTENANCE - M201</t>
  </si>
  <si>
    <t>Hydrog TCU PM</t>
  </si>
  <si>
    <r>
      <rPr>
        <b/>
        <sz val="11"/>
        <color theme="1"/>
        <rFont val="Calibri"/>
        <family val="2"/>
        <scheme val="minor"/>
      </rPr>
      <t>Dispensing and sampling glovebox:</t>
    </r>
    <r>
      <rPr>
        <sz val="11"/>
        <color theme="1"/>
        <rFont val="Calibri"/>
        <family val="2"/>
        <scheme val="minor"/>
      </rPr>
      <t xml:space="preserve">
54554583 - SG00279211PS05 - DISPENSING AND SAMPLING GLOVEBOX, PRESSURE SWITCH
PS-05 - CALIBRATION OF SWITCHES - M101
54554525 - SG00279211PDT01 - DISPENSING AND SAMPLING GLOVEBOX, PRESSURE
DIFFERENTIAL TRANSMITTER PDT-01 - CALIBRATION OF PRESSURE TRANSMITTERS - M101</t>
    </r>
  </si>
  <si>
    <t>Dispensing Isolator PMCAL</t>
  </si>
  <si>
    <t>QoP - Area Walkdown (Open dates)</t>
  </si>
  <si>
    <t>QoP - Area</t>
  </si>
  <si>
    <r>
      <rPr>
        <b/>
        <sz val="11"/>
        <color theme="1"/>
        <rFont val="Calibri"/>
        <family val="2"/>
        <scheme val="minor"/>
      </rPr>
      <t xml:space="preserve">Hydrogenator
</t>
    </r>
    <r>
      <rPr>
        <sz val="11"/>
        <color theme="1"/>
        <rFont val="Calibri"/>
        <family val="2"/>
        <scheme val="minor"/>
      </rPr>
      <t>54553684 -12MONTHS_ SG00254313AIT112 - PMCAL - ANALYZER,INDICATING TRANSMITTER_ CALIBRATION OF GAS ANALYZERS_ HYDROGENATOR, ANALYZER INDICATING TRANSMITTER AIT-112
54553716 - 12MONTHS_ SG00254313TIT120B - PMCAL - TEMPERATURE,INDICATING TRANSMITTER_ CALIBRATION OF TEMPERATURE INDICATORS/TRANSMITTERS AT AMGEN SINGAPORE_ HYDROGENATOR, TEMPERATURE INDICATING TRANSMITTER TIT-120B
54554046 - 12MONTHS_ SG00254313TCU04 - PM - TEMPERATURE CONTROL UNIT_ ASM 2 TEMPERATURE CONTROL UNIT MECHANICAL MAINTENANCE_ HYDROGENATOR, TEMPERATURE CONTROL UNIT TCU-04
54553745 - 12MONTHS_ SG00254313SI117 - PMCAL - SPEED,TRANSMITTER_ CALIBRATION OF SPEED INDICATOR / TRANSMITTERS_ HYDROGENATOR, SPEED INDICATOR  SI-117
54554069 - 12MONTHS_ SG00254313TE211B - PMCAL - TEMPERATURE,SENSOR_ CALIBRATION OF TEMPERATURE INDICATORS/TRANSMITTERS AT AMGEN SINGAPORE_ HYDROGENATOR TCU04 TEMPERATURE ELEMENT TE-211B
54554046 - 12MONTHS_ SG00254313TCU04 - PM - TEMPERATURE CONTROL UNIT_ ASM 2 TEMPERATURE CONTROL UNIT ELECTRICAL MAINTENANCE_ HYDROGENATOR, TEMPERATURE CONTROL UNIT TCU-04
54553655 - 12MONTHS_ SG00254313TIT120A - PMCAL - TEMPERATURE,INDICATING TRANSMITTER_ CALIBRATION OF TEMPERATURE INDICATORS/TRANSMITTERS AT AMGEN SINGAPORE_ HYDROGENATOR, TEMPERATURE INDICATING TRANSMITTER TIT-120A</t>
    </r>
  </si>
  <si>
    <t>Volume to top up: 6000L</t>
  </si>
  <si>
    <r>
      <rPr>
        <b/>
        <sz val="11"/>
        <color theme="1"/>
        <rFont val="Calibri"/>
        <family val="2"/>
        <scheme val="minor"/>
      </rPr>
      <t>Dispensing Sampling and Glovebox:</t>
    </r>
    <r>
      <rPr>
        <sz val="11"/>
        <color theme="1"/>
        <rFont val="Calibri"/>
        <family val="2"/>
        <scheme val="minor"/>
      </rPr>
      <t xml:space="preserve">
54554509 - SG00279211PDT02 - DISPENSING AND SAMPLING GLOVEBOX, PRESSURE
DIFFERENTIAL TRANSMITTER PDT-02 - CALIBRATION OF PRESSURE TRANSMITTERS - M101
54554494 - SG00279211PDT03 - DISPENSING AND SAMPLING GLOVEBOX, PRESSURE
DIFFERENTIAL TRANSMITTER PDT-03 - CALIBRATION OF PRESSURE TRANSMITTERS - M101</t>
    </r>
  </si>
  <si>
    <r>
      <t xml:space="preserve">Chilled Water Generation:
</t>
    </r>
    <r>
      <rPr>
        <sz val="11"/>
        <color theme="1"/>
        <rFont val="Calibri"/>
        <family val="2"/>
        <scheme val="minor"/>
      </rPr>
      <t>54666329 - SG00220815K01 - CHILLED WATER GENERATION, AIR COOLED CHILLER K-01 -
MAINTENANCE, VENDOR SERVICES FOR EQUIPMENT OR SYSTEMS - YARD
54666314 - SG00220815K02 - CHILLED WATER GENERATION, AIR COOLED CHILLER K-02 -
MAINTENANCE, VENDOR SERVICES FOR EQUIPMENT OR SYSTEMS - YARD</t>
    </r>
  </si>
  <si>
    <t>Chilled Water Generation PM</t>
  </si>
  <si>
    <t>55007275 - SG00279211P02 - DISPENSING AND SAMPLING GLOVEBOX, WASTE TRANSFER PUMP
P-02 - TO REPLACE INTERNAL DIAPHRAGMS AND PLUNGER FOR DIAPHRAGM PUMP 79211 P02 -</t>
  </si>
  <si>
    <t>Isolator Waste Pump GM</t>
  </si>
  <si>
    <r>
      <t xml:space="preserve">Dispensing and Sampling Glovebox:
</t>
    </r>
    <r>
      <rPr>
        <sz val="11"/>
        <color theme="1"/>
        <rFont val="Calibri"/>
        <family val="2"/>
        <scheme val="minor"/>
      </rPr>
      <t>54554479 - SG00279211PDT04 - DISPENSING AND SAMPLING GLOVEBOX, PRESSURE
DIFFERENTIAL TRANSMITTER PDT-04 - CALIBRATION OF PRESSURE TRANSMITTERS - M101
54554464 - SG00279211PDT05 - DISPENSING AND SAMPLING GLOVEBOX, PRESSURE
DIFFERENTIAL TRANSMITTER PDT-05 - CALIBRATION OF PRESSURE TRANSMITTERS - M101</t>
    </r>
  </si>
  <si>
    <t xml:space="preserve">Waste offloading - Org </t>
  </si>
  <si>
    <t>Material Readiness (Step B-1)</t>
  </si>
  <si>
    <r>
      <t xml:space="preserve">Mix Tank #3:
</t>
    </r>
    <r>
      <rPr>
        <sz val="11"/>
        <color theme="1"/>
        <rFont val="Calibri"/>
        <family val="2"/>
        <scheme val="minor"/>
      </rPr>
      <t>54554552 - SG00275013LIT002 - MIX TANK #3, LEVEL INDICATING TRANSMITTER LIT-002 -
CALIBRATION OF LEVEL TRANSMITTER - MAGNETROL GUIDED WAVE RADAR - M201
54554540 - SG00275013SE003 - MIX TANK #3, SPEED SENSOR SE-003 - CALIBRATION OF SPEED
INDICATOR / TRANSMITTERS - U204
54554401 - SG00275013PI001 - MIX TANK #3, PRESSURE INDICATOR PI-001 - CALIBRATION OF
PRESSURE INDICATOR - M201</t>
    </r>
  </si>
  <si>
    <t>Mix Tank 3 PMCAL</t>
  </si>
  <si>
    <t>IH Monitoring - DCM charging in M201</t>
  </si>
  <si>
    <t>DCM IH Monitoring</t>
  </si>
  <si>
    <r>
      <t xml:space="preserve">Dispensing and Sampling Glovebox
</t>
    </r>
    <r>
      <rPr>
        <sz val="11"/>
        <color theme="1"/>
        <rFont val="Calibri"/>
        <family val="2"/>
        <scheme val="minor"/>
      </rPr>
      <t>54554449 - SG00279211PDT06 - DISPENSING AND SAMPLING GLOVEBOX, PRESSURE
DIFFERENTIAL TRANSMITTER PDT-06 - CALIBRATION OF PRESSURE TRANSMITTERS - M101
54554434 - SG00279211PDT07 - DISPENSING AND SAMPLING GLOVEBOX, PRESSURE
DIFFERENTIAL TRANSMITTER PDT-07 - CALIBRATION OF PRESSURE TRANSMITTERS - M101
54554347 - SG00279211PDT08 - DISPENSING AND SAMPLING GLOVEBOX, PRESSURE
DIFFERENTIAL TRANSMITTER PDT-08 - CALIBRATION OF PRESSURE TRANSMITTERS - M101</t>
    </r>
  </si>
  <si>
    <t>Activation of ASM2 Tank Farm Deluxe Sprinkler System for SCDF Licensing</t>
  </si>
  <si>
    <t>Jack Tan</t>
  </si>
  <si>
    <t>12Mar2020: EHSS request for 30Mar2020</t>
  </si>
  <si>
    <r>
      <rPr>
        <b/>
        <sz val="11"/>
        <color theme="1"/>
        <rFont val="Calibri"/>
        <family val="2"/>
        <scheme val="minor"/>
      </rPr>
      <t>Dispensing and sampling glovebox:</t>
    </r>
    <r>
      <rPr>
        <sz val="11"/>
        <color theme="1"/>
        <rFont val="Calibri"/>
        <family val="2"/>
        <scheme val="minor"/>
      </rPr>
      <t xml:space="preserve">
54554386 - SG00279211O2T02 - DISPENSING AND SAMPLING GLOVEBOX, O2 LEVEL MONITOR O2T-02 - CALIBRATION OF GAS ANALYZERS - M101
54554362 - SG00279211O2T01 - DISPENSING AND SAMPLING GLOVEBOX, O2 LEVEL MONITOR O2T-01 - CALIBRATION OF GAS ANALYZERS - M101</t>
    </r>
  </si>
  <si>
    <t>Dispensing Isolator O2 PMCAL</t>
  </si>
  <si>
    <t>Delta V batch download</t>
  </si>
  <si>
    <r>
      <rPr>
        <b/>
        <sz val="11"/>
        <color theme="1"/>
        <rFont val="Calibri"/>
        <family val="2"/>
        <scheme val="minor"/>
      </rPr>
      <t xml:space="preserve">Nitrogen Pressure Reduction and Distribution: </t>
    </r>
    <r>
      <rPr>
        <sz val="11"/>
        <color theme="1"/>
        <rFont val="Calibri"/>
        <family val="2"/>
        <scheme val="minor"/>
      </rPr>
      <t xml:space="preserve">
54553790 - SG00214521F03 - NITROGEN PRESSURE REDUCTION AND DISTRIBUTION FILTER F-03
- 12 MONTH MAINTENANCE NITROGEN CARTRIDGE FILTER REPLACEMENT (SG002145) - YARD
54553778 - SG00214521F02 - NITROGEN PRESSURE REDUCTION AND DISTRIBUTION FILTER F-02
- 12 MONTH MAINTENANCE NITROGEN CARTRIDGE FILTER REPLACEMENT (SG002145) - YARD
54553772 - SG00214521PD001 - NITROGEN PRESSURE REDUCTION AND DISTRIBUTION PIPING
DISTRIBUTION PD-001 - ANNUAL INSPECTION OF NITROGEN SYSTEM - YARD</t>
    </r>
  </si>
  <si>
    <t>N2 System PM</t>
  </si>
  <si>
    <r>
      <rPr>
        <b/>
        <sz val="11"/>
        <color theme="1"/>
        <rFont val="Calibri"/>
        <family val="2"/>
        <scheme val="minor"/>
      </rPr>
      <t>Filter Dryer Isolator:</t>
    </r>
    <r>
      <rPr>
        <sz val="11"/>
        <color theme="1"/>
        <rFont val="Calibri"/>
        <family val="2"/>
        <scheme val="minor"/>
      </rPr>
      <t xml:space="preserve">
54554646 - SG00259811EF2 - FILTER DRYER GLOVEBOX LOWER CHAMBER EXHAUST FAN EF-2 - YEARLY MOTOR INSPECTION PM - M103
54554628 - SG00259811EF1 - FILTER DRYER GLOVEBOX UPPER CHAMBER EXHAUST FAN EF-1 - YEARLY MOTOR INSPECTION PM - M103
54554299 - SG00259811PS35A - FILTER DRYER DISCHARGE GLOVEBOX UPPER CHAMBER EXTRACT HEALTHY BACK-UP PRESSURE SWITCH PS-35A - CALIBRATION OF SWITCHES - M103
54554287 - SG00259811PS33A - FILTER DRYER DISCHARGE GLOVEBOX UPPER CHAMBER EXTRACT BACK-UP UNDER PRESSURE SWITCH PS-33A - CALIBRATION OF SWITCHES - M103
54554129 - SG00259811PS38A - FILTER DRYER DISCHARGE GLOVEBOX LOWER CHAMBER EXTRACT BACK-UP UNDER PRESSURE SWITCH PS-38A - CALIBRATION OF SWITCHES - M103</t>
    </r>
  </si>
  <si>
    <t>FD Isolator PM</t>
  </si>
  <si>
    <r>
      <rPr>
        <b/>
        <sz val="11"/>
        <color theme="1"/>
        <rFont val="Calibri"/>
        <family val="2"/>
        <scheme val="minor"/>
      </rPr>
      <t xml:space="preserve">Filter Dryer Temperature Control Unit: </t>
    </r>
    <r>
      <rPr>
        <sz val="11"/>
        <color theme="1"/>
        <rFont val="Calibri"/>
        <family val="2"/>
        <scheme val="minor"/>
      </rPr>
      <t xml:space="preserve">
54554607 - SG00259811TCU04 - FILTER DRYER TEMPERATURE CONTROL UNIT TCU-04 - ASM 2 TEMPERATURE CONTROL UNIT ELECTRICAL MAINTENANCE - U205
54554619 - SG00259811TCU04 - FILTER DRYER TEMPERATURE CONTROL UNIT TCU-04 - ASM 2 TEMPERATURE CONTROL UNIT INSTRUMENT MAINTENANCE - U205
54554083 - SG00259811TE211B - FILTER DRYER TCU04 TEMPERATURE ELEMENT TE-211B - CALIBRATION OF TEMPERATURE INDICATORS/TRANSMITTERS AT AMGEN SINGAPORE - U205
54554595 - SG00259811TCU04 - FILTER DRYER TEMPERATURE CONTROL UNIT TCU-04 - ASM 2 TEMPERATURE CONTROL UNIT MECHANICAL MAINTENANCE - U205</t>
    </r>
  </si>
  <si>
    <t>Filter Dryer TCU PM/ PMCAL</t>
  </si>
  <si>
    <r>
      <rPr>
        <b/>
        <sz val="11"/>
        <color theme="1"/>
        <rFont val="Calibri"/>
        <family val="2"/>
        <scheme val="minor"/>
      </rPr>
      <t>Filter Dryer:</t>
    </r>
    <r>
      <rPr>
        <sz val="11"/>
        <color theme="1"/>
        <rFont val="Calibri"/>
        <family val="2"/>
        <scheme val="minor"/>
      </rPr>
      <t xml:space="preserve">
54554165 - SG00259811PS52A - FILTER DRYER DUST FILTER N2 PURGE PRESSURE SWITCH PS-52A - CALIBRATION OF SWITCHES - M103
54554117 - SG00259811PSH112 - FILTER DRYER PRESSURE SWITCH PSH-112 - CALIBRATION OF SWITCHES - M103
55007274 - SG00259811P15 - FILTER DRYER WASTE TRANSFER PUMP P-15 - TO REPLACE INTERNAL DIAPHRAGMS AND PLUNGER FOR DIAPHRAGM PUMP 59811 P15 - M103</t>
    </r>
  </si>
  <si>
    <t>Filter Dryer PM</t>
  </si>
  <si>
    <t>Material Readiness for post B cleaning</t>
  </si>
  <si>
    <t>55302699 - SG00234532FT001 - AHU-32 FLOW MONITORING STATION SUPPLY AIR FLOW TRANSMITTER FT-001 - TO PERFORM EXIT CALIBRATION AND AFFIX FRO LABEL ON AHU-32 FLOW TRANSMITTER - U201</t>
  </si>
  <si>
    <t>AHU32 FT Exit CAL</t>
  </si>
  <si>
    <t>Reactor 2 flow transmitter verification
55292826 - SG00254312FIT109 - CHEMICAL REACTOR #2, FLOW INDICATING TRANSMITTER FIT-109 - CALIBRATION OF REACTOR 54312 FLOW INDICATING TRANSMITTER_VERIFY TRANSMITTER IS STILL FUNCTIONING - M201</t>
  </si>
  <si>
    <t>12Mar2020: It was observed during Step A1 Process Monitoring that MsOH took longer than usual to charge. This calibration is to verify that the transmitter is still functioning as intended.</t>
  </si>
  <si>
    <t>R2 flow transmitter cal</t>
  </si>
  <si>
    <r>
      <rPr>
        <b/>
        <sz val="11"/>
        <color theme="1"/>
        <rFont val="Calibri"/>
        <family val="2"/>
        <scheme val="minor"/>
      </rPr>
      <t>Reactor 54312-R-01 Temperature Control Unit:</t>
    </r>
    <r>
      <rPr>
        <sz val="11"/>
        <color theme="1"/>
        <rFont val="Calibri"/>
        <family val="2"/>
        <scheme val="minor"/>
      </rPr>
      <t xml:space="preserve">
54554000 - SG00254312TCU04 - CHEMICAL REACTOR #2, TEMPERATURE CONTROL UNIT TCU-04 - ASM 2 TEMPERATURE CONTROL UNIT ELECTRICAL MAINTENANCE - U205
54554055 - SG00254312TE212B - CHEMICAL REACTOR 2 TCU04 TEMPERATURE ELEMENT TE-212B - CALIBRATION OF TEMPERATURE INDICATORS/TRANSMITTERS AT AMGEN SINGAPORE - U205
54554012 - SG00254312TCU04 - CHEMICAL REACTOR #2, TEMPERATURE CONTROL UNIT TCU-04 - ASM 2 TEMPERATURE CONTROL UNIT INSTRUMENT MAINTENANCE - U205
54553988 - SG00254312TCU04 - CHEMICAL REACTOR #2, TEMPERATURE CONTROL UNIT
TCU-04 - ASM 2 TEMPERATURE CONTROL UNIT MECHANICAL MAINTENANCE - U205</t>
    </r>
  </si>
  <si>
    <t>R2 TCU PM/ PMCAL</t>
  </si>
  <si>
    <t>54553938 - SG00210031PDSH008 - BREATHING AIR DISTRIBUTION, PRESSURE DIFFERENTIAL SWITCH HIGH PDSH-008 - CALIBRATION OF SWITCHES - U201</t>
  </si>
  <si>
    <t>Breathing Air PMCAL</t>
  </si>
  <si>
    <t>55306989 - SG002250 - SYSTEM, PURIFIED WATER - TO REPLACED RO MEMBRANES. -</t>
  </si>
  <si>
    <t>Status: Waiting Assignment</t>
  </si>
  <si>
    <t>RO membrane replacement</t>
  </si>
  <si>
    <t>55334059 - TO PERFORM EXIT AND ENTRY CALIBRATION -  REPLACE PH TRANSMITTER AND PROBE.</t>
  </si>
  <si>
    <t>Shawn Chey</t>
  </si>
  <si>
    <t>Replacement of pH probe</t>
  </si>
  <si>
    <t>55186438 - SG00254313 - SUB-SYSTEM, HYDROGENATOR - TROUBLESHOOT/INVESTIGATE HEAT TRACING DLT1 ERROR M105 - M105</t>
  </si>
  <si>
    <t>Troubleshoot heat tracing error</t>
  </si>
  <si>
    <t>55138283 - SG00214914P03 - ETHYL ACETATE STORAGE, TRANSFER PUMP P-03 - TO INSPECT 14914P03 - AIR LOCK OBSERVED WHILE TRANSFER - YARD</t>
  </si>
  <si>
    <t>EtOAc pump troubleshoot</t>
  </si>
  <si>
    <t>55007255 - SG00215011P04 - GLYCOL STORAGE TANK CHARGING PUMP P-04 - TO REPLACE INTERNAL DIAPHRAGMS AND PLUNGER FOR DIAPHRAGM PUMP 15011 P04 - YARD</t>
  </si>
  <si>
    <t>Glycol pump diaphragm replacement</t>
  </si>
  <si>
    <t>55007245 - SG00214911P02 - DRUM SOLVENT CHARGE STATION, UNLOADING PUMP P-02 - TO REPLACE INTERNAL DIAPHRAGMS AND PLUNGER FOR DIAPHRAGM PUMP 14911 P02 - YARD</t>
  </si>
  <si>
    <t>Drum charge station diaphragm replacement</t>
  </si>
  <si>
    <t>55195686 - SG00261531 - SUB-SYSTEM, MISCELLANEOUS WAREHOUSE TOOLS - FOLLOW UP FROM AAE 54588218: TO AFFIX 'DO NOT USE' LABEL ON SALVAGED ASSET. AN 1154944 -</t>
  </si>
  <si>
    <t>Muhammad Ashraff Bin Muhamed Shahwan</t>
  </si>
  <si>
    <t>Status: Returned to Lead Technician</t>
  </si>
  <si>
    <t>Warehouse asset labelling</t>
  </si>
  <si>
    <t>55334447 ‐ SG00265101 ‐ SUB‐SYSTEM, QC PIPETTE ‐ PIPETTE TO BE SEND OUT FOR CALIBRATION AS IT WAS ACCIDENTALLY DROPPED. ‐ L102</t>
  </si>
  <si>
    <t>Hui Min Chen</t>
  </si>
  <si>
    <t>QC pipette cal</t>
  </si>
  <si>
    <r>
      <t xml:space="preserve">Scrubber: 
</t>
    </r>
    <r>
      <rPr>
        <sz val="11"/>
        <color theme="1"/>
        <rFont val="Calibri"/>
        <family val="2"/>
        <scheme val="minor"/>
      </rPr>
      <t>55007312 - SG00270011P06B - SCRUBBER SYSTEM BLOW DOWN PUMP P-06B - TO REPLACE INTERNAL DIAPHRAGMS AND PLUNGER FOR DIAPHRAGM PUMP SG00270011P06B - YARD
55007310 - SG00270011P06A - SCRUBBER SYSTEM BLOW DOWN PUMP P-06A - TO REPLACE INTERNAL DIAPHRAGMS AND PLUNGER FOR DIAPHRAGM PUMP SG00270011P06A - YARD</t>
    </r>
  </si>
  <si>
    <t>Scrubber pump diaphragm replacement</t>
  </si>
  <si>
    <t>54937070 ‐ SG00291011VA03 ‐ SG002 VIBRATION ANALYSIS ROUTE FOR TANK FARM ‐ ASM2 SG002
DATA COLLECTION OF VIBRATION ROUTE, TANK FARM ‐</t>
  </si>
  <si>
    <t>54307533 - SG00259811D01 - FILTER DRYER D-01 - CHILD TO CHANGE CONTROL WO 54307392: TO REPLACE HALF-SEGMENTED SAMPLING BALL TO FULL THROUGH BALL OF FILTER DRYER SAMPLING VALVE. - M103</t>
  </si>
  <si>
    <t>FD Sampling valve replacement</t>
  </si>
  <si>
    <t>55334094 ‐ SG00233921PD001 ‐ FLOOR DRAIN TRANSFER PIPING DISTRIBUTION PD‐001 ‐ TO
REPLACE FLANGE BLIND TO SIMILAR MOC AND ALSO BLINDING 3 SAMPLING POINTS AT FLOOR
DRAIN COLLECTION SYSTEM ‐ YARD</t>
  </si>
  <si>
    <t>replace the flange. KHK 23Mar2020</t>
  </si>
  <si>
    <t>Floor drain piping GM</t>
  </si>
  <si>
    <t>Solvent loading - Methanol</t>
  </si>
  <si>
    <t>Methanol tank to be emptied out on 03Apr2020, top up on 07Apr2020 will need the full CoA with new expiry date</t>
  </si>
  <si>
    <r>
      <rPr>
        <b/>
        <sz val="11"/>
        <color theme="1"/>
        <rFont val="Calibri"/>
        <family val="2"/>
        <scheme val="minor"/>
      </rPr>
      <t>Methanol Storage:</t>
    </r>
    <r>
      <rPr>
        <sz val="11"/>
        <color theme="1"/>
        <rFont val="Calibri"/>
        <family val="2"/>
        <scheme val="minor"/>
      </rPr>
      <t xml:space="preserve">
54937350 ‐ SG00214912PT005 ‐ METHANOL STORAGE, PRESSURE TRANSMITTER PT‐005 ‐ CALIBRATION OF PRESSURE TRANSMITTERS ‐ YARD</t>
    </r>
  </si>
  <si>
    <t>MeOH tank PM</t>
  </si>
  <si>
    <r>
      <rPr>
        <b/>
        <sz val="11"/>
        <color theme="1"/>
        <rFont val="Calibri"/>
        <family val="2"/>
        <scheme val="minor"/>
      </rPr>
      <t>Chemical reactor 2 PM and PMCAL:</t>
    </r>
    <r>
      <rPr>
        <sz val="11"/>
        <color theme="1"/>
        <rFont val="Calibri"/>
        <family val="2"/>
        <scheme val="minor"/>
      </rPr>
      <t xml:space="preserve">
54937452 - SG00254312AIT156 - CHEMICAL REACTOR #2, ANALYZER INDICATING TRANSMITTER AIT-156 - CALIBRATION OF CONDUCTIVITY INDICATORS/TRANSMITTERS - M103_1093779_PM
54936669 - SG00254312SI117 - CHEMICAL REACTOR #2, SPEED INDICATOR SI-117 - CALIBRATION OF SPEED INDICATOR / TRANSMITTERS - U204_1099356_PMCAL
54936624 - SG00254312LIT119 - CHEMICAL REACTOR #2, LEVEL INDICATING TRANSMITTER LIT-119 - CALIBRATION OF LEVEL TRANSMITTER - MAGNETROL GUIDED WAVE RADAR - M201_1093800_PMCAL
54936582 - SG00254312FIT109 - CHEMICAL REACTOR #2, FLOW INDICATING TRANSMITTER FIT-109 - CALIBRATION OF LIQUID FLOW TRANSMITTER - M201_1093695_PMCAL
</t>
    </r>
  </si>
  <si>
    <t>54937452 - MFG to drain tank 6-10 Apr
54936669 - Requires MES login
54936624 - Ensure high level in purified water tank before start and requires MES login</t>
  </si>
  <si>
    <t>Reactor 2 PMCAL</t>
  </si>
  <si>
    <r>
      <rPr>
        <b/>
        <sz val="11"/>
        <color theme="1"/>
        <rFont val="Calibri"/>
        <family val="2"/>
        <scheme val="minor"/>
      </rPr>
      <t xml:space="preserve">Chemical reactor 2 PMCAL: </t>
    </r>
    <r>
      <rPr>
        <sz val="11"/>
        <color theme="1"/>
        <rFont val="Calibri"/>
        <family val="2"/>
        <scheme val="minor"/>
      </rPr>
      <t xml:space="preserve">
54937468 - SG00254312TE212A - CHEMICAL REACTOR 2 TCU04 TEMPERATURE ELEMENT TE-212A - CALIBRATION OF TEMPERATURE INDICATORS/TRANSMITTERS AT AMGEN SINGAPORE - U205_1109125_PMCAL
54936610 - SG00254312TIT120A - CHEMICAL REACTOR #2, TEMPERATURE INDICATING TRANSMITTER TIT-120A - CALIBRATION OF TEMPERATURE INDICATORS/TRANSMITTERS AT AMGEN SINGAPORE - M201_1093794_PMCAL
</t>
    </r>
  </si>
  <si>
    <t>Status: Close</t>
  </si>
  <si>
    <t>Reactor 2 TCU PMCAL</t>
  </si>
  <si>
    <t>54937200 - SG00210031PD001 - BREATHING AIR DISTRIBUTION PANEL (CCD) - 3 MONTH MAINTENANCE OF BREATHING AIR SYSTEM (CCD) - U201_1103357_PM</t>
  </si>
  <si>
    <t>Breathing Air Dist Panel PM</t>
  </si>
  <si>
    <r>
      <rPr>
        <b/>
        <sz val="11"/>
        <color theme="1"/>
        <rFont val="Calibri"/>
        <family val="2"/>
        <scheme val="minor"/>
      </rPr>
      <t xml:space="preserve">Heptane storage:
</t>
    </r>
    <r>
      <rPr>
        <sz val="11"/>
        <color theme="1"/>
        <rFont val="Calibri"/>
        <family val="2"/>
        <scheme val="minor"/>
      </rPr>
      <t xml:space="preserve">54937822 - SG00214915P03 - HEPTANE STORAGE, TRANSFER PUMP P-03 - YEARLY MOTOR INSPECTION PM - YARD_1092684_PM
</t>
    </r>
  </si>
  <si>
    <t>Hep pump PM</t>
  </si>
  <si>
    <t>54937804 - SG00214915P02 - HEPTANE STORAGE, UNLOADING PUMP P-02 - YEARLY MOTOR INSPECTION PM - YARD_1092678_PM</t>
  </si>
  <si>
    <t>Heptane Storage Unloading Pump PM</t>
  </si>
  <si>
    <r>
      <t xml:space="preserve">Chemical Reactor 2:
</t>
    </r>
    <r>
      <rPr>
        <sz val="11"/>
        <color theme="1"/>
        <rFont val="Calibri"/>
        <family val="2"/>
        <scheme val="minor"/>
      </rPr>
      <t>54937237 - SG00254312PIT107A - CHEMICAL REACTOR #2, PRESSURE INDICATING TRANSMITTER PIT-107A - CALIBRATION OF PRESSURE TRANSMITTERS - M201_1108507_PMCAL
54936653 - SG00254312PIT107B - CHEMICAL REACTOR #2, PRESSURE INDICATING TRANSMITTER PIT-107B - CALIBRATION OF PRESSURE TRANSMITTERS - M201_1096735_PMCAL
54936639 - SG00254312TIT137 - CHEMICAL REACTOR #2, TEMPERATURE INDICATING TRANSMITTER TIT-137 - CALIBRATION OF TEMPERATURE INDICATORS/TRANSMITTERS AT AMGEN SINGAPORE - ROOF_1093813_PMCAL</t>
    </r>
  </si>
  <si>
    <r>
      <rPr>
        <b/>
        <sz val="11"/>
        <color theme="1"/>
        <rFont val="Calibri"/>
        <family val="2"/>
        <scheme val="minor"/>
      </rPr>
      <t>Hydrogenator</t>
    </r>
    <r>
      <rPr>
        <sz val="11"/>
        <color theme="1"/>
        <rFont val="Calibri"/>
        <family val="2"/>
        <scheme val="minor"/>
      </rPr>
      <t>:
55292851 - SG00254313X03 - HYDROGENATOR, REACTOR SAMPLER X-03 - TO REPLACE INTERNAL DIAPHRAGMS FOR DIAPHRAGM PUMP - SAMPLER 54313X03 - M105</t>
    </r>
  </si>
  <si>
    <t>Hyd Sampler GM</t>
  </si>
  <si>
    <r>
      <t xml:space="preserve">Ethyl Acetate Storage:
</t>
    </r>
    <r>
      <rPr>
        <sz val="11"/>
        <color theme="1"/>
        <rFont val="Calibri"/>
        <family val="2"/>
        <scheme val="minor"/>
      </rPr>
      <t>54937786 - SG00214914P03 - ETHYL ACETATE STORAGE, TRANSFER PUMP P-03 - YEARLY MOTOR INSPECTION PM - YARD_1092606_PM
54937768 - SG00214914P02 - ETHYL ACETATE STORAGE, UNLOADING PUMP P-02 - YEARLY MOTOR INSPECTION PM - YARD_1092578_PM</t>
    </r>
  </si>
  <si>
    <t xml:space="preserve">EA tank PM </t>
  </si>
  <si>
    <r>
      <t xml:space="preserve">Tank Farm Solvent Charge Manifold:
</t>
    </r>
    <r>
      <rPr>
        <sz val="11"/>
        <color theme="1"/>
        <rFont val="Calibri"/>
        <family val="2"/>
        <scheme val="minor"/>
      </rPr>
      <t>54937424 - SG00214921FIT003 - TANK FARM SOLVENT CHARGE MANIFOLD, FILTER F-02,FLOW INDICATING TRANSMITTER FIT-003(ACETONE) - CALIBRATION OF LIQUID FLOW TRANSMITTER - M201_1092668_PMCAL
54937410 - SG00214921FIT001 - TANK FARM SOLVENT CHARGE MANIFOLD, FILTER F-01,FLOW INDICATING TRANSMITTER FIT-001(METHANOL) - CALIBRATION OF LIQUID FLOW TRANSMITTER - M201_1092662_PMCAL</t>
    </r>
  </si>
  <si>
    <t>Ace and Methanol FIT PMCAL</t>
  </si>
  <si>
    <r>
      <rPr>
        <b/>
        <sz val="11"/>
        <color theme="1"/>
        <rFont val="Calibri"/>
        <family val="2"/>
        <scheme val="minor"/>
      </rPr>
      <t>Acetone storage:</t>
    </r>
    <r>
      <rPr>
        <sz val="11"/>
        <color theme="1"/>
        <rFont val="Calibri"/>
        <family val="2"/>
        <scheme val="minor"/>
      </rPr>
      <t xml:space="preserve">
54937749 - SG00214913P03 - ACETONE STORAGE, TRANSFER PUMP P-03 - YEARLY MOTOR INSPECTION PM - YARD_1129984_PM
54937731 - SG00214913P02 - ACETONE STORAGE, UNLOADING PUMP P-02 - YEARLY MOTOR INSPECTION PM - YARD_1092659_PM
</t>
    </r>
  </si>
  <si>
    <t>Acetone Pump PM</t>
  </si>
  <si>
    <r>
      <t xml:space="preserve">Tank Farm Solvent Charge Manifold:
</t>
    </r>
    <r>
      <rPr>
        <sz val="11"/>
        <color theme="1"/>
        <rFont val="Calibri"/>
        <family val="2"/>
        <scheme val="minor"/>
      </rPr>
      <t>54937663 - SG00214921FIT007 - TANK FARM SOLVENT CHARGE MANIFOLD, FILTER F-04,FLOW INDICATING TRANSMITTER FIT-007(HEPTANE) - CALIBRATION OF LIQUID FLOW TRANSMITTER - M201_1148416_PMCAL
54937438 - SG00214921FIT005 - TANK FARM SOLVENT CHARGE MANIFOLD, FILTER F-03,FLOW INDICATING TRANSMITTER FIT-005(ETHYL ACETATE) - CALIBRATION OF LIQUID FLOW TRANSMITTER - M201_1092672_PMCAL</t>
    </r>
  </si>
  <si>
    <t>Hep and EA FIT PMCAL</t>
  </si>
  <si>
    <r>
      <t xml:space="preserve">Sub-system, Miscellaneous Warehouse Tools:
</t>
    </r>
    <r>
      <rPr>
        <sz val="11"/>
        <color theme="1"/>
        <rFont val="Calibri"/>
        <family val="2"/>
        <scheme val="minor"/>
      </rPr>
      <t>54936746 - SG00261531 - SUB-SYSTEM, MISCELLANEOUS WAREHOUSE TOOLS - CALIBRATION OF INSTRUMENTS BY APPROVED VENDORS -_1103004_PMCAL
54936730 - SG00261531 - SUB-SYSTEM, MISCELLANEOUS WAREHOUSE TOOLS - CALIBRATION OF INSTRUMENTS BY APPROVED VENDORS -_1103003_PMCAL</t>
    </r>
  </si>
  <si>
    <t>Warehouse tool PMCAL</t>
  </si>
  <si>
    <t>54937852 - SG00270011P01A - SCRUBBER SYSTEM PUMP P-01A - 12 MONTH MAINTENANCE OF PUMPS 70011-P01A/B - YARD_1091691_PM</t>
  </si>
  <si>
    <t>Scrubber Pump PM</t>
  </si>
  <si>
    <t>54937220 - SG00279211BI01 - DISPENSING AND SAMPLING GLOVEBOX, DISPENSING/SAMPLING AND PACKOFF GLOVEBOX BI-01 - 3 MONTH MAINTENANCE OF SG00279211 ISOLATOR GLOVEBOX (CCD) - M101_1093104_PM</t>
  </si>
  <si>
    <t>Dispensing and Sampling Glovebox PM</t>
  </si>
  <si>
    <r>
      <rPr>
        <b/>
        <sz val="11"/>
        <color theme="1"/>
        <rFont val="Calibri"/>
        <family val="2"/>
        <scheme val="minor"/>
      </rPr>
      <t>Methanol Storage:</t>
    </r>
    <r>
      <rPr>
        <sz val="11"/>
        <color theme="1"/>
        <rFont val="Calibri"/>
        <family val="2"/>
        <scheme val="minor"/>
      </rPr>
      <t xml:space="preserve">
54937713 - SG00214912P02 - METHANOL STORAGE, UNLOADING PUMP P-02 - YEARLY MOTOR INSPECTION PM - YARD_1144174_PM 
54937695 - SG00214912P03 - METHANOL STORAGE, TRANSFER PUMP P-03 - YEARLY MOTOR INSPECTION PM - YARD_1092663_PM
</t>
    </r>
  </si>
  <si>
    <t>Methanol pump PM</t>
  </si>
  <si>
    <t>54937869 - SG00270011P01B - SCRUBBER SYSTEM PUMP P-01B - 12 MONTH MAINTENANCE OF PUMPS 70011-P01A/B - YARD_1091693_PM</t>
  </si>
  <si>
    <t>55356472 - SG00225021AUT001 - PURIFIED WATER HMI - FOLLOW UP FROM AAE 55308513: TO AFFIX ASSET LABEL ON NEW PURIFIED HMI ASSET. - U101_1195545_GM</t>
  </si>
  <si>
    <t>Affix label on PUR H2O</t>
  </si>
  <si>
    <t>54832399 - SG00275012LIT007 - MIX TANK #2, LEVEL INDICATING TRANSMITTER LIT-007 - 1. PERFORM EXIT CAL FOR THE SG00275012LIT007 TO SEND OUT FOR PASSIVATION. 2. PERFORM ENTRY CAL AFTER RECEIPT OF TANK FROM PASSIVATION BEFORE PRODUCTION USE. - SG002M201_1092183_GMCAL</t>
  </si>
  <si>
    <t>Mix Tank 2 LIT Exit Calibration</t>
  </si>
  <si>
    <r>
      <rPr>
        <b/>
        <sz val="11"/>
        <color theme="1"/>
        <rFont val="Calibri"/>
        <family val="2"/>
        <scheme val="minor"/>
      </rPr>
      <t>Compressed Air Generation System:</t>
    </r>
    <r>
      <rPr>
        <sz val="11"/>
        <color theme="1"/>
        <rFont val="Calibri"/>
        <family val="2"/>
        <scheme val="minor"/>
      </rPr>
      <t xml:space="preserve">
54937183 - SG00210011B03 - COMPRESSED AIR GENERATION SYSTEM, AIR COMPRESSOR B-03 - 3 MONTH MAINTENANCE OF COMPAIR AIR COMPRESSOR 10011-B-03 (D22HRS -10W) - U201_1098832_PM
54937166 - SG00210011B02 - COMPRESSED AIR GENERATION SYSTEM, AIR COMPRESSOR B-02 - 3 MONTH MAINTENANCE OF COMPAIR AIR COMPRESSOR 10011-B-02 (D22HRS -10W) - U201_1085440_PM
54937149 - SG00210011B01 - COMPRESSED AIR GENERATION SYSTEM, AIR COMPRESSOR B-01 - 3 MONTH MAINTENANCE OF COMPAIR AIR COMPRESSOR 10011-B-01 (D22HRS -10W) - U201_1085455_PM</t>
    </r>
  </si>
  <si>
    <t>Compressed Air PM</t>
  </si>
  <si>
    <t>Waste Offloading - Org</t>
  </si>
  <si>
    <t>55347432 - SG00234003AIT103 - HYDROGENATOR, HYDROGEN GAS DETECTOR 54313-AIT-103 - TESTING OF HYDROGENATOR 54313-AAH-103 HARDWIRE INTERLOCK - M105_1095014_GM</t>
  </si>
  <si>
    <t>Tan Chong Chang</t>
  </si>
  <si>
    <t>Hydrogen gas detector GM</t>
  </si>
  <si>
    <t>Solvent loading - MeOH (15Apr, Wed)</t>
  </si>
  <si>
    <r>
      <rPr>
        <b/>
        <sz val="11"/>
        <color theme="1"/>
        <rFont val="Calibri"/>
        <family val="2"/>
        <scheme val="minor"/>
      </rPr>
      <t xml:space="preserve">Chilled Water Generation: </t>
    </r>
    <r>
      <rPr>
        <sz val="11"/>
        <color theme="1"/>
        <rFont val="Calibri"/>
        <family val="2"/>
        <scheme val="minor"/>
      </rPr>
      <t xml:space="preserve">
55307988 - SG00220815K01 - CHILLED WATER GENERATION, AIR COOLED CHILLER K-01 - MAINTENANCE, VENDOR SERVICES FOR EQUIPMENT OR SYSTEMS - YARD_1085619_PM
55307972 - SG00220815K02 - CHILLED WATER GENERATION, AIR COOLED CHILLER K-02 - MAINTENANCE, VENDOR SERVICES FOR EQUIPMENT OR SYSTEMS - YARD_1085621_PM
</t>
    </r>
  </si>
  <si>
    <t>55347971 - SG00254313TSH166 - HYDROGENATOR, TEMPERATURE SWITCH TSH-166 - INVESTIGATE 54313-TAH-166 - TRIGGERS MOMENTARILY (NORMALIZES THE NEXT MOMENT) ON DELTAV OCCASIONALLY - ROOF_1093728_GM</t>
  </si>
  <si>
    <t>Hydrogr Temperature Switch GM</t>
  </si>
  <si>
    <t xml:space="preserve"> 54937395 - SG00214915PT005 - HEPTANE STORAGE, PRESSURE TRANSMITTER PT-005 - CALIBRATION OF PRESSURE TRANSMITTERS - YARD_1092600_PMCAL</t>
  </si>
  <si>
    <t>Heptane PMCAL</t>
  </si>
  <si>
    <t>54937380 - SG00214914PT005 - ETHYL ACETATE STORAGE, PRESSURE TRANSMITTER PT-005 - CALIBRATION OF PRESSURE TRANSMITTERS - YARD_1092645_PMCAL</t>
  </si>
  <si>
    <t>Ethyl Acetate PMCAL</t>
  </si>
  <si>
    <t>54937365 - SG00214913PT005 - ACETONE STORAGE, PRESSURE TRANSMITTER PT-005 - CALIBRATION OF PRESSURE TRANSMITTERS - YARD_1092679_PMCAL</t>
  </si>
  <si>
    <t>Acetone PMCAL</t>
  </si>
  <si>
    <t>54937840 - SG00215011K01 - -25 DEG C ETHYLENE GLYCOL CHILLER PACKAGE K-01 - VFD PANEL INSPECTION - U101_1087167_PM</t>
  </si>
  <si>
    <t>Glycol Chiller VFD inspection</t>
  </si>
  <si>
    <r>
      <rPr>
        <b/>
        <sz val="11"/>
        <color theme="1"/>
        <rFont val="Calibri"/>
        <family val="2"/>
      </rPr>
      <t>Sub-system, Singapore Instrument Standards:</t>
    </r>
    <r>
      <rPr>
        <sz val="11"/>
        <color theme="1"/>
        <rFont val="Calibri"/>
        <family val="2"/>
      </rPr>
      <t xml:space="preserve">
54937529 - SG00260701 - SUB-SYSTEM, SINGAPORE INSTRUMENT STANDARDS - CALIBRATION OF INSTRUMENTS BY APPROVED VENDORS -_1112376_PMCAL
54937513 - SG00260701 - SUB-SYSTEM, SINGAPORE INSTRUMENT STANDARDS - CALIBRATION OF INSTRUMENTS BY APPROVED VENDORS -_1112374_PMCAL
54937497 - SG00260701 - SUB-SYSTEM, SINGAPORE INSTRUMENT STANDARDS - CALIBRATION OF INSTRUMENTS BY APPROVED VENDORS -_1112372_PMCAL</t>
    </r>
  </si>
  <si>
    <t>Status: Out For Service/Repair</t>
  </si>
  <si>
    <t>Material Readiness for A1</t>
  </si>
  <si>
    <t>54936776 - SG00259811PX61A - FILTER DRYER AGITATOR SPEED ELEMENT PX-61A - CALIBRATION OF SPEED INDICATOR / TRANSMITTERS - U204_1094275_PMCAL</t>
  </si>
  <si>
    <t>FD Agitator PMCAL</t>
  </si>
  <si>
    <t>54936802 - SG00259811LT63A - FILTER DRYER LEVEL TRANSMITTER LT-63A - CALIBRATION OF LEVEL TRANSMITTER - M103_1094312_PMCAL</t>
  </si>
  <si>
    <t>FD Level PMCAL</t>
  </si>
  <si>
    <r>
      <rPr>
        <b/>
        <sz val="11"/>
        <color theme="1"/>
        <rFont val="Calibri"/>
        <family val="2"/>
      </rPr>
      <t>Filter Dryer Temperature Indicator/Transmitter PMCAL:</t>
    </r>
    <r>
      <rPr>
        <sz val="11"/>
        <color theme="1"/>
        <rFont val="Calibri"/>
        <family val="2"/>
      </rPr>
      <t xml:space="preserve">
54936788 - SG00259811TIT137 - FILTER DRYER GLYCOL SUPPLY TEMPERATURE INDICATING TRANSMITTER TIT-137 - CALIBRATION OF TEMPERATURE INDICATORS/TRANSMITTERS AT AMGEN SINGAPORE - ROOF_1094306_PMCAL
54937482 - SG00259811TE211A - FILTER DRYER TCU04 TEMPERATURE ELEMENT TE-211A - CALIBRATION OF TEMPERATURE INDICATORS/TRANSMITTERS AT AMGEN SINGAPORE - U205_1109126_PMCAL 
54936817 - SG00259811TT62A - FILTER DRYER WALL TEMPERATURE TRANSMITTER TT-62A - CALIBRATION OF TEMPERATURE INDICATORS/TRANSMITTERS AT AMGEN SINGAPORE - M103_1094342_PMCAL</t>
    </r>
  </si>
  <si>
    <t>FD Temperature PMCAL</t>
  </si>
  <si>
    <r>
      <rPr>
        <b/>
        <sz val="11"/>
        <color theme="1"/>
        <rFont val="Calibri"/>
        <family val="2"/>
      </rPr>
      <t>Filter Dryer Glovebox PM/ PMCAL</t>
    </r>
    <r>
      <rPr>
        <sz val="11"/>
        <color theme="1"/>
        <rFont val="Calibri"/>
        <family val="2"/>
      </rPr>
      <t xml:space="preserve">
54937557 - SG00259811AIT73A - FILTER DRYER DISCHARGE GLOVEBOX UPPER CHAMBER OXYGEN TRANSMITTER AIT-73A - CALIBRATION OF GAS ANALYZERS - M103_1118328_PMCAL
54936879 - SG00259811BI12 - FILTER DRYER DISCHARGE GLOVEBOX BI-12 - 3 MONTH MAINTENANCE OF SG00259811 FILTER DRYER ISOLATOR GLOVEBOX - M103_1094349_PM</t>
    </r>
  </si>
  <si>
    <t>FD glovebox PM/PMCAL</t>
  </si>
  <si>
    <t>54936831 - SG00259811LT133 - FILTER DRYER MOTHER LIQUOR SUMP LEVEL TRANSMITTER LT-133 - CALIBRATION OF LEVEL TRANSMITTER - MAGNETROL GUIDED WAVE RADAR - M103_1094352_PMCAL</t>
  </si>
  <si>
    <t>Mother liquor level PMCAL</t>
  </si>
  <si>
    <t>54936846 - SG00259811A15 - FILTER DRYER AGITATOR A-15 - 12 MONTH MAINTENANCE OF FILTER DRYER AGITATOR (59811-A-01) - M103_1094285_PM</t>
  </si>
  <si>
    <t>FD Agitator PM</t>
  </si>
  <si>
    <t>54937545 - SG00273509BAL002 - PD BALANCE, ASM2PD-BAL-02 - CALIBRATION OF BALANCES/FLOOR SCALES AND OPERATING RANGE DETERMINATION BY APPROVED VENDOR - L101_1115273_PMCAL</t>
  </si>
  <si>
    <t>Hong Loong Ong</t>
  </si>
  <si>
    <t>PD Balance PMCAL</t>
  </si>
  <si>
    <r>
      <rPr>
        <b/>
        <sz val="11"/>
        <color theme="1"/>
        <rFont val="Calibri"/>
        <family val="2"/>
      </rPr>
      <t>Calibration of Balances/Floor Scales:</t>
    </r>
    <r>
      <rPr>
        <sz val="11"/>
        <color theme="1"/>
        <rFont val="Calibri"/>
        <family val="2"/>
      </rPr>
      <t xml:space="preserve">
54936706 - SG00273520BAL04 - QC BALANCE, MICRO BALANCE BAL-04 - CALIBRATION OF BALANCES/FLOOR SCALES AND OPERATING RANGE DETERMINATION BY APPROVED VENDOR - L102_1100653_PMCAL
</t>
    </r>
  </si>
  <si>
    <t>QC Balance PMCAL</t>
  </si>
  <si>
    <r>
      <rPr>
        <b/>
        <sz val="11"/>
        <color theme="1"/>
        <rFont val="Calibri"/>
        <family val="2"/>
      </rPr>
      <t>Calibration of Balances/Floor Scales:</t>
    </r>
    <r>
      <rPr>
        <sz val="11"/>
        <color theme="1"/>
        <rFont val="Calibri"/>
        <family val="2"/>
      </rPr>
      <t xml:space="preserve">
54936694 - SG00273520BAL02 - QC BALANCE, ANALYTICAL BALANCE BAL-02 - CALIBRATION OF BALANCES/FLOOR SCALES AND OPERATING RANGE DETERMINATION BY APPROVED VENDOR - L102_1100651_PMCAL
54936682 - SG00273520BAL01 - QC BALANCE, ANALYTICAL BALANCE BAL-01 - CALIBRATION OF BALANCES/FLOOR SCALES AND OPERATING RANGE DETERMINATION BY APPROVED VENDOR - L102_1100650_PMCAL</t>
    </r>
  </si>
  <si>
    <t>54936896 - SG00259811D01 - FILTER DRYER D-01 - 12 MONTH MAINTENANCE OF FILTER DRYER SG00259811 - M103_1094265_PM</t>
  </si>
  <si>
    <r>
      <rPr>
        <b/>
        <sz val="11"/>
        <color theme="1"/>
        <rFont val="Calibri"/>
        <family val="2"/>
      </rPr>
      <t>Filter Dryer Rupture Disk PM:</t>
    </r>
    <r>
      <rPr>
        <sz val="11"/>
        <color theme="1"/>
        <rFont val="Calibri"/>
        <family val="2"/>
      </rPr>
      <t xml:space="preserve">
54937027 - SG00259811PSE189 - FILTER DRYER RUPTURE DISC PSE-189 - 24 MONTH MAINTENANCE OF ASM2 RUPTURE DISC (CCD) - M103_1094279_PM
54937014 - SG00259811PSE139 - FILTER DRYER RUPTURE DISC PSE-139 - 24 MONTH MAINTENANCE OF ASM2 RUPTURE DISC (CCD) - M103_1094263_PM
54937001 - SG00259811PSE113 - FILTER DRYER RUPTURE DISC PSE-113 - 24 MONTH MAINTENANCE OF ASM2 RUPTURE DISC (CCD) - M103_1094290_PM</t>
    </r>
  </si>
  <si>
    <t>FD Rupture Disk PM</t>
  </si>
  <si>
    <t>54936763 - SG00213060TR201 - NORMAL POWER,TRANSFORMER,22KV/415V (02-TR-2-01) APL - MAINTENANCE OF TRANSFORMER, PARTIAL DISCHARGE - U204_1084643_PM</t>
  </si>
  <si>
    <t>Power Transformer PM</t>
  </si>
  <si>
    <t>N2 Topped up on 6 May 2020</t>
  </si>
  <si>
    <t>54937276 - SG00262502L04 - TANKER PORTABLE ACCESS PLATFORM L-04 - MAINTENANCE OF LIFTING MACHINE/EQUIPMENT/GEARS BY VENDOR (STATUTORY INSPECTION) - YARD_1108838_PM</t>
  </si>
  <si>
    <t>Chin Guan Lee</t>
  </si>
  <si>
    <t>Tanker Platform PM</t>
  </si>
  <si>
    <t>54937270 - SG00262502L03 - MANUFACTURING GENIE LIFT L-03 - MAINTENANCE OF LIFTING MACHINE/EQUIPMENT/GEARS BY VENDOR (STATUTORY INSPECTION &amp; LOAD TEST -EVERY 4 YRS) - M106_1108837_PM</t>
  </si>
  <si>
    <t>Manufacturing Genie Lift PM</t>
  </si>
  <si>
    <t>54937264 - SG00262502L02 - MANUFACTURING DRUM LIFTER L-02 - MAINTENANCE OF LIFTING MACHINE/EQUIPMENT/GEARS BY VENDOR (STATUTORY INSPECTION &amp; LOAD TEST -EVERY 4 YRS) - M104_1108836_PM</t>
  </si>
  <si>
    <t>Drum Lifter PM</t>
  </si>
  <si>
    <t>54937258 - SG00262502L01 - MANUFACTURING AMX DRUM TRUCK L-01 - MAINTENANCE OF LIFTING MACHINE/EQUIPMENT/GEARS BY VENDOR (STATUTORY INSPECTION &amp; LOAD TEST -EVERY 4 YRS) - M201_1108835_PM</t>
  </si>
  <si>
    <t>AMX Drum Truck PM</t>
  </si>
  <si>
    <t>54936596 - SG00254312TIT120B - CHEMICAL REACTOR #2, TEMPERATURE INDICATING TRANSMITTER TIT-120B - CALIBRATION OF TEMPERATURE INDICATORS/TRANSMITTERS AT AMGEN SINGAPORE - M103_1093787_PMCAL</t>
  </si>
  <si>
    <t>R2 Temp transmitter PMCAL</t>
  </si>
  <si>
    <t>54936718 - SG00252801 - SUB-SYSTEM, QC TIMER - CALIBRATION OF STOP WATCHES (TIMOMETER METHOD) - L102_1100665_PMCAL</t>
  </si>
  <si>
    <t>QC Timer PMCAL</t>
  </si>
  <si>
    <r>
      <rPr>
        <b/>
        <sz val="11"/>
        <color theme="1"/>
        <rFont val="Calibri"/>
        <family val="2"/>
      </rPr>
      <t>Vacuum Pump PM:</t>
    </r>
    <r>
      <rPr>
        <sz val="11"/>
        <color theme="1"/>
        <rFont val="Calibri"/>
        <family val="2"/>
      </rPr>
      <t xml:space="preserve"> 
54937313 - SG00262504PE03 - VACUUM PUMP 16011 PAD EYE PE-03 - MAINTENANCE OF LIFTING MACHINE/EQUIPMENT/GEARS BY VENDOR (STATUTORY INSPECTION &amp; LOAD TEST -EVERY 4 YRS) - U206_1108846_PM
54937307 - SG00262504PE02 - VACUUM PUMP 16012 PAD EYE PE-02 - MAINTENANCE OF LIFTING MACHINE/EQUIPMENT/GEARS BY VENDOR (STATUTORY INSPECTION &amp; LOAD TEST -EVERY 4 YRS) - U206_1108845_PM</t>
    </r>
  </si>
  <si>
    <t>Vacuum Pump Pad Eye PM</t>
  </si>
  <si>
    <t>54937301 - SG00262504PE01 - FILTER DRYER 59811 PAD EYE PE-01 - MAINTENANCE OF LIFTING MACHINE/EQUIPMENT/GEARS BY VENDOR (STATUTORY INSPECTION &amp; LOAD TEST -EVERY 4 YRS) - M103_1108844_PM</t>
  </si>
  <si>
    <t>FD Pad Eye PM</t>
  </si>
  <si>
    <t>54937295 - SG00262503M05 - HYDROGENATOR 54313 MONORAIL M-05 - MAINTENANCE OF LIFTING MACHINE/EQUIPMENT/GEARS BY VENDOR (STATUTORY INSPECTION &amp; LOAD TEST -EVERY 4 YRS) - M105_1108843_PM</t>
  </si>
  <si>
    <t>Chin Guan lee</t>
  </si>
  <si>
    <t>Hydrog Monorail PM</t>
  </si>
  <si>
    <r>
      <rPr>
        <b/>
        <sz val="11"/>
        <color theme="1"/>
        <rFont val="Calibri"/>
        <family val="2"/>
      </rPr>
      <t>Glycol Chiller Monorails:</t>
    </r>
    <r>
      <rPr>
        <sz val="11"/>
        <color theme="1"/>
        <rFont val="Calibri"/>
        <family val="2"/>
      </rPr>
      <t xml:space="preserve">
54937289 - SG00262503M02 - GLYCOL CHILLER 15011 MONORAILS M-02 - MAINTENANCE OF LIFTING MACHINE/EQUIPMENT/GEARS BY VENDOR (STATUTORY INSPECTION &amp; LOAD TEST -EVERY 4 YRS) - U101_1108840_PM
</t>
    </r>
  </si>
  <si>
    <t>Status: Waiting Owner Cancellation</t>
  </si>
  <si>
    <t>Glycol Chiller Monorail PM</t>
  </si>
  <si>
    <t>54937252 - SG00262501L01 - AMX DRUM LIFTER L-01 - MAINTENANCE OF LIFTING MACHINE/EQUIPMENT/GEARS BY VENDOR (STATUTORY INSPECTION &amp; LOAD TEST -EVERY 4 YRS) - W108_1108834_PM</t>
  </si>
  <si>
    <t>Boon Tiong Tan</t>
  </si>
  <si>
    <t>AMX Drum Lifter PM</t>
  </si>
  <si>
    <t>54937283 - SG00262503M01 - GLYCOL CHILLER 15011 MONORAILS M-01 - MAINTENANCE OF LIFTING MACHINE/EQUIPMENT/GEARS BY VENDOR (STATUTORY INSPECTION &amp; LOAD TEST -EVERY 4 YRS) - U101_1108839_PM</t>
  </si>
  <si>
    <t>Status: WO extended</t>
  </si>
  <si>
    <t>55292832 - SG00254311X03 - CHEMICAL REACTOR #1, REACTOR SAMPLER X-03 - TO REPLACE INTERNAL DIAPHRAGMS FOR DIAPHRAGM PUMP - SAMPLER 54311X03 - M201_1093719_GM</t>
  </si>
  <si>
    <t xml:space="preserve">Status: WO extended
</t>
  </si>
  <si>
    <t>Rx 1 Sampler GM</t>
  </si>
  <si>
    <r>
      <rPr>
        <b/>
        <sz val="11"/>
        <color theme="1"/>
        <rFont val="Calibri"/>
        <family val="2"/>
      </rPr>
      <t>Tank Davit Arm:</t>
    </r>
    <r>
      <rPr>
        <sz val="11"/>
        <color theme="1"/>
        <rFont val="Calibri"/>
        <family val="2"/>
      </rPr>
      <t xml:space="preserve">
54937344 - SG00262505D05 - RELIEF CATCH TANK 14916 DAVIT ARM D-05 - MAINTENANCE OF LIFTING MACHINE/EQUIPMENT/GEARS BY VENDOR (STATUTORY INSPECTION &amp; LOAD TEST -EVERY 4 YRS) - YARD_1108856_PM
54937338 - SG00262505D04 - HEPTANE TANK 14915 DAVIT ARM D-04 - MAINTENANCE OF LIFTING MACHINE/EQUIPMENT/GEARS BY VENDOR (STATUTORY INSPECTION &amp; LOAD TEST -EVERY 4 YRS) - YARD_1108855_PM
54937332 - SG00262505D03 - ETHYL ACETATE TANK 14914 DAVIT ARM D-03 - MAINTENANCE OF LIFTING MACHINE/EQUIPMENT/GEARS BY VENDOR (STATUTORY INSPECTION &amp; LOAD TEST -EVERY 4 YRS) - YARD_1108854_PM
54937326 - SG00262505D02 - ACETONE TANK 14913 DAVIT ARM D-02 - MAINTENANCE OF LIFTING MACHINE/EQUIPMENT/GEARS BY VENDOR (STATUTORY INSPECTION &amp; LOAD TEST -EVERY 4 YRS) - YARD_1108853_PM
54937320 - SG00262505D01 - METHANOL TANK 14912 DAVIT ARM D-01 - MAINTENANCE OF LIFTING MACHINE/EQUIPMENT/GEARS BY VENDOR (STATUTORY INSPECTION &amp; LOAD TEST -EVERY 4 YRS) - YARD_1108852_PM</t>
    </r>
  </si>
  <si>
    <t xml:space="preserve">Status: Due date extended
The reason for PM extension to 20Jun20 is due to unavailability of the lifting gears and weights for the required Load Test. The PM will be rescheduled with the support of contractors toperform the Load Test.    </t>
  </si>
  <si>
    <t>Tank farm davit arm PM</t>
  </si>
  <si>
    <t>55369128 - SG00240511T01 - MOBILE CIP SKID #1, TANK T-01 - TOP UP OF OIL FOR CIP PUMP TANK 40511-T-01-LS ZM103 - M103_1091623_GM</t>
  </si>
  <si>
    <t>Mobile CID Skid GM</t>
  </si>
  <si>
    <t>55191492 - SG00254313F11 - HYDROGENATOR, POLISHING FILTER F-11 - REPLACE POLISHING FILTER INSULATION - ENGAGE VENDOR TO PERFORM FABRICATION AND REPLACEMENT M105 - M105_1093743_GM</t>
  </si>
  <si>
    <t>1. Installed insulation cover for Polishing Filter by Vendor.
2. Insulation is not fully cover Filter due to slightly small size.Need to Modify Cover. Job In-progress. PKB 29-Apr-2020.</t>
  </si>
  <si>
    <t>Polish filter insulation work</t>
  </si>
  <si>
    <t>55292850 - SG00254312X03 - CHEMICAL REACTOR #2, REACTOR SAMPLER X-03 - TO REPLACE INTERNAL DIAPHRAGMS FOR DIAPHRAGM PUMP - SAMPLER 54312X03 - M201_1093793_GM</t>
  </si>
  <si>
    <t>Status: WO due date extended</t>
  </si>
  <si>
    <t>Rx 2 Sampler GM</t>
  </si>
  <si>
    <t>54937107 - SG00240511CIP01 - MOBILE CIP SKID #1, CIP-01 - 12 MONTH MAINTENANCE OF MOBILE CIP CART 40511-CIP-01 - M103_1091624_PM</t>
  </si>
  <si>
    <t>CIP Skid PM</t>
  </si>
  <si>
    <t>55685887 - SG00225011X01BUVA27021 - ULTRAVIOLET UNIT, SOFTENER OUTLET, A270.2.1 - TO REPLACED UV LIGHTS. - U101_1091418_GM</t>
  </si>
  <si>
    <t>Replace UV lights on PUR H2O skid</t>
  </si>
  <si>
    <t>55685973 - SG002W106 - FLAMMABLE STORE - TO INSTALL SS DRAIN COVERS IN FLAMMABLE STORE AND PROVIDE EARTH BONDING. -__GM</t>
  </si>
  <si>
    <t>Wee Kiang Seah</t>
  </si>
  <si>
    <t>Install drain covers in flam store</t>
  </si>
  <si>
    <t>54407939 - SG00254313P08 - HYDROGENATOR, CATALYST FILTRATION, PUMP P-08 - REPLACE MECHANICAL SEAL FOR 54313-P-08 PUMP - M105__GM</t>
  </si>
  <si>
    <t>Awaiting arrival of parts</t>
  </si>
  <si>
    <t>Replace cat filt pump mech seal</t>
  </si>
  <si>
    <t>55712095 - SG00234534AHU34 - AHU-34 AIR HANDLING UNIT LABORATORY - TO REPLACE G4 FILTERS. - U201_1089497_GM</t>
  </si>
  <si>
    <t>Laboratory AHU filter</t>
  </si>
  <si>
    <t>Genba - Cancelled</t>
  </si>
  <si>
    <t>QoP - Cancelled</t>
  </si>
  <si>
    <t>55973523 ‐ SG00291011VA04 ‐ SG002 PREDICTIVE MAINTENANCE ROUTE FOR
HVAC ‐ ASM2 SG002 DATA COLLECTION OF VIBRATION ROUTE, AIR HANDLING
UNITS ‐</t>
  </si>
  <si>
    <t>HVAC PM vibration analysis</t>
  </si>
  <si>
    <t>55973486 ‐ SG00291011VA01 ‐ SG002 VIBRATION ANALYSIS ROUTE FOR PROCESS
EQUIPMENT ‐ ASM2 SG002 DATA COLLECTION OF VIBRATION ROUTE, PROCESS
EQUIPMENT ‐</t>
  </si>
  <si>
    <t>Vibration analysis route</t>
  </si>
  <si>
    <t>Solvent loading - n-Hep</t>
  </si>
  <si>
    <t>[27May2020] Senn material to be consumed first</t>
  </si>
  <si>
    <t>55973117 - SG00251901PR02 - QC ENDOPTS PLATE READER PR-02 - ASM - CALIBRATION OF INSTRUMENT BY APPROVED VENDORS - L213_917770_PMCAL</t>
  </si>
  <si>
    <t>QC Plate Reader PMCAL</t>
  </si>
  <si>
    <r>
      <rPr>
        <b/>
        <sz val="11"/>
        <color theme="1"/>
        <rFont val="Calibri"/>
        <family val="2"/>
        <scheme val="minor"/>
      </rPr>
      <t>Sub-system calibration of instruments by vendor:</t>
    </r>
    <r>
      <rPr>
        <sz val="11"/>
        <color theme="1"/>
        <rFont val="Calibri"/>
        <family val="2"/>
        <scheme val="minor"/>
      </rPr>
      <t xml:space="preserve">
55974117 - SG00260701 - SUB-SYSTEM, SINGAPORE INSTRUMENT STANDARDS - CALIBRATION OF INSTRUMENTS BY APPROVED VENDORS -_1112366_PMCAL
55974462 - SG00260701 - SUB-SYSTEM, SINGAPORE INSTRUMENT STANDARDS - CALIBRATION OF INSTRUMENTS BY APPROVED VENDORS -_1154656_PMCAL</t>
    </r>
  </si>
  <si>
    <t>Sub-system PMCAL</t>
  </si>
  <si>
    <t>56064755 - SG00261531 - SUB-SYSTEM, MISCELLANEOUS WAREHOUSE TOOLS - TO PERFORM INITIAL CALIBRATION AND AFFIX INSTRUMENT LABEL (INST-LIM CALIB) ON NEW TORQUE WRENCH ASSET. -_1199024_GMCAL</t>
  </si>
  <si>
    <t>Torque Wrench Asset GMCAL</t>
  </si>
  <si>
    <t>55974185 - SG00220815K01 - CHILLED WATER GENERATION, AIR COOLED CHILLER K-01 - MAINTENANCE, VENDOR SERVICES FOR EQUIPMENT OR SYSTEMS - YARD_1085619_PM</t>
  </si>
  <si>
    <r>
      <t>Chilled H</t>
    </r>
    <r>
      <rPr>
        <vertAlign val="subscript"/>
        <sz val="11"/>
        <color theme="1"/>
        <rFont val="Calibri"/>
        <family val="2"/>
        <scheme val="minor"/>
      </rPr>
      <t>2</t>
    </r>
    <r>
      <rPr>
        <sz val="11"/>
        <color theme="1"/>
        <rFont val="Calibri"/>
        <family val="2"/>
        <scheme val="minor"/>
      </rPr>
      <t>0 Gen. PM</t>
    </r>
  </si>
  <si>
    <t>55974169 - SG00220815K02 - CHILLED WATER GENERATION, AIR COOLED CHILLER K-02 - MAINTENANCE, VENDOR SERVICES FOR EQUIPMENT OR SYSTEMS - YARD_1085621_PM</t>
  </si>
  <si>
    <t>53546400 - SG00225011X01BB27061 - ELECTRO DEIONIZATION (EDI) UNIT B270.6.1 - TO RECTIFY THE LEAK AT EDI - U101_1109831_GM</t>
  </si>
  <si>
    <t>Hongliang Lai</t>
  </si>
  <si>
    <t>EDI Unit GM</t>
  </si>
  <si>
    <t>56064834 - SG00214921PI010 - TANK FARM SOLVENT CHARGE MANIFOLD, PRESSURE INDICATOR PI-010 - FOLLOW UP FROM AAE 55716550: TO AFFIX 'DO NOT USE' LABEL ON SALVAGED INSTRUMENT. AN 1092685. - M201__GM</t>
  </si>
  <si>
    <t>Affix label on PI</t>
  </si>
  <si>
    <t>Material Readiness - A1 cleaning</t>
  </si>
  <si>
    <t>Drums for cleaning</t>
  </si>
  <si>
    <r>
      <rPr>
        <b/>
        <sz val="11"/>
        <color theme="1"/>
        <rFont val="Calibri"/>
        <family val="2"/>
        <scheme val="minor"/>
      </rPr>
      <t>Mix Tank 1 PMCAL</t>
    </r>
    <r>
      <rPr>
        <sz val="11"/>
        <color theme="1"/>
        <rFont val="Calibri"/>
        <family val="2"/>
        <scheme val="minor"/>
      </rPr>
      <t xml:space="preserve">
55973452 - SG00275011PI006 - MIX TANK #1, PRESSURE INDICATOR PI-006 - CALIBRATION OF PRESSURE INDICATOR - M201_1092141_PMCAL
55973391 - SG00275011SE008 - MIX TANK #1, SPEED SENSOR SE-008 - CALIBRATION OF SPEED INDICATOR / TRANSMITTERS - U204_1092162_PMCAL
55973307 - SG00275011LIT007 - MIX TANK #1, LEVEL INDICATING TRANSMITTER LIT-007 - CALIBRATION OF LEVEL TRANSMITTER - MAGNETROL GUIDED WAVE RADAR - M201_1092147_PMCAL</t>
    </r>
  </si>
  <si>
    <t>Mix Tank 1 PMCAL</t>
  </si>
  <si>
    <t>56197789 - SG00260701 - SUB-SYSTEM, SINGAPORE INSTRUMENT STANDARDS - TO PERFORM INITIAL CALIBRATION AND AFFIX INSTRUMENT LABEL (STD-LIM CALIB) ON NEW STANDARD METER -_1199362_GMCAL</t>
  </si>
  <si>
    <t>Stand. meter initial cal</t>
  </si>
  <si>
    <t>55973617 - SG00277012T04 - CHEMICAL FUME HOOD, CHEMICAL CANISTER T-04 - 12 MONTH MAINTENANCE OF CHEMICAL CANISTER (77012-T-04) - M104_1088528_PM</t>
  </si>
  <si>
    <t>Chemical Canister PM</t>
  </si>
  <si>
    <r>
      <rPr>
        <b/>
        <sz val="11"/>
        <color theme="1"/>
        <rFont val="Calibri"/>
        <family val="2"/>
        <scheme val="minor"/>
      </rPr>
      <t>Mix Tank 2 PMCAL</t>
    </r>
    <r>
      <rPr>
        <sz val="11"/>
        <color theme="1"/>
        <rFont val="Calibri"/>
        <family val="2"/>
        <scheme val="minor"/>
      </rPr>
      <t xml:space="preserve">
55973469 - SG00275012PI006 - MIX TANK #2, PRESSURE INDICATOR PI-006 - CALIBRATION OF PRESSURE INDICATOR - M201_1092187_PMCAL
55973403 - SG00275012SE008 - MIX TANK #2, SPEED SENSOR SE-008 - CALIBRATION OF SPEED INDICATOR / TRANSMITTERS - U204_1092189_PMCAL
55973322 - SG00275012LIT007 - MIX TANK #2, LEVEL INDICATING TRANSMITTER LIT-007 - CALIBRATION OF LEVEL TRANSMITTER - MAGNETROL GUIDED WAVE RADAR - M201_1092183_PMCAL</t>
    </r>
  </si>
  <si>
    <t>Mix Tank 2 PMCAL</t>
  </si>
  <si>
    <t>55974410 - SG00225021F56031 - PURIFIED WATER TANK, VENT FILTER F560.3.1 - ASM2-REPLACEMENT OF GAS/VENT FILTER, PRE &amp; POST INTEGRITY TEST - U101_1097807_PM</t>
  </si>
  <si>
    <t>Pur H2O filter integrity test</t>
  </si>
  <si>
    <t>55974370 - SG00277011PSV013 - DOWNFLOW BOOTH, CHILLED WATER RETURN PRESSURE SAFETY VALVE PSV-013 - SERVICING AND RECERTIFICATION FOR PRESSURE SAFETY VALVE (CCD) - M101_1142472_PM</t>
  </si>
  <si>
    <t>DFB PSV PM</t>
  </si>
  <si>
    <t>55974143 - SG00277014H01 - PD POWDERSAFE DUCTLESS BALANCE ENCLOSURE - CERTIFICATION OF VBSE -_1116935_PMCERT</t>
  </si>
  <si>
    <t>PD balance PMCERT</t>
  </si>
  <si>
    <t>55974133 - SG00213062UPS201 - ASM BUILDING 2 UPS-2-01 - PREVENTIVE MAINTENANCE BY VENDOR SUPPORT SERVICES - U202_1089769_PM</t>
  </si>
  <si>
    <t>UPS PM</t>
  </si>
  <si>
    <t>55974389 - SG00225021F56021 - PURIFIED WATER TANK, VENT FILTER F560.2.1 - ASM2-REPLACEMENT OF GAS/VENT FILTER, PRE &amp; POST INTEGRITY TEST - U101_1097805_PM</t>
  </si>
  <si>
    <t>QoP - Dispensing</t>
  </si>
  <si>
    <t>Solvent loading</t>
  </si>
  <si>
    <t>Replace R2 sampler diaphragm</t>
  </si>
  <si>
    <r>
      <rPr>
        <b/>
        <sz val="11"/>
        <color theme="1"/>
        <rFont val="Calibri"/>
        <family val="2"/>
        <scheme val="minor"/>
      </rPr>
      <t>Chemical Reactor 2 LIT:</t>
    </r>
    <r>
      <rPr>
        <sz val="11"/>
        <color theme="1"/>
        <rFont val="Calibri"/>
        <family val="2"/>
        <scheme val="minor"/>
      </rPr>
      <t xml:space="preserve">
55726590 - SG00254312LIT119 - CHEMICAL REACTOR #2, LEVEL INDICATING TRANSMITTER LIT-119 - CHILD CC WO#55185467: TO REPLACE WITH NEW LEVEL INDICATING TRANSMITTER AN 1197838 - M201_1197838_GM
55586938 - SG00254312LIT119 - CHEMICAL REACTOR #2, LEVEL INDICATING TRANSMITTER LIT-119 - CHILD OF CC WO#55185467: PERFORM EXIT CAL FOR ASSET 1093800. - M201_1093800_GMCAL</t>
    </r>
  </si>
  <si>
    <t>R2 LIT replacement - exit cal</t>
  </si>
  <si>
    <t>55973415 - SG00281015CR01 - API WALK IN COLD ROOM (2-8 DEGREE CELSIUS) (2-8DEGREE) CR-01 - QUARTERLY COLD ROOM CONDENSING UNIT MAINTENANCE - W101_1092747_PM</t>
  </si>
  <si>
    <t>John Sundar Arockiasamy</t>
  </si>
  <si>
    <t>2-8 condens. unit PM</t>
  </si>
  <si>
    <t>55726465 - SG00254312LIT119 - CHEMICAL REACTOR #2, LEVEL INDICATING TRANSMITTER LIT-119 - CHILD OF CC WO 55185467: TO PERFORM INITIAL CALIBRATION ON NEW LEVEL INDICATING TRANSMITTER - M201_1197838_GMCAL</t>
  </si>
  <si>
    <t>R2 LIT replacement - entry cal</t>
  </si>
  <si>
    <t>55974363 - SG00262506L01 - MANUAL LIFTER (400KG) - MAINTENANCE OF LIFTING MACHINE/EQUIPMENT/GEARS BY VENDOR (STATUTORY INSPECTION) - U101_1140415_PM</t>
  </si>
  <si>
    <t>Manual lifter PM</t>
  </si>
  <si>
    <r>
      <rPr>
        <b/>
        <sz val="11"/>
        <color theme="1"/>
        <rFont val="Calibri"/>
        <family val="2"/>
        <scheme val="minor"/>
      </rPr>
      <t>Compressed Air Generation System:</t>
    </r>
    <r>
      <rPr>
        <sz val="11"/>
        <color theme="1"/>
        <rFont val="Calibri"/>
        <family val="2"/>
        <scheme val="minor"/>
      </rPr>
      <t xml:space="preserve">
55974355 - SG00210011T07 - COMPRESSED AIR GENERATION SYSTEM, DRY AIR RECEIVER TANK T-07 - MAINTENANCE OF COMPRESSED AIR SYSTEM (STATUTORY INSPECTION) - U201_1085454_PM
55974338 - SG00210011T03 - COMPRESSED AIR GENERATION SYSTEM, COMPRESSED AIR RECEIVER TANK T-03 - MAINTENANCE OF COMPRESSED AIR SYSTEM (STATUTORY INSPECTION) - U201_1085438_PM</t>
    </r>
  </si>
  <si>
    <t>IH Monitoring - THF charging</t>
  </si>
  <si>
    <t>56233294 - SG00291011VA03 - SG002 VIBRATION ANALYSIS ROUTE FOR TANK FARM - ASM2 SG002 DATA COLLECTION OF VIBRATION ROUTE, TANK FARM -_1105760_PMD</t>
  </si>
  <si>
    <t>Tank farm vibration anal</t>
  </si>
  <si>
    <t>Methanol draining</t>
  </si>
  <si>
    <t>Sara</t>
  </si>
  <si>
    <t>QoP - Salt Prep</t>
  </si>
  <si>
    <t>Material Readiness for A2-5 &amp; A2-6</t>
  </si>
  <si>
    <t>56374405 - 54312-R-01 Operational Test for LIT-119 Change</t>
  </si>
  <si>
    <t>Karon Chan</t>
  </si>
  <si>
    <t>Agitator offset test</t>
  </si>
  <si>
    <t>Methanol top up</t>
  </si>
  <si>
    <t>56234003 - SG00270011BL04 - SCRUBBER SYSTEM BLOWER BL-04 - MOTOR INSPECTION - YARD_1091686_PM</t>
  </si>
  <si>
    <t>Scrubber PM</t>
  </si>
  <si>
    <t>53937451 - SG00217521PSV021 - AQUEOUS WASTE TANK T-02, PRESSURE SAFETY VALVE PSV-021 - AQUEOUS WASTE TANK T-02, PRESSURE SAFETY VALVE PSV-021 NEED TO SEND OUT FOR SERVICING - SG002YARD_1087528_PPR</t>
  </si>
  <si>
    <t>Aq. Waste Tank PSV</t>
  </si>
  <si>
    <t>56233990 - SG00270011BL03 - SCRUBBER SYSTEM BLOWER BL-03 - MOTOR INSPECTION - YARD_1091676_PM</t>
  </si>
  <si>
    <t>Scrubber blower PM</t>
  </si>
  <si>
    <t>56233583 - SG00210031PD001 - BREATHING AIR DISTRIBUTION PANEL (CCD) - 3 MONTH MAINTENANCE OF BREATHING AIR SYSTEM (CCD) - U201_1103357_PM</t>
  </si>
  <si>
    <t>Breathing air PM</t>
  </si>
  <si>
    <t>56233644 - SG00279211BI01 - DISPENSING AND SAMPLING GLOVEBOX, DISPENSING/SAMPLING AND PACKOFF GLOVEBOX BI-01 - 3 MONTH MAINTENANCE OF SG00279211 ISOLATOR GLOVEBOX (CCD) - M101_1093104_PM</t>
  </si>
  <si>
    <t>Disp isolator PM</t>
  </si>
  <si>
    <t>56233277 - SG00259811BI12 - FILTER DRYER DISCHARGE GLOVEBOX BI-12 - 3 MONTH MAINTENANCE OF SG00259811 FILTER DRYER ISOLATOR GLOVEBOX - M103_1094349_PM</t>
  </si>
  <si>
    <t>FD Glovebox PM</t>
  </si>
  <si>
    <t xml:space="preserve">Acetone draining
</t>
  </si>
  <si>
    <r>
      <rPr>
        <b/>
        <sz val="11"/>
        <color theme="1"/>
        <rFont val="Calibri"/>
        <family val="2"/>
        <scheme val="minor"/>
      </rPr>
      <t>Chilled Water Generation PM:</t>
    </r>
    <r>
      <rPr>
        <sz val="11"/>
        <color theme="1"/>
        <rFont val="Calibri"/>
        <family val="2"/>
        <scheme val="minor"/>
      </rPr>
      <t xml:space="preserve">
56233928 - SG00220815K01 - CHILLED WATER GENERATION, AIR COOLED CHILLER K-01 - MAINTENANCE, VENDOR SERVICES FOR EQUIPMENT OR SYSTEMS - YARD_1085619_PM
56233913 - SG00220815K02 - CHILLED WATER GENERATION, AIR COOLED CHILLER K-02 - MAINTENANCE, VENDOR SERVICES FOR EQUIPMENT OR SYSTEMS - YARD_1085621_PM</t>
    </r>
  </si>
  <si>
    <t>Completed on the 15th of July</t>
  </si>
  <si>
    <t>Genba - Pallet jack ops</t>
  </si>
  <si>
    <r>
      <rPr>
        <b/>
        <sz val="11"/>
        <color theme="1"/>
        <rFont val="Calibri"/>
        <family val="2"/>
        <scheme val="minor"/>
      </rPr>
      <t>Process Vacuum Skid A PM:</t>
    </r>
    <r>
      <rPr>
        <sz val="11"/>
        <color theme="1"/>
        <rFont val="Calibri"/>
        <family val="2"/>
        <scheme val="minor"/>
      </rPr>
      <t xml:space="preserve">
56233515 - SG00216011XF2A - PROCESS VACUUM SKID A, OUTLET FLAME ARRESTOR XF-2A - PM FLAME ARRESTER INSPECTION (CCD) - U206_1088430_PM
56233498 - SG00216011XF1A - PROCESS VACUUM SKID A, INLET FLAME ARRESTOR XF-1A - PM FLAME ARRESTER INSPECTION (CCD) - U206_1088429_PM
56233399 - SG00216011VP1 - PROCESS VACUUM SKID A, PUMP VP-01 - 12 MONTH MAINTENANCE OF PROCESS VACUUM GENERATION SYSTEM 16011VP-1 - U206_1088428_PM</t>
    </r>
  </si>
  <si>
    <t>Vac flame arrest. PM</t>
  </si>
  <si>
    <t>56467139 - SG00234534EF02 - AHU-34 EXHAUST FAN EF-02 - TO REPLACE THE 34534-EF-02 FAN BELT. - U201_1089505_GM</t>
  </si>
  <si>
    <t>Replace AHU fan belt</t>
  </si>
  <si>
    <t xml:space="preserve">Waste offloading - Aq </t>
  </si>
  <si>
    <t>56379507 - SG00225011P84521 - PURIFIED WATER DISTRIBUTION PUMP P845.2.1 - TO TROUBLESHOOT DISTRIBUTION PUMP DRIVE MOTOR WHICH EMITS ABNORMAL SOUND. - U101_1097804_GM</t>
  </si>
  <si>
    <t>Troubleshoot. PUR H20 pump</t>
  </si>
  <si>
    <t>QoP - DIPEA disp.</t>
  </si>
  <si>
    <t>Genba - DIPEA disp.</t>
  </si>
  <si>
    <t xml:space="preserve">Solvent loading - </t>
  </si>
  <si>
    <t>56347767 - SG00261510TS02 - TEMPERATURE SENSOR TS-02 - CALIBRATION OF INSTRUMENTS BY APPROVED VENDORS - L102_1112285_PMCAL</t>
  </si>
  <si>
    <t>QC instru. Cal</t>
  </si>
  <si>
    <r>
      <rPr>
        <b/>
        <sz val="11"/>
        <color theme="1"/>
        <rFont val="Calibri"/>
        <family val="2"/>
        <scheme val="minor"/>
      </rPr>
      <t>Miscellaneous warehouse tools PMCAL</t>
    </r>
    <r>
      <rPr>
        <sz val="11"/>
        <color theme="1"/>
        <rFont val="Calibri"/>
        <family val="2"/>
        <scheme val="minor"/>
      </rPr>
      <t xml:space="preserve">
56233261 - SG00261531 - SUB-SYSTEM, MISCELLANEOUS WAREHOUSE TOOLS - CALIBRATION OF INSTRUMENTS BY APPROVED VENDORS -_1102942_PMCAL
56233245 - SG00261531 - SUB-SYSTEM, MISCELLANEOUS WAREHOUSE TOOLS - CALIBRATION OF INSTRUMENTS BY APPROVED VENDORS -_1101477_PMCAL</t>
    </r>
  </si>
  <si>
    <t>Warehouse tools cal</t>
  </si>
  <si>
    <t>56233229 - SG00260701 - SUB-SYSTEM, SINGAPORE INSTRUMENT STANDARDS - CALIBRATION OF INSTRUMENTS BY APPROVED VENDORS -_1099899_PMCAL</t>
  </si>
  <si>
    <t>Instrument calibration PMCAL</t>
  </si>
  <si>
    <r>
      <rPr>
        <b/>
        <sz val="11"/>
        <color theme="1"/>
        <rFont val="Calibri"/>
        <family val="2"/>
        <scheme val="minor"/>
      </rPr>
      <t xml:space="preserve">Process Development Test Weights PMCAL: </t>
    </r>
    <r>
      <rPr>
        <sz val="11"/>
        <color theme="1"/>
        <rFont val="Calibri"/>
        <family val="2"/>
        <scheme val="minor"/>
      </rPr>
      <t xml:space="preserve">
56233882 - SG00273510 - SYSTEM, PROCESS DEVELOPMENT TEST WEIGHTS - CALIBRATION OF INSTRUMENTS BY APPROVED VENDORS - L101_1112867_PMCAL
56233866 - SG00273510 - SYSTEM, PROCESS DEVELOPMENT TEST WEIGHTS - CALIBRATION OF INSTRUMENTS BY APPROVED VENDORS - L101_1112866_PMCAL
56233850 - SG00273510 - SYSTEM, PROCESS DEVELOPMENT TEST WEIGHTS - CALIBRATION OF INSTRUMENTS BY APPROVED VENDORS - L101_1112865_PMCAL
56233834 - SG00273510 - SYSTEM, PROCESS DEVELOPMENT TEST WEIGHTS - CALIBRATION OF INSTRUMENTS BY APPROVED VENDORS - L101_1112864_PMCAL</t>
    </r>
  </si>
  <si>
    <t>PD test weight PMCAL</t>
  </si>
  <si>
    <r>
      <rPr>
        <b/>
        <sz val="11"/>
        <color theme="1"/>
        <rFont val="Calibri"/>
        <family val="2"/>
        <scheme val="minor"/>
      </rPr>
      <t>Process Development Pipette PMCAL:</t>
    </r>
    <r>
      <rPr>
        <sz val="11"/>
        <color theme="1"/>
        <rFont val="Calibri"/>
        <family val="2"/>
        <scheme val="minor"/>
      </rPr>
      <t xml:space="preserve">
56233818 - SG00265103 - SUBSYSTEM, PD PIPETTE - CALIBRATION OF INSTRUMENTS BY APPROVED VENDORS - L101_1112597_PMCAL
56233802 - SG00265103 - SUBSYSTEM, PD PIPETTE - CALIBRATION OF INSTRUMENTS BY APPROVED VENDORS - L101_1112596_PMCAL
56233786 - SG00265103 - SUBSYSTEM, PD PIPETTE - CALIBRATION OF INSTRUMENTS BY APPROVED VENDORS - L101_1112595_PMCAL
56233770 - SG00265103 - SUBSYSTEM, PD PIPETTE - CALIBRATION OF INSTRUMENTS BY APPROVED VENDORS - L101_1112590_PMCAL
56233754 - SG00265103 - SUBSYSTEM, PD PIPETTE - CALIBRATION OF INSTRUMENTS BY APPROVED VENDORS - L101_1112589_PMCAL
56233738 - SG00265103 - SUBSYSTEM, PD PIPETTE - CALIBRATION OF INSTRUMENTS BY APPROVED VENDORS - L101_1112588_PMCAL
56233722 - SG00265103 - SUBSYSTEM, PD PIPETTE - CALIBRATION OF INSTRUMENTS BY APPROVED VENDORS - L101_1112587_PMCAL</t>
    </r>
  </si>
  <si>
    <t>Xinghua Pan</t>
  </si>
  <si>
    <t>PD pipette PMCAL</t>
  </si>
  <si>
    <t xml:space="preserve">Acetone top up
</t>
  </si>
  <si>
    <t>56215034 - SG002335 - SYSTEM, GENERAL BUILDING - TO REPLACE FLUORESCENT LIGHT IN THE FOLLOWING ROOMS: LVL1 CORRIDOR (M-106) X 4QTY PRODUCTION SUPPORT ROOM (M-104) X 2QTY LVL2 CORRIDOR (M-203) X 6 QTY MECHANICAL ROOM 2 (U-205) X 2QTY MECHANICAL ROOM 3 (U-__GM</t>
  </si>
  <si>
    <t>Wee Khiang Seah</t>
  </si>
  <si>
    <t>Fluor. light replacement</t>
  </si>
  <si>
    <t>56493256 - SG00214915P03 - HEPTANE STORAGE, TRANSFER PUMP P-03 - TO CHECK ALIGNMENT AND PERFORM VIBRATION MONITORING FOR HEPTANE TRANSFER PUMP - YARD_1092682_GM</t>
  </si>
  <si>
    <t>Check Hep Xfer Pump</t>
  </si>
  <si>
    <t>55465393 ‐ SG00259811BI12 ‐ FILTER DRYER DISCHARGE GLOVEBOX BI‐12 ‐ FILTER DRYER LOWER CHAMBER GLOVE BOX BOTTOM LEFT GLOVE FOUND TO HAVE A PIN HOLE LEAK. TO REPLACE GLOVE. ‐ M103</t>
  </si>
  <si>
    <t>Replace FD glove GM</t>
  </si>
  <si>
    <t>QoP - Phase cut</t>
  </si>
  <si>
    <t>Waste offloading - Aq (not req)</t>
  </si>
  <si>
    <t>Genba - TBD</t>
  </si>
  <si>
    <t>QoP - transfer of batch to FD</t>
  </si>
  <si>
    <t>Genba - Vac pump walkdown</t>
  </si>
  <si>
    <r>
      <rPr>
        <b/>
        <sz val="11"/>
        <color theme="1"/>
        <rFont val="Calibri"/>
        <family val="2"/>
        <scheme val="minor"/>
      </rPr>
      <t>QC Moisture Analyzer PMCAL:</t>
    </r>
    <r>
      <rPr>
        <sz val="11"/>
        <color theme="1"/>
        <rFont val="Calibri"/>
        <family val="2"/>
        <scheme val="minor"/>
      </rPr>
      <t xml:space="preserve">
56347751 - SG00264101MA02 - QC ANALYZER, MOISTURE ANALYZER MA-02 - CALIBRATION OF INSTRUMENTS BY APPROVED VENDORS - L102_1100667_PMCAL
56347735 - SG00264101MA01 - QC ANALYZER, MOISTURE ANALYZER MA-01 - CALIBRATION OF INSTRUMENTS BY APPROVED VENDORS - L102_1100666_PMCAL</t>
    </r>
  </si>
  <si>
    <t>Moisture Analyz. PMCAL</t>
  </si>
  <si>
    <t>56233710 - SG00273509BAL01 - PD BALANCE, ANALYTICAL BALANCE ASM2PD-BAL-01 - CALIBRATION OF BALANCES/FLOOR SCALES AND OPERATING RANGE DETERMINATION BY APPROVED VENDOR - L101_1112584_PMCAL</t>
  </si>
  <si>
    <t>56493374 - SG002335 - SYSTEM, GENERAL BUILDING - TO REPLACE FAULTY FLUORESCENT CEILING LIGHTS IN U101 -__GM</t>
  </si>
  <si>
    <t>U101 fluorescent light GM</t>
  </si>
  <si>
    <r>
      <rPr>
        <b/>
        <sz val="11"/>
        <color theme="1"/>
        <rFont val="Calibri"/>
        <family val="2"/>
        <scheme val="minor"/>
      </rPr>
      <t>Process Vacuum Skid B:</t>
    </r>
    <r>
      <rPr>
        <sz val="11"/>
        <color theme="1"/>
        <rFont val="Calibri"/>
        <family val="2"/>
        <scheme val="minor"/>
      </rPr>
      <t xml:space="preserve">
56233481 - SG00216012XF2B - PROCESS VACUUM SKID B, OUTLET FLAME ARRESTOR XF-2B - PM FLAME ARRESTER INSPECTION (CCD) - U206_1088449_PM
56233464 - SG00216012XF1B - PROCESS VACUUM SKID B, INLET FLAME ARRESTOR XF-1B - PM FLAME ARRESTER INSPECTION (CCD) - U206_1088445_PM</t>
    </r>
  </si>
  <si>
    <t>Vac. Pump Flame Arrestor PM</t>
  </si>
  <si>
    <t>56233432 - SG00216012VP1 - PROCESS VACUUM SKID B, PUMP VP-01 - 12 MONTH MAINTENANCE OF PROCESS VACUUM GENERATION SYSTEM 16012VP-01 - U206_1088444_PM</t>
  </si>
  <si>
    <t>Process Vacuum Skid B PM</t>
  </si>
  <si>
    <t>Genba - Tank farm</t>
  </si>
  <si>
    <t>56215016 - SG00254313P08 - HYDROGENATOR, CATALYST FILTRATION, PUMP P-08 - TO INSTALL BACK INSULATION ON HYDROGENATOR PUMP 54313-P-08. IMPELLER SIDE. - M105__GM</t>
  </si>
  <si>
    <t>Hydrog. Pump insulat. Install.</t>
  </si>
  <si>
    <t>QoP - Filtration</t>
  </si>
  <si>
    <t>56662033 - SG00233921P05 - FLOOR DRAIN TRANSFER SYSTEM SUBMERSIBLE PUMP P-05 - TO APPLY SILICONE TO SEAL FLOOR DRAIN - YARD__GM</t>
  </si>
  <si>
    <t>Silicone on floor drain</t>
  </si>
  <si>
    <t>56233371 - SG00215011TIT007 - CHILLED GLYCOL GENERATION SYSTEM TEMPERATURE INDICATING TRANSMITTER TIT-007 - CALIBRATION OF TEMPERATURE INDICATORS/TRANSMITTERS AT AMGEN SINGAPORE - YARD_1087155_PMCAL</t>
  </si>
  <si>
    <t>Glycol TIT PMCAL</t>
  </si>
  <si>
    <t>Genba - Scrubber</t>
  </si>
  <si>
    <t>Ethyl Acetate draining</t>
  </si>
  <si>
    <t>56696752 - SG00270011X01 - SCRUBBER SYSTEM X-01 - TO INSPECT SCRUBBER WITH UPSTREAM VALVE (MV201) SHUT AND BLOWER RUNNING/NOT RUNNING AND CHECK FOR ANY LEAKS IN THE SCRUBBER SYSTEM AFTER ISOLATING FROM UPSTREAM MANIFOLDS - YARD_1091680_GM</t>
  </si>
  <si>
    <t>Scrubber leak check</t>
  </si>
  <si>
    <r>
      <rPr>
        <b/>
        <sz val="11"/>
        <color theme="1"/>
        <rFont val="Calibri"/>
        <family val="2"/>
        <scheme val="minor"/>
      </rPr>
      <t>Local Vent Collection System Flame Arrestor:</t>
    </r>
    <r>
      <rPr>
        <sz val="11"/>
        <color theme="1"/>
        <rFont val="Calibri"/>
        <family val="2"/>
        <scheme val="minor"/>
      </rPr>
      <t xml:space="preserve">
56233693 - SG00273011FA007 - LOCAL VENT COLLECTION SYSTEM FLAME ARRESTOR FA-007 - PM FLAME ARRESTER INSPECTION (CCD) - U208_1089738_PM
56233676 - SG00273011FA004 - LOCAL VENT COLLECTION SYSTEM FLAME ARRESTOR FA-004 - PM FLAME ARRESTER INSPECTION (CCD) - U208_1089733_PM</t>
    </r>
  </si>
  <si>
    <t>Flame Arrestor PM</t>
  </si>
  <si>
    <r>
      <rPr>
        <b/>
        <sz val="11"/>
        <color theme="1"/>
        <rFont val="Calibri"/>
        <family val="2"/>
        <scheme val="minor"/>
      </rPr>
      <t>Mix tank 3 PM:</t>
    </r>
    <r>
      <rPr>
        <sz val="11"/>
        <color theme="1"/>
        <rFont val="Calibri"/>
        <family val="2"/>
        <scheme val="minor"/>
      </rPr>
      <t xml:space="preserve">
56482964 - SG00275013T01 - MIX TANK #3, TANK T-01 - 12 MONTH MAINTENANCE OF MIX TANK 75013-T-01 - M201_1092194_PM
56482941 - SG00275013A02 - MIX TANK #3, AGITATOR A-02 - 12 MONTH MAINTENANCE OF MIX TANK AGITATOR (SG002750) - M201_1092195_PM</t>
    </r>
  </si>
  <si>
    <t>Mix tank 3 PM</t>
  </si>
  <si>
    <t xml:space="preserve">Solvent loading </t>
  </si>
  <si>
    <r>
      <rPr>
        <b/>
        <sz val="11"/>
        <color theme="1"/>
        <rFont val="Calibri"/>
        <family val="2"/>
        <scheme val="minor"/>
      </rPr>
      <t>Ethyl Acetate Storage Transfer and Unloading Pump PM:</t>
    </r>
    <r>
      <rPr>
        <sz val="11"/>
        <color theme="1"/>
        <rFont val="Calibri"/>
        <family val="2"/>
        <scheme val="minor"/>
      </rPr>
      <t xml:space="preserve">
56667223 - SG00214914P03 - ETHYL ACETATE STORAGE, TRANSFER PUMP P-03 - 12 MONTH MAINTENANCE AND LUBRICATION OF FLOWSERVE CENTRIFUGAL PUMP - YARD_1092624_PM
56667207 - SG00214914P02 - ETHYL ACETATE STORAGE, UNLOADING PUMP P-02 - 12 MONTH MAINTENANCE AND LUBRICATION OF FLOWSERVE CENTRIFUGAL PUMP - YARD_1092604_PM
56666993 - SG00214914T01 - ETHYL ACETATE STORAGE, TANK T-01 - 12 MONTH MAINTENANCE OF ETHYL ACETATE STORAGE TANK 14914-T-01 - YARD_1092620_PM</t>
    </r>
  </si>
  <si>
    <t xml:space="preserve">EA pump PM </t>
  </si>
  <si>
    <t>Ethyl Acetate top up</t>
  </si>
  <si>
    <t>H2 cylinder banks</t>
  </si>
  <si>
    <t>56728000 - SG002335 - SYSTEM, GENERAL BUILDING - TO REPLACE EXIT LIGHT BATTERY LDB-2-01/1L4 NEAR TO 30120-DPU-42 -__GM</t>
  </si>
  <si>
    <t>Replace exit light</t>
  </si>
  <si>
    <r>
      <rPr>
        <b/>
        <sz val="11"/>
        <color theme="1"/>
        <rFont val="Calibri"/>
        <family val="2"/>
        <scheme val="minor"/>
      </rPr>
      <t>Methanol Storage Trannsfer and Unloading Pump PM:</t>
    </r>
    <r>
      <rPr>
        <sz val="11"/>
        <color theme="1"/>
        <rFont val="Calibri"/>
        <family val="2"/>
        <scheme val="minor"/>
      </rPr>
      <t xml:space="preserve">
56667159 - SG00214912P03 - METHANOL STORAGE, TRANSFER PUMP P-03 - 12 MONTH MAINTENANCE AND LUBRICATION OF FLOWSERVE CENTRIFUGAL PUMP - YARD_1092700_PM
56667143 - SG00214912P02 - METHANOL STORAGE, UNLOADING PUMP P-02 - 12 MONTH MAINTENANCE AND LUBRICATION OF FLOWSERVE CENTRIFUGAL PUMP - YARD_1092699_PM
56666925 - SG00214912T01 - METHANOL STORAGE, TANK T-01 - 12 MONTH MAINTENANCE OF METHANOL STORAGE TANK 14912-T-01 - YARD_1092696_PM</t>
    </r>
  </si>
  <si>
    <t>Methanol Pump PM</t>
  </si>
  <si>
    <t>Genba - Solvent Run</t>
  </si>
  <si>
    <t>QoP - Solvent Run</t>
  </si>
  <si>
    <t>56668282 - SG00279211BI01 - DISPENSING AND SAMPLING GLOVEBOX, DISPENSING/SAMPLING AND PACKOFF GLOVEBOX BI-01 - 18 MONTHS DISPENSING ISOLATOR GLOVES REPLACEMENT - M101_1093104_PM</t>
  </si>
  <si>
    <t>Disp. Isolator glove replace.</t>
  </si>
  <si>
    <r>
      <rPr>
        <b/>
        <sz val="11"/>
        <color theme="1"/>
        <rFont val="Calibri"/>
        <family val="2"/>
        <scheme val="minor"/>
      </rPr>
      <t>Distilliate receiver PM:</t>
    </r>
    <r>
      <rPr>
        <sz val="11"/>
        <color theme="1"/>
        <rFont val="Calibri"/>
        <family val="2"/>
        <scheme val="minor"/>
      </rPr>
      <t xml:space="preserve">
56667508 - SG00275014T01 - DISTILLATE RECEIVER, TANK T-01 - 12 MONTH MAINTENANCE OF DISTILLATE RECEIVER 75014-T-01 - M104_1092173_PM
56667495 - SG00275014PSE005 - DISTILLATE RECEIVER T-01, RUPTURE DISK PSE-005 - 24 MONTH MAINTENANCE OF ASM2 RUPTURE DISC (CCD) - M104_1092146_PM
56667479 - SG00275014P02 - DISTILLATE RECEIVER T-01, PUMP P-02 - 12 MONTH MAINTENANCE AND LUBRICATION OF FLOWSERVE CENTRIFUGAL PUMP - M104_1092167_PM</t>
    </r>
  </si>
  <si>
    <t>Dist. receiver PM</t>
  </si>
  <si>
    <t xml:space="preserve">A3 Material Readiness </t>
  </si>
  <si>
    <r>
      <rPr>
        <b/>
        <sz val="11"/>
        <color theme="1"/>
        <rFont val="Calibri"/>
        <family val="2"/>
        <scheme val="minor"/>
      </rPr>
      <t>Chemical Reactor 1 PM:</t>
    </r>
    <r>
      <rPr>
        <sz val="11"/>
        <color theme="1"/>
        <rFont val="Calibri"/>
        <family val="2"/>
        <scheme val="minor"/>
      </rPr>
      <t xml:space="preserve">
55292832 - SG00254311X03 - CHEMICAL REACTOR #1, REACTOR SAMPLER X-03 - TO REPLACE INTERNAL DIAPHRAGMS FOR DIAPHRAGM PUMP - SAMPLER 54311X03 - M201_1093719_GM
56666756 - SG00254311PD001 - CHEMICAL REACTOR #1, DISTRIBUTION PIPING PD-001 - 24 MONTH MAINTENANCE OF 54311-XV-150 (BOTTOM OUTLET VALVE) - M201_1093716_PM
56666623 - SG00254311R01 - CHEMICAL REACTOR #1, TANK R-01 - 12 MONTH MAINTENANCE OF CHEMICAL REACTOR 54311-R-01 - M201_1093696_PM
56666599 - SG00254311A02 - CHEMICAL REACTOR #1, AGITATOR A-02 - 12 MONTH MAINTENANCE OF CHEMICAL REACTOR AGITATOR (54311-A-02) - M201_1093763_PM
56666740 - SG00254311P06 - CHEMICAL REACTOR #1, CONDENSOR PUMP P-06 - 12 MONTH MAINTENANCE AND LUBRICATION OF FLOWSERVE CENTRIFUGAL PUMP - ROOF_1093722_PM
56666727 - SG00254311PSE102 - CHEMICAL REACTOR #1, RUPTURE DISC PSE-102 - 24 MONTH MAINTENANCE OF ASM2 RUPTURE DISC (CCD) - M201_1094890_PM</t>
    </r>
  </si>
  <si>
    <t>Reactor 1 PM</t>
  </si>
  <si>
    <t>ASM2 PLC Audit Trail Review</t>
  </si>
  <si>
    <t>Pei Fern</t>
  </si>
  <si>
    <t>05-aug: Change from 07-aug to 08-aug requested by mfg</t>
  </si>
  <si>
    <r>
      <rPr>
        <b/>
        <sz val="11"/>
        <color theme="1"/>
        <rFont val="Calibri"/>
        <family val="2"/>
        <scheme val="minor"/>
      </rPr>
      <t>Sub-system, Miscellaneous Warehouse Tools:</t>
    </r>
    <r>
      <rPr>
        <sz val="11"/>
        <color theme="1"/>
        <rFont val="Calibri"/>
        <family val="2"/>
        <scheme val="minor"/>
      </rPr>
      <t xml:space="preserve">
56667803 - SG00261531 - SUB-SYSTEM, MISCELLANEOUS WAREHOUSE TOOLS - CALIBRATION OF STOP WATCHES (TIMOMETER METHOD) -_1107483_PMCAL
56666347 - SG00261531 - SUB-SYSTEM, MISCELLANEOUS WAREHOUSE TOOLS - CALIBRATION OF INSTRUMENTS BY APPROVED VENDORS -_1100787_PMCAL</t>
    </r>
  </si>
  <si>
    <t>Warehouse tools PMCAL</t>
  </si>
  <si>
    <r>
      <rPr>
        <b/>
        <sz val="11"/>
        <color theme="1"/>
        <rFont val="Calibri"/>
        <family val="2"/>
        <scheme val="minor"/>
      </rPr>
      <t>Sub-system, Spare Test Weights:</t>
    </r>
    <r>
      <rPr>
        <sz val="11"/>
        <color theme="1"/>
        <rFont val="Calibri"/>
        <family val="2"/>
        <scheme val="minor"/>
      </rPr>
      <t xml:space="preserve">
56666330 - SG00273502 - SUB-SYSTEM, SPARE TEST WEIGHTS - CALIBRATION OF INSTRUMENTS BY APPROVED VENDORS -_1095833_PMCAL
56666314 - SG00273502 - SUB-SYSTEM, SPARE TEST WEIGHTS - CALIBRATION OF INSTRUMENTS BY APPROVED VENDORS -_1095832_PMCAL
56666298 - SG00273502 - SUB-SYSTEM, SPARE TEST WEIGHTS - CALIBRATION OF INSTRUMENTS BY APPROVED VENDORS -_1095831_PMCAL
56666260 - SG00273502 - SUB-SYSTEM, SPARE TEST WEIGHTS - CALIBRATION OF INSTRUMENTS BY APPROVED VENDORS -_1095830_PMCAL
56666233 - SG00273502 - SUB-SYSTEM, SPARE TEST WEIGHTS - CALIBRATION OF INSTRUMENTS BY APPROVED VENDORS -_1095829_PMCAL
56666217 - SG00273501 - SUB-SYSTEM, TEST WEIGHTS - CALIBRATION OF INSTRUMENTS BY APPROVED VENDORS -_1095824_PMCAL
56666201 - SG00273501 - SUB-SYSTEM, TEST WEIGHTS - CALIBRATION OF INSTRUMENTS BY APPROVED VENDORS -_1095821_PMCAL</t>
    </r>
  </si>
  <si>
    <t>Weights PMCAL</t>
  </si>
  <si>
    <t>Material Readiness for Post C Cleanining</t>
  </si>
  <si>
    <t>Solvent loading - N/A</t>
  </si>
  <si>
    <r>
      <rPr>
        <b/>
        <sz val="11"/>
        <color theme="1"/>
        <rFont val="Calibri"/>
        <family val="2"/>
        <scheme val="minor"/>
      </rPr>
      <t>QC Calibration of Instruments by Approved Vendors:</t>
    </r>
    <r>
      <rPr>
        <sz val="11"/>
        <color theme="1"/>
        <rFont val="Calibri"/>
        <family val="2"/>
        <scheme val="minor"/>
      </rPr>
      <t xml:space="preserve">
56668266 - SG00261510QCP02 - QC RELEASE QUARTZ CONTROL PLATE QCP-02 - CALIBRATION OF INSTRUMENTS BY APPROVED VENDORS - L102_1187871_PMCAL
56666572 - SG00273521AWS02 - QC ANALYTICAL WEIGHT SET AWS-02 - CALIBRATION OF INSTRUMENTS BY APPROVED VENDORS - L102_1100657_PMCAL
56666556 - SG00265101 - SUB-SYSTEM, QC PIPETTE - CALIBRATION OF INSTRUMENTS BY APPROVED VENDORS - L102_1100639_PMCAL
56666540 - SG00265101 - SUB-SYSTEM, QC PIPETTE - CALIBRATION OF INSTRUMENTS BY APPROVED VENDORS - L102_1100638_PMCAL
56666524 - SG00265101 - SUB-SYSTEM, QC PIPETTE - CALIBRATION OF INSTRUMENTS BY APPROVED VENDORS - L102_1100632_PMCAL
56666508 - SG00265101 - SUB-SYSTEM, QC PIPETTE - CALIBRATION OF INSTRUMENTS BY APPROVED VENDORS - L102_1100625_PMCAL
56666492 - SG00265101 - SUB-SYSTEM, QC PIPETTE - CALIBRATION OF INSTRUMENTS BY APPROVED VENDORS - L102_1100635_PMCAL
56666476 - SG00265101 - SUB-SYSTEM, QC PIPETTE - CALIBRATION OF INSTRUMENTS BY APPROVED VENDORS - L102_1100628_PMCAL
56666460 - SG00265101 - SUB-SYSTEM, QC PIPETTE - CALIBRATION OF INSTRUMENTS BY APPROVED VENDORS - L102_1100634_PMCAL
56666444 - SG00265101 - SUB-SYSTEM, QC PIPETTE - CALIBRATION OF INSTRUMENTS BY APPROVED VENDORS - L102_1100629_PMCAL
56666428 - SG00265101 - SUB-SYSTEM, QC PIPETTE - CALIBRATION OF INSTRUMENTS BY APPROVED VENDORS - L102_1100624_PMCAL
56666412 - SG00265101 - SUB-SYSTEM, QC PIPETTE - CALIBRATION OF INSTRUMENTS BY APPROVED VENDORS - L102_1100621_PMCAL
56666396 - SG00265101 - SUB-SYSTEM, QC PIPETTE - CALIBRATION OF INSTRUMENTS BY APPROVED VENDORS - L102_1100618_PMCAL
56666380 - SG00265101 - SUB-SYSTEM, QC PIPETTE - CALIBRATION OF INSTRUMENTS BY APPROVED VENDORS - L102_1100620_PMCAL
56666364 - SG00265101 - SUB-SYSTEM, QC PIPETTE - CALIBRATION OF INSTRUMENTS BY APPROVED VENDORS - L102_1100641_PMCAL</t>
    </r>
  </si>
  <si>
    <r>
      <rPr>
        <b/>
        <sz val="11"/>
        <color theme="1"/>
        <rFont val="Calibri"/>
        <family val="2"/>
        <scheme val="minor"/>
      </rPr>
      <t>Scrubber system:</t>
    </r>
    <r>
      <rPr>
        <sz val="11"/>
        <color theme="1"/>
        <rFont val="Calibri"/>
        <family val="2"/>
        <scheme val="minor"/>
      </rPr>
      <t xml:space="preserve">
56666862 - SG00270011BL04 - SCRUBBER SYSTEM BLOWER BL-04 - 12 MONTH MAINTENANCE OF SCRUBBER BLOWER (NEW YORK BLOWER) - YARD_1091685_PM
56666846 - SG00270011BL03 - SCRUBBER SYSTEM BLOWER BL-03 - 12 MONTH MAINTENANCE OF SCRUBBER BLOWER (NEW YORK BLOWER) - YARD_1091679_PM
56666829 - SG00270011X01 - SCRUBBER SYSTEM X-01 - 12 MONTH MAINTENANCE OF SCRUBBER SYSTEM 70011X01 - YARD_1091680_PM
56666811 - SG00270011P06B - SCRUBBER SYSTEM BLOW DOWN PUMP P-06B - 12 MONTH MAINTENANCE OF DIAPHRAGM PUMP - YARD_1091696_PM
56666793 - SG00270011P06A - SCRUBBER SYSTEM BLOW DOWN PUMP P-06A - 12 MONTH MAINTENANCE OF DIAPHRAGM PUMP - YARD_1091695_PM
56666775 - SG00270011P06 - SCRUBBER SYSTEM DOSING PUMP P-06 - 12 MONTH MAINTENANCE OF METERING PUMP - YARD_1091697_PM</t>
    </r>
  </si>
  <si>
    <r>
      <rPr>
        <b/>
        <sz val="11"/>
        <color theme="1"/>
        <rFont val="Calibri"/>
        <family val="2"/>
        <scheme val="minor"/>
      </rPr>
      <t>PD Chemical Reactor 1:</t>
    </r>
    <r>
      <rPr>
        <sz val="11"/>
        <color theme="1"/>
        <rFont val="Calibri"/>
        <family val="2"/>
        <scheme val="minor"/>
      </rPr>
      <t xml:space="preserve">
56668041 - SG00254391TE002 - PD CHEMICAL REACTOR #1, TEMPERATURE SENSOR TE-002 - CALIBRATION OF TEMPERATURE INDICATORS/TRANSMITTERS - L101_1121956_PMCAL
56668027 - SG00254391TE001 - PD CHEMICAL REACTOR #1, TEMPERATURE SENSOR TE-001 - CALIBRATION OF TEMPERATURE INDICATORS/TRANSMITTERS - L101_1121955_PMCAL</t>
    </r>
  </si>
  <si>
    <t>PD chem reactor 1 PMCAL</t>
  </si>
  <si>
    <t>56668013 - SG00256120AIT001 - PD BENCHTOP PH/CONDUCTIVITY METER AIT001 - CALIBRATION OF TEMPERATURE INDICATORS/TRANSMITTERS AT AMGEN SINGAPORE - L101_1112601_PMCAL</t>
  </si>
  <si>
    <t>PD pH meter PMCAL</t>
  </si>
  <si>
    <t>56749630 - SG002335 - SYSTEM, GENERAL BUILDING - TO REPLACE THE FLICKERING LIGHT AT LEVEL 2 CORRIDOR, OUTSIDE AHU ROOM U-201. -__GM</t>
  </si>
  <si>
    <t>Level 2 Light GM</t>
  </si>
  <si>
    <t>56732978 - SG00214915P03 - HEPTANE STORAGE, TRANSFER PUMP P-03 - 1. TO REPLACE MOTOR AND PERFORM ALIGNMENT AFTER MOTOR REPLACEMENT. 2. TO REMOVE AND INSPECT STRAINER SR-005 AND CHECK VALVE CV-022 OF 14915-T01. - YARD_1092682_GM</t>
  </si>
  <si>
    <t>Heptane storage tank GM</t>
  </si>
  <si>
    <r>
      <rPr>
        <b/>
        <sz val="11"/>
        <color theme="1"/>
        <rFont val="Calibri"/>
        <family val="2"/>
        <scheme val="minor"/>
      </rPr>
      <t>Heptane Storage Tank Transfer and Unloading Pump PM:</t>
    </r>
    <r>
      <rPr>
        <sz val="11"/>
        <color theme="1"/>
        <rFont val="Calibri"/>
        <family val="2"/>
        <scheme val="minor"/>
      </rPr>
      <t xml:space="preserve">
56667255 - SG00214915P03 - HEPTANE STORAGE, TRANSFER PUMP P-03 - 12 MONTH MAINTENANCE AND LUBRICATION OF FLOWSERVE CENTRIFUGAL PUMP - YARD_1092682_PM
56667239 - SG00214915P02 - HEPTANE STORAGE, UNLOADING PUMP P-02 - 12 MONTH MAINTENANCE AND LUBRICATION OF FLOWSERVE CENTRIFUGAL PUMP - YARD_1092683_PM
56667029 - SG00214915T01 - HEPTANE STORAGE, TANK T-01 - 12 MONTH MAINTENANCE OF HEPTANE STORAGE TANK 14915-T-01 - YARD_1092676_PM</t>
    </r>
  </si>
  <si>
    <t>Heptane storage tank PM</t>
  </si>
  <si>
    <t>56667088 - SG00214921X06 - TANK FARM SOLVENT CHARGE MANIFOLD, WASTE CANISTER X-06 - 12 MONTH MAINTENANCE OF TANK FARM SOLVENT CHARGE MANIFOLD SG00214921 - YARD_1092605_PM</t>
  </si>
  <si>
    <t>Solvent manifold PM</t>
  </si>
  <si>
    <t>56667957 - SG00261521MA01 - PD ANALYZER, MOISTURE ANALYZER ASM2PD-MA-01 - CALIBRATION OF INSTRUMENTS BY APPROVED VENDORS - L101_1112586_PMCAL</t>
  </si>
  <si>
    <t>PD moisture analyzer PMCAL</t>
  </si>
  <si>
    <t>56667973 - SG00213061SBG201 - STANDBY GENERATOR SBG-2-01 - PREVENTIVE MAINTENANCE BY VENDOR SUPPORT SERVICES - YARD_1084638_PM</t>
  </si>
  <si>
    <t>Genba - Packout for Step A3-3</t>
  </si>
  <si>
    <t>Choo/Sara</t>
  </si>
  <si>
    <r>
      <rPr>
        <b/>
        <sz val="11"/>
        <color theme="1"/>
        <rFont val="Calibri"/>
        <family val="2"/>
        <scheme val="minor"/>
      </rPr>
      <t>Chilled Water Generation PM:</t>
    </r>
    <r>
      <rPr>
        <sz val="11"/>
        <color theme="1"/>
        <rFont val="Calibri"/>
        <family val="2"/>
        <scheme val="minor"/>
      </rPr>
      <t xml:space="preserve">
56667998 - SG00220815K01 - CHILLED WATER GENERATION, AIR COOLED CHILLER K-01 - MAINTENANCE, VENDOR SERVICES FOR EQUIPMENT OR SYSTEMS - YARD_1085619_PM
56667983 - SG00220815K02 - CHILLED WATER GENERATION, AIR COOLED CHILLER K-02 - MAINTENANCE, VENDOR SERVICES FOR EQUIPMENT OR SYSTEMS - YARD_1085621_PM
56667739 - SG00220815K02 - CHILLED WATER GENERATION, AIR COOLED CHILLER K-02 - 12 MONTH MAINTENANCE OF 20815-K-02 CHILLER (MODEL EWADC17CXS) - YARD_1085621_PM
56667716 - SG00220815K01 - CHILLED WATER GENERATION, AIR COOLED CHILLER K-01 - 12 MONTH MAINTENANCE OF 20815-K-01 CHILLER (MODEL EWADC17CXS) - YARD_1085619_PM</t>
    </r>
  </si>
  <si>
    <r>
      <rPr>
        <b/>
        <sz val="11"/>
        <color theme="1"/>
        <rFont val="Calibri"/>
        <family val="2"/>
        <scheme val="minor"/>
      </rPr>
      <t>Acetone Storage Tank PM:</t>
    </r>
    <r>
      <rPr>
        <sz val="11"/>
        <color theme="1"/>
        <rFont val="Calibri"/>
        <family val="2"/>
        <scheme val="minor"/>
      </rPr>
      <t xml:space="preserve">
56667191 - SG00214913P03 - ACETONE STORAGE, TRANSFER PUMP P-03 - 12 MONTH MAINTENANCE AND LUBRICATION OF FLOWSERVE CENTRIFUGAL PUMP - YARD_1092665_PM
56667175 - SG00214913P02 - ACETONE STORAGE, UNLOADING PUMP P-02 - 12 MONTH MAINTENANCE AND LUBRICATION OF FLOWSERVE CENTRIFUGAL PUMP - YARD_1092657_PM
56666958 - SG00214913T01 - ACETONE STORAGE, TANK T-01 - 12 MONTH MAINTENANCE OF ACETONE STORAGE TANK 14913-T-01 - YARD_1092654_PM</t>
    </r>
  </si>
  <si>
    <t>Acetone Storage Tank PM</t>
  </si>
  <si>
    <t>56668237 - SG00259811BI12 - FILTER DRYER DISCHARGE GLOVEBOX BI-12 - 6 MONTHS FILTER DRYER GLOVE BOX NITROGEN INLET FILTER &amp; GAUGE FILTERS REPLACEMENT - M103_1094349_PM</t>
  </si>
  <si>
    <t>QoP - Catalyst Filtration for Step A3-4</t>
  </si>
  <si>
    <t>samuel</t>
  </si>
  <si>
    <t>56739516 - SG00256101PHM02 - QC LAB BENCHTOP PH METER PHM02 - CALIBRATION OF TEMPERATURE INDICATORS/TRANSMITTERS AT AMGEN SINGAPORE - L102_1190618_PMCAL</t>
  </si>
  <si>
    <t>QC pH Meter PMCAL</t>
  </si>
  <si>
    <t>56667307 - SG00214915FA003 - BULK SOLVENT TANKS, FLAME ARRESTER FA-003 - PM FLAME ARRESTER INSPECTION (CCD) - YARD_1092611_PM</t>
  </si>
  <si>
    <r>
      <rPr>
        <b/>
        <sz val="11"/>
        <color theme="1"/>
        <rFont val="Calibri"/>
        <family val="2"/>
        <scheme val="minor"/>
      </rPr>
      <t>Drum Solvent Charge Station PM:</t>
    </r>
    <r>
      <rPr>
        <sz val="11"/>
        <color theme="1"/>
        <rFont val="Calibri"/>
        <family val="2"/>
        <scheme val="minor"/>
      </rPr>
      <t xml:space="preserve">
56667289 - SG00214911P02 - DRUM SOLVENT CHARGE STATION, UNLOADING PUMP P-02 - 12 MONTH MAINTENANCE OF DIAPHRAGM PUMP - YARD_1092576_PM
56667271 - SG00214911P01 - DRUM SOLVENT CHARGE STATION, UNLOADING PUMP P-01 - 12 MONTH MAINTENANCE OF DIAPHRAGM PUMP - YARD_1092608_PM
56666878 - SG00214911X12 - DRUM SOLVENT CHARGE STATION, WASTE CANISTER X-12 - 12 MONTH MAINTENANCE OF DRUM SOLVENT CHARGE STATION SG00214911 - YARD_1092615_PM</t>
    </r>
  </si>
  <si>
    <t>Drum solvent station PM</t>
  </si>
  <si>
    <t>Solvent loading (methanol - 7000 L)</t>
  </si>
  <si>
    <t xml:space="preserve">56668085 - SG00277012PDI01 - CHEMICAL FUME HOOD, PRESSURE INDICTOR PDI-01 - CALIBRATION OF PRESSURE INDICATOR - M104_1144559_PMCAL
</t>
  </si>
  <si>
    <t>Chemical Fume Hood PMCAL</t>
  </si>
  <si>
    <r>
      <rPr>
        <b/>
        <sz val="11"/>
        <color theme="1"/>
        <rFont val="Calibri"/>
        <family val="2"/>
        <scheme val="minor"/>
      </rPr>
      <t>Chemical Fume Hood GM:</t>
    </r>
    <r>
      <rPr>
        <sz val="11"/>
        <color theme="1"/>
        <rFont val="Calibri"/>
        <family val="2"/>
        <scheme val="minor"/>
      </rPr>
      <t xml:space="preserve">
56475017 - SG00277012P02 - CHEMICAL FUME HOOD, PUMP P-02 - CHILD WO TO CE PARENT WO# 54956508 : TO INSTALL ITEM Z385981 MESH AT CHEMICAL UNLOADING PUMPS 77012-P-02 &amp; 77012-P-03 BEFORE 77012-MV-005 AND 77012-MV-010 VALVE - M104_1088526_GM
55302466 - SG00277012P03 - CHEMICAL FUME HOOD, PUMP P-03 - TO REPLACE INTERNAL DIAPHRAGMS AND PLUNGER/SHAFT FOR DIAPHRAGM PUMP 77012 P03 - M104_1088527_GM
55302464 - SG00277012P02 - CHEMICAL FUME HOOD, PUMP P-02 - TO REPLACE INTERNAL DIAPHRAGMS AND PLUNGER/SHAFT FOR DIAPHRAGM PUMP 77012 P02 - M104_1088526_GM</t>
    </r>
  </si>
  <si>
    <t>Chemical Fume Hood GM</t>
  </si>
  <si>
    <t>56849819 - SG00215011K01 - -25 DEG C ETHYLENE GLYCOL CHILLER PACKAGE K-01 - VENDOR REQUIRE TO RECTIFY THE INSULATION ON GLYCOL CHILLER SKID. - U101_1087167_GM</t>
  </si>
  <si>
    <t>Chiller insulation work</t>
  </si>
  <si>
    <r>
      <rPr>
        <b/>
        <sz val="11"/>
        <color theme="1"/>
        <rFont val="Calibri"/>
        <family val="2"/>
        <scheme val="minor"/>
      </rPr>
      <t>Mix Tank 2 GM and PM:</t>
    </r>
    <r>
      <rPr>
        <sz val="11"/>
        <color theme="1"/>
        <rFont val="Calibri"/>
        <family val="2"/>
        <scheme val="minor"/>
      </rPr>
      <t xml:space="preserve">
56512426 - SG00275012T01 - MIX TANK #2, TANK T-01 - 1. PROVIDE EXTENDED HANDLE TO OPERATE VALVE MV-001 FROM FLOOR. 2. ROTATE END ELBOW 45DEG TOWARDS PLATFORM FOR EASY ACCESS. MARK UP P&amp;ID ATTACHED FOR REFERENCE. - M201_1092177_GM
56667430 - SG00275012T01 - MIX TANK #2, TANK T-01 - 12 MONTH MAINTENANCE OF MIX TANK 75012-T-01 - M201_1092177_PM
56667407 - SG00275012A02 - MIX TANK #2, AGITATOR A-02 - 12 MONTH MAINTENANCE OF MIX TANK AGITATOR (SG002750) - M201_1092180_PM</t>
    </r>
  </si>
  <si>
    <t>Mix Tank 2 PM</t>
  </si>
  <si>
    <t>56667803 - SG00261531 - SUB-SYSTEM, MISCELLANEOUS WAREHOUSE TOOLS - CALIBRATION OF STOP WATCHES (TIMOMETER METHOD) -_1107483_PMCAL</t>
  </si>
  <si>
    <t>Stopwatch PMCAL</t>
  </si>
  <si>
    <t>56887169 - SG00279211 - SUB-SYSTEM, DISPENSING AND SAMPLING GLOVEBOX - TO ENGAGE VENDOR TO PERFORM EVALUATION AND MEASUREMENT ON ISOLATOR HOPPER. - M101__GM</t>
  </si>
  <si>
    <t>Hopper &amp; rake eval</t>
  </si>
  <si>
    <t>56918521 - SG002M105 - HYDROGENATOR - TO REPLACE M-105 HYDROGENATOR MEZZANINE LEVEL FAULTY LIGHTS. -__GM</t>
  </si>
  <si>
    <t>M105 light replacement</t>
  </si>
  <si>
    <t>MES/ PI/ Rt Report Quarterly Patching (4PM - 9PM)</t>
  </si>
  <si>
    <t>Raju Alluri</t>
  </si>
  <si>
    <t>-	No DeltaV batches to be loaded from 4-9pm on 21Aug2020
-	MES unavailable
-	Delay in data going into RtReport</t>
  </si>
  <si>
    <t>Genba - Dispensing</t>
  </si>
  <si>
    <r>
      <rPr>
        <b/>
        <sz val="11"/>
        <color theme="1"/>
        <rFont val="Calibri"/>
        <family val="2"/>
        <scheme val="minor"/>
      </rPr>
      <t>Mix Tank 1 PM &amp; GM:</t>
    </r>
    <r>
      <rPr>
        <sz val="11"/>
        <color theme="1"/>
        <rFont val="Calibri"/>
        <family val="2"/>
        <scheme val="minor"/>
      </rPr>
      <t xml:space="preserve">
56484321 - SG00275011PD001 - MIX TANK #1, DISTRIBUTION PIPING PD-001 - REPLACE PURIFIED WATER HOSE FOR MIX TANK STATION POINT OF USE EI/FH-75011-006 - M201_1092153_GM
56667364 - SG00275011T01 - MIX TANK #1, TANK T-01 - 12 MONTH MAINTENANCE OF MIX TANK 75011-T-01 - M201_1092171_PM
56667341 - SG00275011A02 - MIX TANK #1, AGITATOR A-02 - 12 MONTH MAINTENANCE OF MIX TANK AGITATOR (SG002750) - M201_1092148_PM</t>
    </r>
  </si>
  <si>
    <t>Mix tank 1 PM</t>
  </si>
  <si>
    <r>
      <rPr>
        <b/>
        <sz val="11"/>
        <color theme="1"/>
        <rFont val="Calibri"/>
        <family val="2"/>
        <scheme val="minor"/>
      </rPr>
      <t>Relief Catch Tank System PM:</t>
    </r>
    <r>
      <rPr>
        <sz val="11"/>
        <color theme="1"/>
        <rFont val="Calibri"/>
        <family val="2"/>
        <scheme val="minor"/>
      </rPr>
      <t xml:space="preserve"> 
56667324 - SG00214916FA002 - RELIEF CATCH TANK SYSTEM, FLAME ARRESTER FA-002 - PM FLAME ARRESTER INSPECTION (CCD) - YARD_1092629_PM
56667065 - SG00214916T01 - RELIEF CATCH TANK SYSTEM, TANK T-01 - 12 MONTH MAINTENANCE OF RELIEF CATCH TANK 14916-T-01 - YARD_1092579_PM</t>
    </r>
  </si>
  <si>
    <t>Relief Catch Tank PM</t>
  </si>
  <si>
    <r>
      <rPr>
        <b/>
        <sz val="11"/>
        <color theme="1"/>
        <rFont val="Calibri"/>
        <family val="2"/>
        <scheme val="minor"/>
      </rPr>
      <t>Workup Receiver Tank T-01 PM:</t>
    </r>
    <r>
      <rPr>
        <sz val="11"/>
        <color theme="1"/>
        <rFont val="Calibri"/>
        <family val="2"/>
        <scheme val="minor"/>
      </rPr>
      <t xml:space="preserve">
56667585 - SG00275015T01 - WORKUP RECEIVER, TANK T-01 - 12 MONTH MAINTENANCE OF WORKUP RECEIVER 75015-T-01 - M104_1092155_PM
56667572 - SG00275015PSE004 - WORKUP RECEIVER T-01, RUPTURE DISK PSE-004 - 24 MONTH MAINTENANCE OF ASM2 RUPTURE DISC (CCD) - M104_1092178_PM
56667556 - SG00275015P02 - WORKUP RECEIVER T-01, PUMP P-02 - 12 MONTH MAINTENANCE AND LUBRICATION OF FLOWSERVE CENTRIFUGAL PUMP - M104_1092160_PM
</t>
    </r>
  </si>
  <si>
    <t>Workup receiver PM</t>
  </si>
  <si>
    <t>QoP - Cat Prep</t>
  </si>
  <si>
    <t>Material Readiness (A3-5 and A3-6)</t>
  </si>
  <si>
    <t>HBTU sampling (DI)</t>
  </si>
  <si>
    <t>57010795 - SG00254313PD001 - HYDROGENATOR, DISTRIBUTION PIPING PD-001 - TO RECTIFY INSTRUMENT AIR LEAK ON 54313-XV-303 - M105_1093767_GM</t>
  </si>
  <si>
    <t>WEE KIAT, WILSON TEO</t>
  </si>
  <si>
    <t>Instru. Air leak on XV-303</t>
  </si>
  <si>
    <t>57029250 - SG00254313F11 - HYDROGENATOR, POLISHING FILTER F-11 - MECHANICAL SUPPORT REQUIRED FOR REPLACEMENT OF CATALYST FILTER(S) - M105_1093743_GM</t>
  </si>
  <si>
    <t>Replace cat filter</t>
  </si>
  <si>
    <t>56233943 - SG00213060PFC201 - POWER FACTOR CAPACITOR BANK PFC-2-01 - CAPACITOR BANK INSPECTION AND TEST - U204_1084644_PM</t>
  </si>
  <si>
    <t>VUN KENG CHONG</t>
  </si>
  <si>
    <t>Capacitor PM</t>
  </si>
  <si>
    <t>[19Aug20] Thursday onwards for waste collection</t>
  </si>
  <si>
    <t>Genba - End caps</t>
  </si>
  <si>
    <t>DIPEA sampling (CFH)</t>
  </si>
  <si>
    <t>57071230 - SG00214921PI031 - TANK FARM SOLVENT CHARGE MANIFOLD, FILTER F-03, PRESSURE INDICATOR PI-031 - FOLLOW-UP FROM AAE 56836290: TO AFFIX ASSET AND INSTRUMENT LABELS ON NEW REPLACEMENT ASSET - M201_1205239_GM</t>
  </si>
  <si>
    <t>Affix label on Tank Farm PI</t>
  </si>
  <si>
    <t>Genba - HS-001 walkdown</t>
  </si>
  <si>
    <t>57004259 - SG00283501TIC01 - QC DRYING OVEN OV-01, TEMPERATURE INDICATOR CONTROLLER TIC-01 - CALIBRATION OF INCUBATOR INDICATORS - L102_1104862_PMCAL</t>
  </si>
  <si>
    <t>HUI MIN CHEN</t>
  </si>
  <si>
    <t>QC Oven TIC PMCAL</t>
  </si>
  <si>
    <t>57004244 - SG00256101PHM01 - QC PH METER PHM-01 - CALIBRATION OF TEMPERATURE INDICATORS/TRANSMITTERS AT AMGEN SINGAPORE - L102_1100661_PMCAL</t>
  </si>
  <si>
    <t>QC pH PMCAL</t>
  </si>
  <si>
    <t>Solvent loading (MeOH)</t>
  </si>
  <si>
    <t>57065045 - SG00259811D01 - FILTER DRYER D-01 - TO RECTIFY LEAKING ON FILTER DRYER BOTTOM FLANGE CONNECTOR AFTER MV-115 - M103_1094265_GM</t>
  </si>
  <si>
    <t>ARUN KRISHNAPPA</t>
  </si>
  <si>
    <t>FD flange connection rectification</t>
  </si>
  <si>
    <t>DeltaV Quarterly Patching</t>
  </si>
  <si>
    <t>- DeltaV advanced operator not avail
- MES unavailable
- Delay in PI</t>
  </si>
  <si>
    <t>HOBT sampling (DFB)</t>
  </si>
  <si>
    <t>57005058 - SG00234004AIT124 - FILTER DRYER GAS DETECTION PANEL, LEL ANALYZER TRANSMITTER 59811-AIT-124 - CALIBRATION OF GAS ANALYZERS - M103_1095020_PMCAL</t>
  </si>
  <si>
    <t>TAN CHONG CHANG</t>
  </si>
  <si>
    <t>M103 LEL PMCAL</t>
  </si>
  <si>
    <t>57004966 - SG00234004AIT006 - CHEMICAL FUME HOOD, LEL GAS DETECTION 77012-AIT-006 - CALIBRATION OF GAS ANALYZERS - M104_1088525_PMCAL</t>
  </si>
  <si>
    <t>M104 LEL PMCAL</t>
  </si>
  <si>
    <t>57005502 - SG00265103 - SUBSYSTEM, PD PIPETTE - CALIBRATION OF INSTRUMENTS BY APPROVED VENDORS - L101_1190527_PMCAL
57005486 - SG00265103 - SUBSYSTEM, PD PIPETTE - CALIBRATION OF INSTRUMENTS BY APPROVED VENDORS - L101_1190526_PMCAL
57005469 - SG00265103 - SUBSYSTEM, PD PIPETTE - CALIBRATION OF INSTRUMENTS BY APPROVED VENDORS - L101_1190525_PMCAL</t>
  </si>
  <si>
    <t>XINGHUA PAN</t>
  </si>
  <si>
    <t>57005230 - SG00261521TS01 - PD, MOISTURE ANALYZER TEMPERATURE SENSOR TS-01 - CALIBRATION OF INSTRUMENTS BY APPROVED VENDORS - L101_1126918_PMCAL</t>
  </si>
  <si>
    <t xml:space="preserve"> 57005518 - SG00270011PH01 - SCRUBBER SYSTEM PH TRANSMITTER PH-01 - CALIBRATION OF PH INDICATORS/TRANSMITTERS - YARD_1195572_PMCAL</t>
  </si>
  <si>
    <t>Scrubber pH meter PMCAL</t>
  </si>
  <si>
    <t>57021864 - SG00217521P03 - ORGANIC WASTE TANK T-01, PORTABLE WASTE TRANSFER PUMP, P-03 - 12 MONTH MAINTENANCE OF DIAPHRAGM PUMP - YARD_1087533_PM</t>
  </si>
  <si>
    <t>Org tank TX pump PM</t>
  </si>
  <si>
    <t>57004835 - SG00217521PD001 - ORGANIC WASTE TANK T-01, PROCESS WASTE COLLECTION AND TRANSFER PIPING DISTRIBUTION PD-001 - 12 MONTH MAINTENANCE OF PROCESS WASTE COLLECTION AND TRANSFER SYSTEM (SG002175) - YARD_1087516_PM</t>
  </si>
  <si>
    <t>Org tank piping PM</t>
  </si>
  <si>
    <t>57004796 - SG00217521P02 - ORGANIC WASTE TANK T-01, WASTE TRANSFER PUMP P-02 - 12 MONTH MAINTENANCE AND LUBRICATION OF FLOWSERVE CENTRIFUGAL PUMP - YARD_1087529_PM</t>
  </si>
  <si>
    <t>Org tank centrifugal pump PM</t>
  </si>
  <si>
    <t>57004779 - SG00217521FA002 - AQUEOUS WASTE TANK T-02, FLAME ARRESTER FA-002 - PM FLAME ARRESTER INSPECTION (CCD) - YARD_1087526_PM</t>
  </si>
  <si>
    <t>HONGLIANG LAI</t>
  </si>
  <si>
    <t>Aq tank flame arrester PM</t>
  </si>
  <si>
    <t>57004762 - SG00217521FA001 - ORGANIC WASTE TANK T-01, FLAME ARRESTER FA-001 - PM FLAME ARRESTER INSPECTION (CCD) - YARD_1087511_PM</t>
  </si>
  <si>
    <t>Org tank flame arrester PM</t>
  </si>
  <si>
    <t>QC Testing Readiness - A3</t>
  </si>
  <si>
    <t>Check in next week on A3 ref standard expiry 31Aug. 
05-Aug: Reference std requal is on track
12-Aug: Still on track
19Aug: Requal on track</t>
  </si>
  <si>
    <t>57094773 - SG00213061SBG201 - STANDBY GENERATOR SBG-2-01 - TO COORDINATE AND ESCORT DIESEL GENERATOR VENDOR TO CHECK AND INSPECT AND TEST ASM2 GENERATOR. - YARD_1084638_GM</t>
  </si>
  <si>
    <t>Standby gen check</t>
  </si>
  <si>
    <t>57005559 - SG00260701 - SUB-SYSTEM, SINGAPORE INSTRUMENT STANDARDS - CALIBRATION OF INSTRUMENTS BY APPROVED VENDORS -_1099898_PMCAL
57005543 - SG00260701 - SUB-SYSTEM, SINGAPORE INSTRUMENT STANDARDS - CALIBRATION OF INSTRUMENTS BY APPROVED VENDORS -_506259_PMCAL
57005184 - SG00260701 - SUB-SYSTEM, SINGAPORE INSTRUMENT STANDARDS - CALIBRATION OF INSTRUMENTS BY APPROVED VENDORS -_1116781_PMCAL
57005151 - SG00260701 - SUB-SYSTEM, SINGAPORE INSTRUMENT STANDARDS - CALIBRATION OF INSTRUMENTS BY APPROVED VENDORS -_1112364_PMCAL
57005135 - SG00260701 - SUB-SYSTEM, SINGAPORE INSTRUMENT STANDARDS - CALIBRATION OF INSTRUMENTS BY APPROVED VENDORS -_1112363_PMCAL
57005088 - SG00260701 - SUB-SYSTEM, SINGAPORE INSTRUMENT STANDARDS - CALIBRATION OF INSTRUMENTS BY APPROVED VENDORS -_1108034_PMCAL</t>
  </si>
  <si>
    <t>MENG CHONG LIM</t>
  </si>
  <si>
    <t>57005167 - SG00260599 - SUB-SYSTEM, MISCELLANEOUS F&amp;E INSTRUMENTATION METERS AND TOOLS - CALIBRATION OF INSTRUMENTS BY APPROVED VENDORS -_1113030_PMCAL</t>
  </si>
  <si>
    <t>Cal of F&amp;E instrument meters</t>
  </si>
  <si>
    <t>57004908 - SG00282011FRZ03 - WAREHOUSE FREEZER FRZ-03 - PM INSPECTION OF INCUBATOR, FREEZER, REFRIGERATOR AND CHAMBER - W102_1094871_PM</t>
  </si>
  <si>
    <t>SUNDARALINGAM SUBRAMANIAM</t>
  </si>
  <si>
    <t>WH freezer PM</t>
  </si>
  <si>
    <t>57005319 - SG00260701 - SUB-SYSTEM, SINGAPORE INSTRUMENT STANDARDS - CALIBRATION OF INSTRUMENTS BY APPROVED VENDORS -_1154658_PMCAL</t>
  </si>
  <si>
    <t>57005246 - SG00215011K01 - -25 DEG C ETHYLENE GLYCOL CHILLER PACKAGE K-01 - MAINTENANCE, ASM2 GLYCOL CHILLER (1 YR) - U101_1087167_PM</t>
  </si>
  <si>
    <t>WEI HOONG ANDREW SWEE</t>
  </si>
  <si>
    <t>Glycol chiller PM</t>
  </si>
  <si>
    <t>57092980 - SG00213060 - SUB-SYSTEM, ASM BUILDING 2 ELECTRICAL - REPLACE EMERGENCY LIGHT BATTERY PACK FOR LDB-2-01/1L2, 2L1, 2L3 &amp; LDB-1-01/2L1, 2L4 - U204__GM</t>
  </si>
  <si>
    <t>Replace EM light batt pack</t>
  </si>
  <si>
    <t>57004891 - SG00282011FRZ02 - WAREHOUSE FREEZER FRZ-02 - PM INSPECTION OF INCUBATOR, FREEZER, REFRIGERATOR AND CHAMBER - W102_1094873_PM</t>
  </si>
  <si>
    <t>57004201 - SG00277016FH01 - QC FUME HOOD FH-01 - CERTIFICATION OF FUME HOOD (VAV) - L102_1100615_PMCERT</t>
  </si>
  <si>
    <t>QC Fumehood PMCERT</t>
  </si>
  <si>
    <t>57004172 - SG00277015FH02 - PD LAB 6 FOOT CHEMICAL FUME HOOD 77003-H-01 - CERTIFICATION OF FUME HOOD (VAV) - L101_1101917_PMCERT
57004143 - SG00277015FH01 - PD LAB 6 FOOT CHEMICAL FUME HOOD 77002-H-01 - CERTIFICATION OF FUME HOOD (VAV) - L101_1101916_PMCERT</t>
  </si>
  <si>
    <t>FD Fumehood PMCERT</t>
  </si>
  <si>
    <t>57004003 - SG00277017H01 - QC POWDER WEIGHT HOOD H-01 - CERTIFICATION OF VBSE - L102_1100616_PMCERT</t>
  </si>
  <si>
    <t>QC powder weigh hood PMCERT</t>
  </si>
  <si>
    <t>57005215 - SG00220815K01 - CHILLED WATER GENERATION, AIR COOLED CHILLER K-01 - MAINTENANCE, VENDOR SERVICES FOR EQUIPMENT OR SYSTEMS - YARD_1085619_PM
57005200 - SG00220815K02 - CHILLED WATER GENERATION, AIR COOLED CHILLER K-02 - MAINTENANCE, VENDOR SERVICES FOR EQUIPMENT OR SYSTEMS - YARD_1085621_PM</t>
  </si>
  <si>
    <t>Chilled water gen PM</t>
  </si>
  <si>
    <t>Genba - HOBT sampling feedback, storage conditions and reserve sampling</t>
  </si>
  <si>
    <t>22kV Switchgear &amp; Transformer PM</t>
  </si>
  <si>
    <t>Ken Chong</t>
  </si>
  <si>
    <t>57004925 - SG00282011FRZ04 - WAREHOUSE FREEZER FRZ-04 - PM INSPECTION OF INCUBATOR, FREEZER, REFRIGERATOR AND CHAMBER - W102_1094881_PM</t>
  </si>
  <si>
    <t>57081671 - SG00234531AHU31 - AHU-31 AIR HANDLING UNIT WEIGH / DISPENSE AND FILTER DRYER - TO REPLACE AHU-31 G4 FILTERS. - U201_1089348_GM</t>
  </si>
  <si>
    <t>NUR AMALIA BINTE MOHAMED SAFIEE</t>
  </si>
  <si>
    <t>AHU31 filter replacement</t>
  </si>
  <si>
    <t>57004874 - SG00282011FRZ01 - WAREHOUSE FREEZER FRZ-01 - PM INSPECTION OF INCUBATOR, FREEZER, REFRIGERATOR AND CHAMBER - W102_1094876_PM</t>
  </si>
  <si>
    <t>Genba - Kanban improvement</t>
  </si>
  <si>
    <t>QoP - TFA dispensing (by 730PM)</t>
  </si>
  <si>
    <t>Material Readiness for next batch (14Sep2020 4PM)</t>
  </si>
  <si>
    <t>57004660 - SG00254312PD001 - CHEMICAL REACTOR #2, DISTRIBUTION PIPING PD-001 - 24 MONTH MAINTENANCE OF 54312-XV-150 (BOTTOM OUTLET VALVE) - M201_1093780_PM</t>
  </si>
  <si>
    <t>54312 bottom valve PM</t>
  </si>
  <si>
    <t>57004601 - SG00254312P06 - CHEMICAL REACTOR #2, CONDENSOR PUMP P-06 - 12 MONTH MAINTENANCE AND LUBRICATION OF FLOWSERVE CENTRIFUGAL PUMP - ROOF_1093789_PM
57004562 - SG00254312PSE102 - CHEMICAL REACTOR #2, RUPTURE DISC PSE-102 - 24 MONTH MAINTENANCE OF ASM2 RUPTURE DISC (CCD) - M201_1094887_PM
57004328 - SG00254312R01 - CHEMICAL REACTOR #2, TANK R-01 - 12 MONTH MAINTENANCE OF CHEMICAL REACTOR 54312-R-01 - M201_1093783_PM
57004283 - SG00254312A02 - CHEMICAL REACTOR #2, AGITATOR A-02 - 12 MONTH MAINTENANCE OF CHEMICAL REACTOR AGITATOR (54312-A-01) - M201_1093749_PM</t>
  </si>
  <si>
    <t>Reactor 2 PM</t>
  </si>
  <si>
    <t>57005073 - SG00234004AIT104HYDRO - HYDROGENATOR, LEL GAS DETECTORS 54313-AIT-104 - CALIBRATION OF GAS ANALYZERS - M105_1095022_PMCAL</t>
  </si>
  <si>
    <t>57005011 - SG00234004AIT104CR - CHEMICAL REACTOR, LEL GAS DETECTOR 54311-AIT-104 - CALIBRATION OF GAS ANALYZERS - M201_1095013_PMCAL</t>
  </si>
  <si>
    <t>57004230 - SG00281015CR01 - API WALK IN COLD ROOM (2-8 DEGREE CELSIUS) (2-8DEGREE) CR-01 - QUARTERLY COLD ROOM CONDENSING UNIT MAINTENANCE - W101_1092747_PM</t>
  </si>
  <si>
    <t>JOHN SUNDAR AROCKIASAMY</t>
  </si>
  <si>
    <t>Cold room condens. unit PM</t>
  </si>
  <si>
    <t>57004129 - SG00277011F002 - BAGOUT HEPA FILTER HOUSING FOR FILTER DRYER ROOM EXHAUST - CERTIFICATION OF HEPA FILTER LEAK TEST INLINES - M103_1101919_PMCERT
57004115 - SG00277011F001 - BAGOUT HEPA FILTER HOUSING FOR FILTER DRYER ROOM EXHAUST - CERTIFICATION OF HEPA FILTER LEAK TEST INLINES - M103_1101918_PMCERT</t>
  </si>
  <si>
    <t>FD HEPA PMCERT</t>
  </si>
  <si>
    <t>PLC password (FD/ DI/ purified water skid)</t>
  </si>
  <si>
    <t>57004051 - SG00277011H01 - DOWNFLOW BOOTH H-01 - CERTIFICATION OF EXTRACT TECHNOLOGY ENCLOSURE - RECIRCULATING CALCULATED BLEED VOLUME - M101_1088512_PMCERT</t>
  </si>
  <si>
    <t>DFB PMCERT</t>
  </si>
  <si>
    <t>57004029 - SG00277012H01 - CHEMICAL FUME HOOD H-01 - CERTIFICATION OF FUME HOOD (CAV) - M104_1088520_PMCERT</t>
  </si>
  <si>
    <t>CFH PMCERT</t>
  </si>
  <si>
    <t>57004085 - SG00279211BI01 - DISPENSING AND SAMPLING GLOVEBOX, DISPENSING/SAMPLING AND PACKOFF GLOVEBOX BI-01 - ISOLATOR WITH HEPA FILTER CERTIFICATION - M101_1093104_PMCERT</t>
  </si>
  <si>
    <t>Disp. isolator HEPA PMCERT</t>
  </si>
  <si>
    <t>QoP - TBC</t>
  </si>
  <si>
    <t xml:space="preserve">Material Readiness for A3 cleaning </t>
  </si>
  <si>
    <t>Waste offloading - Org (Mon)</t>
  </si>
  <si>
    <t>Solvent loading - Methanol (Tues)</t>
  </si>
  <si>
    <t>Material Readiness for Step C</t>
  </si>
  <si>
    <t>FD bottom valve connector rectification</t>
  </si>
  <si>
    <t>57334384 - SG00214912P03 - METHANOL STORAGE, TRANSFER PUMP P-03 - TO INSTALL MESH FILTER TO THE MOTOR AND COUPLING COVER. REFER TO LONG DESCRIPTION FOR THE PUMPS LIST. - YARD_1092663_GM</t>
  </si>
  <si>
    <t>MeOH pump mesh filter installation</t>
  </si>
  <si>
    <t>QoP - Solid charging</t>
  </si>
  <si>
    <t>57446818 - SG00254312PI175 - CHEMICAL REACTOR #2, PRESSURE INDICATOR PI-175 - FOLLOW UP FROM AAE 57124003: TO AFFIX ASSET AND FRO LABEL ON NEW REPLACEMENT ASSET - M201_1206613_GM</t>
  </si>
  <si>
    <t>Affix label on R2 PI</t>
  </si>
  <si>
    <t xml:space="preserve">Genba - Lab cylinder expansion </t>
  </si>
  <si>
    <t>Joe Lee</t>
  </si>
  <si>
    <t>Material Readiness for cleaning (acetone/ EA drum)</t>
  </si>
  <si>
    <t xml:space="preserve">Genba - TBC </t>
  </si>
  <si>
    <t xml:space="preserve">Solvent loading - EA </t>
  </si>
  <si>
    <t>57411701 - SG00240511FIT004 - MOBILE CIP SKID #1, FLOW INDICATING TRANSMITTER FIT-004 - CALIBRATION OF LIQUID FLOW TRANSMITTER - M103_1091608_PMCAL</t>
  </si>
  <si>
    <t>CIP FIT PMCAL</t>
  </si>
  <si>
    <t>57412309 - SG00261531 - SUB-SYSTEM, MISCELLANEOUS WAREHOUSE TOOLS - CALIBRATION OF STOP WATCHES (TIMOMETER METHOD) -_1107482_PMCAL
57412297 - SG00261531 - SUB-SYSTEM, MISCELLANEOUS WAREHOUSE TOOLS - CALIBRATION OF STOP WATCHES (TIMOMETER METHOD) -_1107481_PMCAL</t>
  </si>
  <si>
    <t>MUHAMMAD ASHRAFF BIN MUHAMED SHAHWAN</t>
  </si>
  <si>
    <t>WH Stopwatch PMCAL</t>
  </si>
  <si>
    <t>57412215 - SG00281501TIC011D - QC 2 TO 8 DEG C REFRIGERATOR REF-04, TEMPERATURE INDICATING CONTROLER TIC-011D - CALIBRATION OF TEMPERATURE INDICATORS/TRANSMITTERS LVL 1 -_1107104_PMCAL
57412184 - SG00281501TIC011C - QC 2 TO 8 DEG C REFRIGERATOR REF-03, TEMPERATURE INDICATING CONTROLER TIC-11C - CALIBRATION OF TEMPERATURE INDICATORS/TRANSMITTERS LVL 1 -_1107102_PMCAL</t>
  </si>
  <si>
    <t>QC 2-8 fridge TIC PMCAL</t>
  </si>
  <si>
    <t>57412198 - SG00281501TT011D - QC 2 TO 8 DEG C REFRIGERATOR REF-04, QEMS MONITORING PROBE TT-011D - CALIBRATION OF CONTROLLED TEMPERATURE CHAMBER MONITORING PROBES -_1107103_PMCAL
57412167 - SG00281501TT011C - QC 2 TO 8 DEG C REFRIGERATOR REF-03, QEMS MONITORING PROBE TT-011C - CALIBRATION OF CONTROLLED TEMPERATURE CHAMBER MONITORING PROBES -_1107101_PMCAL</t>
  </si>
  <si>
    <t>QC 2-8 fridge TT PMCAL</t>
  </si>
  <si>
    <t>57412280 - SG00281501REF04 - QC 2 TO 8 DEG C REFRIGERATOR REF-04 - PM INSPECTION OF INCUBATOR, FREEZER, REFRIGERATOR AND CHAMBER - L102_1100647_PM
412263 - SG00281501REF03 - QC 2 TO 8 DEG C REFRIGERATOR REF-03 - PM INSPECTION OF INCUBATOR, FREEZER, REFRIGERATOR AND CHAMBER - L102_1100646_PM</t>
  </si>
  <si>
    <t>QC 2-8 fridge PM</t>
  </si>
  <si>
    <t>57412491 - SG00279211P02 - DISPENSING AND SAMPLING GLOVEBOX, WASTE TRANSFER PUMP P-02 - 12 MONTH MAINTENANCE OF DIAPHRAGM PUMP - M101_1143607_PM
57412076 - SG00279211BI01 - DISPENSING AND SAMPLING GLOVEBOX, DISPENSING/SAMPLING AND PACKOFF GLOVEBOX BI-01 - 12 MONTH MAINTENANCE OF SG00279211 ISOLATOR GLOVEBOX (CCD) - M101_1093104_PM</t>
  </si>
  <si>
    <t>Disp. Isolator PM</t>
  </si>
  <si>
    <t>57411970 - SG00210031PD001 - BREATHING AIR DISTRIBUTION PANEL (CCD) - 12 MONTH MAINTENANCE OF BREATHING AIR SYSTEM (CCD) - U201_1103357_PM</t>
  </si>
  <si>
    <t>SEN HUI, GABRIEL CHEW</t>
  </si>
  <si>
    <t>57412009 - SG00282012FRZ01 - QC -5 TO -30 DEG C FREEZER FRZ-01 - PM INSPECTION OF INCUBATOR, FREEZER, REFRIGERATOR AND CHAMBER - W102_1105745_PM</t>
  </si>
  <si>
    <t>QC freezer PM</t>
  </si>
  <si>
    <t>Waste offloading - Org (not req)</t>
  </si>
  <si>
    <t>57005119 - SG00213063 - SUB-SYSTEM, LIGHTNING PROTECTION - ANNUAL PM OF LIGHTNING PROTECTION SYSTEM - ROOF__PM</t>
  </si>
  <si>
    <t>Lighting protection PM</t>
  </si>
  <si>
    <t>57412390 - SG00260701 - SUB-SYSTEM, SINGAP
57412374 - SG00260701 - SUB-SYSTEM, SINGAPORE INSTRUMENT STANDARDS - CALIBRATION OF INSTRUMENTS BY APPROVED VENDORS -_1112374_PMCALORE INSTRUMENT STANDARDS - CALIBRATION OF INSTRUMENTS BY APPROVED VENDORS -_1112376_PMCAL
57412343 - SG00260701 - SUB-SYSTEM, SINGAPORE INSTRUMENT STANDARDS - CALIBRATION OF INSTRUMENTS BY APPROVED VENDORS -_1112372_PMCAL
57412431 - SG00220815K01 - CHILLED WATER GENERATION, AIR COOLED CHILLER K-01 - MAINTENANCE, VENDOR SERVICES FOR EQUIPMENT OR SYSTEMS - YARD_1085619_PM</t>
  </si>
  <si>
    <t>Standards PMCAL</t>
  </si>
  <si>
    <t>N2 loading (Wed)</t>
  </si>
  <si>
    <t>57412431 - SG00220815K01 - CHILLED WATER GENERATION, AIR COOLED CHILLER K-01 - MAINTENANCE, VENDOR SERVICES FOR EQUIPMENT OR SYSTEMS - YARD_1085619_PM
57412416 - SG00220815K02 - CHILLED WATER GENERATION, AIR COOLED CHILLER K-02 - MAINTENANCE, VENDOR SERVICES FOR EQUIPMENT OR SYSTEMS - YARD_1085621_PM</t>
  </si>
  <si>
    <t>Chilled water skid PM</t>
  </si>
  <si>
    <t>57412321 - SG00262502L04 - TANKER PORTABLE ACCESS PLATFORM L-04 - MAINTENANCE OF LIFTING MACHINE/EQUIPMENT/GEARS BY VENDOR (STATUTORY INSPECTION) - YARD_1108838_PM</t>
  </si>
  <si>
    <t>KIAN HENG LEE</t>
  </si>
  <si>
    <t>57610314 - SG00254313F11 - HYDROGENATOR, POLISHING FILTER F-11 - INSTALLATION OF END CAP FOR VENT LINE OF POLISHING FILTER 54313-F-11. - M105_1093743_GM
57610302 - SG00254313F10 - HYDROGENATOR, CATALYST FILTER F-10 - INSTALLATION OF END CAP FOR VENT LINE OF CATALYST FILTER 54313-F-10. - M105_1093741_GM</t>
  </si>
  <si>
    <t>Hydrog filter end cap install.</t>
  </si>
  <si>
    <t>57458020 - SG00277012T04 - CHEMICAL FUME HOOD, CHEMICAL CANISTER T-04 - TO PROVIDE SUPPORT FOR REMOVAL OF CHEMICAL CANISTER DOME FOR EVI. - M104_1088528_GM</t>
  </si>
  <si>
    <t>Chem canister dome removal</t>
  </si>
  <si>
    <t>QoP - VI</t>
  </si>
  <si>
    <t>57412229 - SG00281501REF01 - QC 2 TO 8 DEG C REFRIGERATOR REF-01 - PM INSPECTION OF INCUBATOR, FREEZER, REFRIGERATOR AND CHAMBER - W102_1100644_PM</t>
  </si>
  <si>
    <t>QC 2-8degC fridge PM</t>
  </si>
  <si>
    <t xml:space="preserve">Annual PM on Disp. Isolator Controller </t>
  </si>
  <si>
    <t xml:space="preserve">Leslie </t>
  </si>
  <si>
    <t>57411688 - SG00213060TR201 - NORMAL POWER,TRANSFORMER,22KV/415V (02-TR-2-01) APL - MAINTENANCE OF TRANSFORMER, PARTIAL DISCHARGE - U204_1084643_PM</t>
  </si>
  <si>
    <t>Transformer PM</t>
  </si>
  <si>
    <t xml:space="preserve">Genba - Dispensing with new hopper </t>
  </si>
  <si>
    <t>A2 Material Readiness</t>
  </si>
  <si>
    <t>57412509 - SG00215011K01 - -25 DEG C ETHYLENE GLYCOL CHILLER PACKAGE K-01 - VFD AND PANEL INSPECTION - U101_1087167_PM</t>
  </si>
  <si>
    <t>Chiller VFD PM</t>
  </si>
  <si>
    <t>57412446 - SG00259811AIT73A - FILTER DRYER DISCHARGE GLOVEBOX UPPER CHAMBER OXYGEN TRANSMITTER AIT-73A - CALIBRATION OF GAS ANALYZERS - M103_1118328_PMCAL
57411724 - SG00259811BI12 - FILTER DRYER DISCHARGE GLOVEBOX BI-12 - 12 MONTH MAINTENANCE OF SG00259811 FILTER DRYER ISOLATOR GLOVEBOX (CCD) - M103_1094349_PM</t>
  </si>
  <si>
    <t>FD PM</t>
  </si>
  <si>
    <t>A2 cleaning recipe download</t>
  </si>
  <si>
    <t>56220631 - SG00214921PD001 - TANK FARM SOLVENT CHARGE MANIFOLD, PIPING DISTRIBUTION PD-001 - TO RECTIFY ETHYL ACETATE HOSE EI/FH-14921-001 EPSILON VALVES (DRY CONNECT VALVES) FAULTY ON BOTH ENDS. UNABLE TO ESTABLISH CONNECTION TO SOLVENT MANIFOLD EPSILON_1092594_GM</t>
  </si>
  <si>
    <t>EA hose rectification</t>
  </si>
  <si>
    <t>57411926 - SG00210011B03 - COMPRESSED AIR GENERATION SYSTEM, AIR COMPRESSOR B-03 - 12 MONTH MAINTENANCE OF COMPAIR AIR COMPRESSOR 10011-B-03 (D22HRS -10W) - U201_1098832_PM
57411881 - SG00210011B02 - COMPRESSED AIR GENERATION SYSTEM, AIR COMPRESSOR B-02 - 12 MONTH MAINTENANCE OF COMPAIR AIR COMPRESSOR 10011-B-02 (D22HRS -10W) BY VENDOR - U201_1085440_PM
57411837 - SG00210011B01 - COMPRESSED AIR GENERATION SYSTEM, AIR COMPRESSOR B-01 - 12 MONTH MAINTENANCE OF COMPAIR AIR COMPRESSOR 10011-B-01 (D22HRS -10W) - U201_1085455_PM</t>
  </si>
  <si>
    <t>QoP - A2 PPQ</t>
  </si>
  <si>
    <t>Solvent loading (EA)</t>
  </si>
  <si>
    <t>57802761 - SG00225011QIT84581 - PURIFIED WATER DISTRIBUTION, LOOP RETURN TOC QIT84581 AND CONDUCTIVITY SENSOR QE845.8.1A - CALIBRATION OF TOC ANALYZER - HACH PAT700 - U101_1091370_PMCAL</t>
  </si>
  <si>
    <t>PUR Water TOC analyzer PMCAL</t>
  </si>
  <si>
    <t>N2 loading (Thurs)</t>
  </si>
  <si>
    <t>Genba - Hydrogen cylinder removal (16Nov)</t>
  </si>
  <si>
    <t>PJ to send out the invite</t>
  </si>
  <si>
    <t>57803198 - SG00225021QIT84551 - PURIFIED WATER DISTRIBUTION, LOOPO OZONE MEASURING SENSOR QIT845.5.1 - CALIBRATION OF METTLER TOLEDO DISSOLVED OZONE MONITOR - U101_1091429_PMCAL</t>
  </si>
  <si>
    <t>PUR water ozone sensor PMCAL</t>
  </si>
  <si>
    <t>57844123 - SG00254311 - MES SUB-SYSTEM, CHEMICAL REACTOR #1 - TO RECTIFY REACTOR 1 (54311) CIP RECIRCULATION VALVE 54311-XV-157 AND 158 PASSING - M201__GM</t>
  </si>
  <si>
    <t>54311 CIP recirc valve rectification</t>
  </si>
  <si>
    <t>57849687 - SG00254312 - MES SUB-SYSTEM, CHEMICAL REACTOR #2 - TO RECTIFY REACTOR 2 (54312) CIP RECIRCULATION VALVE 54312-XV-157 PASSING. - M201__GM</t>
  </si>
  <si>
    <t>A3 Material Readiness</t>
  </si>
  <si>
    <t xml:space="preserve">Genba - H2 cylinder, manifold &amp; hose </t>
  </si>
  <si>
    <t>Polishing filter removal</t>
  </si>
  <si>
    <t>57808393 - SG00254312R01 - CHEMICAL REACTOR #2, TANK R-01 - REACTOR 54312 CANTY LIGHT MALFUNCTIONING. - M201_1093783_GM</t>
  </si>
  <si>
    <t>R2 canty light rectification</t>
  </si>
  <si>
    <t>57803025 - SG00252801 - SUB-SYSTEM, QC TIMER - CALIBRATION OF STOP WATCHES (TIMOMETER METHOD) - L102_1100663_PMCAL
57803013 - SG00252801 - SUB-SYSTEM, QC TIMER - CALIBRATION OF STOP WATCHES (TIMOMETER METHOD) - L102_1100664_PMCAL</t>
  </si>
  <si>
    <t>57802997 - SG00265101 - SUB-SYSTEM, QC PIPETTE - CALIBRATION OF INSTRUMENTS BY APPROVED VENDORS - L102_1100640_PMCAL
57802981 - SG00265101 - SUB-SYSTEM, QC PIPETTE - CALIBRATION OF INSTRUMENTS BY APPROVED VENDORS - L102_1100637_PMCAL
57802965 - SG00265101 - SUB-SYSTEM, QC PIPETTE - CALIBRATION OF INSTRUMENTS BY APPROVED VENDORS - L102_1100631_PMCAL
57802949 - SG00265101 - SUB-SYSTEM, QC PIPETTE - CALIBRATION OF INSTRUMENTS BY APPROVED VENDORS - L102_1100626_PMCAL
57802933 - SG00265101 - SUB-SYSTEM, QC PIPETTE - CALIBRATION OF INSTRUMENTS BY APPROVED VENDORS - L102_1100636_PMCAL
57802917 - SG00265101 - SUB-SYSTEM, QC PIPETTE - CALIBRATION OF INSTRUMENTS BY APPROVED VENDORS - L102_1100627_PMCAL
57802901 - SG00265101 - SUB-SYSTEM, QC PIPETTE - CALIBRATION OF INSTRUMENTS BY APPROVED VENDORS - L102_1100633_PMCAL
57802885 - SG00265101 - SUB-SYSTEM, QC PIPETTE - CALIBRATION OF INSTRUMENTS BY APPROVED VENDORS - L102_1100630_PMCAL
57802869 - SG00265101 - SUB-SYSTEM, QC PIPETTE - CALIBRATION OF INSTRUMENTS BY APPROVED VENDORS - L102_1100623_PMCAL
57802853 - SG00265101 - SUB-SYSTEM, QC PIPETTE - CALIBRATION OF INSTRUMENTS BY APPROVED VENDORS - L102_1100622_PMCAL
57802837 - SG00265101 - SUB-SYSTEM, QC PIPETTE - CALIBRATION OF INSTRUMENTS BY APPROVED VENDORS - L102_1100617_PMCAL
57802810 - SG00265101 - SUB-SYSTEM, QC PIPETTE - CALIBRATION OF INSTRUMENTS BY APPROVED VENDORS - L102_1100619_PMCAL
57802783 - SG00265101 - SUB-SYSTEM, QC PIPETTE - CALIBRATION OF INSTRUMENTS BY APPROVED VENDORS - L102_1100642_PMCAL</t>
  </si>
  <si>
    <t>57460988 - SG00214915P03 - HEPTANE STORAGE, TRANSFER PUMP P-03 - TO REPLACE MECHANICAL SEAL AND SEND BACK TO VENDOR FOR ASSESSMENT. - YARD_1092682_GM</t>
  </si>
  <si>
    <t>Hep mech seal replacement</t>
  </si>
  <si>
    <t>57803092 - SG00270011FA03 - SCRUBBER SYSTEM FLAME ARRESTOR FA-03 - PM FLAME ARRESTER INSPECTION (CCD) - YARD_1091682_PM
57803075 - SG00270011FA02 - SCRUBBER SYSTEM FLAME ARRESTOR FA-02 - PM FLAME ARRESTER INSPECTION (CCD) - YARD_1091684_PM
57803058 - SG00270011FA01 - SCRUBBER SYSTEM FLAME ARRESTOR FA-01 - PM FLAME ARRESTER INSPECTION (CCD) - YARD_1091683_PM</t>
  </si>
  <si>
    <t>MeOH loading (Mon and Fri)</t>
  </si>
  <si>
    <t>57869575 - SG00275011LIT007 - MIX TANK #1, LEVEL INDICATING TRANSMITTER LIT-007 - PERFORM EXIT CALIBRATION FOR 75011LIT007 - M201_1092147_GMCA</t>
  </si>
  <si>
    <t>Mix tank exit cal</t>
  </si>
  <si>
    <t>57869589 - SG00275011LIT007 - MIX TANK #1, LEVEL INDICATING TRANSMITTER LIT-007 - PERFORM ENTRY CALIBRATION FOR 75011LIT007 AS PER NEW DATA SHEET - M201_1092147_GMCAL</t>
  </si>
  <si>
    <t>Mix tank entry cal</t>
  </si>
  <si>
    <t>Hydrogen cylinder removal (16Nov)</t>
  </si>
  <si>
    <t>Activity taking place in morning</t>
  </si>
  <si>
    <t>57803485 - SG00210011AIT212 - COMPRESSED AIR GENERATION SYSTEM, ANALYZER INDICATING TRANSMITTER AIT-212 - CALIBRATION OF INSTRUMENTS BY APPROVED VENDORS - U201_1182802_PMCAL</t>
  </si>
  <si>
    <t>Compressed air analyz PMCAL</t>
  </si>
  <si>
    <t>57803303 - SG00260701 - SUB-SYSTEM, SINGAPORE INSTRUMENT STANDARDS - CALIBRATION OF INSTRUMENTS BY APPROVED VENDORS -_1112375_PMCAL
57803287 - SG00260701 - SUB-SYSTEM, SINGAPORE INSTRUMENT STANDARDS - CALIBRATION OF INSTRUMENTS BY APPROVED VENDORS -_1112373_PMCAL
57803271 - SG00260701 - SUB-SYSTEM, SINGAPORE INSTRUMENT STANDARDS - CALIBRATION OF INSTRUMENTS BY APPROVED VENDORS -_1112371_PMCAL
57803255 - SG00260701 - SUB-SYSTEM, SINGAPORE INSTRUMENT STANDARDS - CALIBRATION OF INSTRUMENTS BY APPROVED VENDORS -_1112370_PMCAL
57803239 - SG00260701 - SUB-SYSTEM, SINGAPORE INSTRUMENT STANDARDS - CALIBRATION OF INSTRUMENTS BY APPROVED VENDORS -_1112368_PMCAL
57803223 - SG00260701 - SUB-SYSTEM, SINGAPORE INSTRUMENT STANDARDS - CALIBRATION OF INSTRUMENTS BY APPROVED VENDORS -_1112361_PMCAL</t>
  </si>
  <si>
    <t>7803344 - SG00220815K01 - CHILLED WATER GENERATION, AIR COOLED CHILLER K-01 - MAINTENANCE, VENDOR SERVICES FOR EQUIPMENT OR SYSTEMS - YARD_1085619_PM
57803329 - SG00220815K02 - CHILLED WATER GENERATION, AIR COOLED CHILLER K-02 - MAINTENANCE, VENDOR SERVICES FOR EQUIPMENT OR SYSTEMS - YARD_1085621_PM</t>
  </si>
  <si>
    <t>Chiller PM</t>
  </si>
  <si>
    <t xml:space="preserve">Catalyst waste drums removal </t>
  </si>
  <si>
    <t>Catalyst waste drum collect changed from 13-Nov to 16-Nov</t>
  </si>
  <si>
    <t>Solvent loading (Heptane)</t>
  </si>
  <si>
    <t>16Sep2020: Pending ETA date, scheduled for Oct</t>
  </si>
  <si>
    <t>58039647 - SG002335 - SYSTEM, GENERAL BUILDING - REPLACE EMERGENCY LIGHT BATTERY PACK AT LDB-1-01/2L1 AND LDB-2-01/2L6 -__GM</t>
  </si>
  <si>
    <t>WEE KHIANG SEAH</t>
  </si>
  <si>
    <t>Emergen. Light batt replacement</t>
  </si>
  <si>
    <t>57610655 - SG00214921FIT001 - TANK FARM SOLVENT CHARGE MANIFOLD, FILTER F-01,FLOW INDICATING TRANSMITTER FIT-001(METHANOL) - TO PERFORM TESTING ON A3 METHANOL DISPLACEMENT WASH TRANSFER - M201_1092662_GM</t>
  </si>
  <si>
    <t>A3 displacement wash test</t>
  </si>
  <si>
    <t>57803319 - SG00213061SBG201 - STANDBY GENERATOR SBG-2-01 - PREVENTIVE MAINTENANCE BY VENDOR SUPPORT SERVICES - YARD_1084638_PM</t>
  </si>
  <si>
    <t xml:space="preserve">Collection of filled DCM waste drums </t>
  </si>
  <si>
    <t>Genba - H2 cylinder bank improvement (Mon)/ DCM drumming from ML sump (Fri afternoon)</t>
  </si>
  <si>
    <t>ECR Migration &amp; Q4 Patching (DeltaV)</t>
  </si>
  <si>
    <t>Pur H20 ozone PMCAL</t>
  </si>
  <si>
    <t>Step B Material Readiness (Wed)</t>
  </si>
  <si>
    <t>Com air analyzer PMCAL</t>
  </si>
  <si>
    <t>Material Readiness for C-1</t>
  </si>
  <si>
    <t>Cleaning protocol for post Step A2 non-routine cleaning</t>
  </si>
  <si>
    <t>Governed by PTC-453578</t>
  </si>
  <si>
    <t>A2 NR cleang protocol</t>
  </si>
  <si>
    <t>Material Readiness for post A2 cleaning</t>
  </si>
  <si>
    <t>Material Readiness - Cleaning</t>
  </si>
  <si>
    <t>QC Testing Readiness for A3</t>
  </si>
  <si>
    <t>IH Monitoring - DCM charging and drumming (Step B batch cleaning - 200L)</t>
  </si>
  <si>
    <t>R2 CIP valve rectification</t>
  </si>
  <si>
    <t>57803037 - SG00281015CP01 - API WALK IN COLD ROOM (2-8 DEGREE CELSIUS) CONTROL PANEL CP-01 - 6 MONTH TESTING OF COLD ROOM PEOPLE TRAP ALARM - W101_1092743_PM</t>
  </si>
  <si>
    <t>Cold room trap alarm PM</t>
  </si>
  <si>
    <t xml:space="preserve">N2 loading </t>
  </si>
  <si>
    <t>58196531 - SG00234532EF03 - AHU-32 EXHAUST FAN EF-03 - IMPROVE MACHINE GUARD SAFETY AS PER CORPORATE REQUIREMENT - U201_1089522_GM
58196530 - SG00234532EF01 - AHU-32 EXHAUST FAN EF-01 - IMPROVE MACHINE GUARD SAFETY AS PER CORPORATE REQUIREMENT - U201_1089486_GM
58196529 - SG00234531EF01 - AHU-31 EXHAUST FAN EF-01 - IMPROVE MACHINE GUARD SAFETY AS PER CORPORATE REQUIREMENT - U201_1089430_GM</t>
  </si>
  <si>
    <t>AHU machine guard improvement</t>
  </si>
  <si>
    <t>58164458 - SG00234534AHU34 - AHU-34 AIR HANDLING UNIT LABORATORY - TO REPLACE G4 FILTERS. - U201_1089497_GM</t>
  </si>
  <si>
    <t>Replace AHU filter</t>
  </si>
  <si>
    <t>58227999 - SG00281590TT012B - PD 6DEGC REFRIGERATOR REF-01 TEMPERATURE TRANSMITTER TT-012B (34534-TT-012B) - CALIBRATION OF CONTROLLED TEMPERATURE CHAMBER MONITORING PROBES - L101_1109290_PMCAL
58227985 - SG00281590TIC01 - PD 6DEGC REFRIGERATOR REF-01 TEMPERATURE INDICATOR CONTROLLER TIC-01 - CALIBRATION OF TEMPERATURE INDICATORS/TRANSMITTERS LVL 1 - L101_1109289_PMCAL
58228047 - SG00282090TT013 - PD -20DEGC FREEZER FRZ-01 TEMPERATURE TRANSMITTER TT-013 - CALIBRATION OF CONTROLLED TEMPERATURE CHAMBER MONITORING PROBES - L101_1109293_PMCAL</t>
  </si>
  <si>
    <t>HONG LOONG ONG</t>
  </si>
  <si>
    <t>PD 6deg fridge PM/ PMCAL</t>
  </si>
  <si>
    <t>QoP - Recrystallization</t>
  </si>
  <si>
    <t>57458019 - SG00277012T04 - CHEMICAL FUME HOOD, CHEMICAL CANISTER T-04 - TO PROVIDE SUPPORT FOR REMOVAL OF CHEMICAL CANISTER DOME FOR EVI. - M104_1088528_GM</t>
  </si>
  <si>
    <t>QoP - ExMat Reactor</t>
  </si>
  <si>
    <t>Yee Yen</t>
  </si>
  <si>
    <t>Reactor 1 LI exit cal</t>
  </si>
  <si>
    <t>Reactor 1 LI entry cal</t>
  </si>
  <si>
    <t xml:space="preserve">Step C Material Readiness </t>
  </si>
  <si>
    <t>58227968 - SG00281590REF01 - PD 6DEGC REFRIGERATOR REF-01 - PM INSPECTION OF INCUBATOR, FREEZER, REFRIGERATOR AND CHAMBER - L101_1109288_PM
58228033 - SG00282090TIC01 - PD -20DEGC FREEZER FRZ-01 TEMPERATURE INDICATOR CONTROLLER TIC-01 - CALIBRATION OF TEMPERATURE INDICATORS/TRANSMITTERS LVL 1 - L101_1109292_PMCAL
58228016 - SG00282090FRZ01 - PD -20DEGC FREEZER FRZ-01 - PM INSPECTION OF INCUBATOR, FREEZER, REFRIGERATOR AND CHAMBER - L101_1109291_PM</t>
  </si>
  <si>
    <t>PD -20degC fridge PM/ PMCAL</t>
  </si>
  <si>
    <t>58228165 - SG00273518WIT01 - DISPENSING WEIGHT SCALE WEIGHT INDICATING TRANSMITTER WIT-01 - CALIBRATION OF BALANCES/FLOOR SCALES AND OPERATING RANGE DETERMINATION BY APPROVED VENDOR - M101_1129355_PMCAL</t>
  </si>
  <si>
    <t>Disp. Isolator scale PMCAL</t>
  </si>
  <si>
    <t>58228631 - SG00240511CP001 - MOBILE CIP SKID #1, CONTROL PANEL CP-001 - BLOWN LAMPS IN CIP SKID CONTROL PANEL NEED TO REPLACE. - M103_1128567_GM</t>
  </si>
  <si>
    <t>CIP skid lamp replacement GM</t>
  </si>
  <si>
    <t>58228120 - SG00283502TIC01 - QC VACUUM OVEN OV-01, TEMPERATURE INDICATOR CONTROLLER TIC-01 - CALIBRATION OF INCUBATOR INDICATORS - L101_1117792_PMCAL</t>
  </si>
  <si>
    <t>58227822 - SG00261531 - SUB-SYSTEM, MISCELLANEOUS WAREHOUSE TOOLS - CALIBRATION OF INSTRUMENTS BY APPROVED VENDORS -_1102941_PMCAL
58227805 - SG00261531 - SUB-SYSTEM, MISCELLANEOUS WAREHOUSE TOOLS - CALIBRATION OF INSTRUMENTS BY APPROVED VENDORS -_1101476_PMCAL</t>
  </si>
  <si>
    <t>QoP - Area walkdown</t>
  </si>
  <si>
    <t>58227694 - SG00282011TIC02 - WAREHOUSE FREEZER FRZ-02 TEMPERATURE INDICATING CONTROLER TIC-02 - CALIBRATION OF TEMPERATURE INDICATORS/TRANSMITTERS LVL 1 - W104_1094877_PMCAL
58227663 - SG00282011TT02 - WAREHOUSE FREEZER FRZ-02 QEMS MONITORING PROBE TT-02 (34533-TT-011D) - CALIBRATION OF CONTROLLED TEMPERATURE CHAMBER MONITORING PROBES - W105_1094870_PMCAL
58227649 - SG00282011TIC03 - WAREHOUSE FREEZER FRZ-03 TEMPERATURE INDICATING CONTROLER TIC-03 - CALIBRATION OF TEMPERATURE INDICATORS/TRANSMITTERS LVL 1 - W106_1094874_PMCAL
58227632 - SG00282011TT03 - WAREHOUSE FREEZER FRZ-03 QEMS MONITORING PROBE TT-03 (34533-TT-011E) - CALIBRATION OF CONTROLLED TEMPERATURE CHAMBER MONITORING PROBES - W107_1094872_PMCAL</t>
  </si>
  <si>
    <t>WH freezer PMCAL</t>
  </si>
  <si>
    <t>58227789 - SG00260701 - SUB-SYSTEM, SINGAPORE INSTRUMENT STANDARDS - CALIBRATION OF INSTRUMENTS BY APPROVED VENDORS -_1101319_PMCAL</t>
  </si>
  <si>
    <t>58228105 - SG00220815K01 - CHILLED WATER GENERATION, AIR COOLED CHILLER K-01 - MAINTENANCE, VENDOR SERVICES FOR EQUIPMENT OR SYSTEMS - YARD_1085619_PM
58228090 - SG00220815K02 - CHILLED WATER GENERATION, AIR COOLED CHILLER K-02 - MAINTENANCE, VENDOR SERVICES FOR EQUIPMENT OR SYSTEMS - YARD_1085621_PM</t>
  </si>
  <si>
    <t>Solvent loading (not req)</t>
  </si>
  <si>
    <t>58228310 - SG00260701 - SUB-SYSTEM, SINGAPORE INSTRUMENT STANDARDS - CALIBRATION OF INSTRUMENTS BY APPROVED VENDORS -_1154656_PMCAL</t>
  </si>
  <si>
    <t>Waste offloading - Org (11Dec Fri)</t>
  </si>
  <si>
    <t>EA loading</t>
  </si>
  <si>
    <t>QC Testing Readiness - in progress, on track</t>
  </si>
  <si>
    <t>Genba - TBC</t>
  </si>
  <si>
    <t>QoP - Area walkdown (Mon/ Fri)</t>
  </si>
  <si>
    <t>58227852 - SG00281015CR01 - API WALK IN COLD ROOM (2-8 DEGREE CELSIUS) (2-8DEGREE) CR-01 - QUARTERLY COLD ROOM CONDENSING UNIT MAINTENANCE - W101_1092747_PM
58227838 - SG00281015CR01 - API WALK IN COLD ROOM (2-8 DEGREE CELSIUS) (2-8DEGREE) CR-01 - ANNUAL COLD ROOM INSPECTION - W101_1092747_PM
58227730 - SG00282011TT01 - WAREHOUSE FREEZER FRZ-01 QEMS MONITORING PROBE TT-01 (34533-TT-011C) - CALIBRATION OF CONTROLLED TEMPERATURE CHAMBER MONITORING PROBES - W103_1094878_PMCAL
58227680 - SG00282011TIC01 - WAREHOUSE FREEZER FRZ-01 TEMPERATURE INDICATING CONTROLER TIC-01 - CALIBRATION OF TEMPERATURE INDICATORS/TRANSMITTERS LVL 1 - W102_1094875_PMCAL</t>
  </si>
  <si>
    <t>58227772 - SG00282011TT04 - WAREHOUSE FREEZER FRZ-04 QEMS MONITORING PROBE TT-04 (34533-TT-011F) - CALIBRATION OF CONTROLLED TEMPERATURE CHAMBER MONITORING PROBES - W109_1094879_PMCAL
58227758 - SG00282011TIC04 - WAREHOUSE FREEZER FRZ-04 TEMPERATURE INDICATING CONTROLER TIC-04 - CALIBRATION OF TEMPERATURE INDICATORS/TRANSMITTERS LVL 1 - W108_1094880_PMCAL
58227730 - SG00282011TT01 - WAREHOUSE FREEZER FRZ-01 QEMS MONITORING PROBE TT-01 (34533-TT-011C) - CALIBRATION OF CONTROLLED TEMPERATURE CHAMBER MONITORING PROBES - W103_1094878_PMCAL
58227680 - SG00282011TIC01 - WAREHOUSE FREEZER FRZ-01 TEMPERATURE INDICATING CONTROLER TIC-01 - CALIBRATION OF TEMPERATURE INDICATORS/TRANSMITTERS LVL 1 - W102_1094875_PMCAL
58280573 - SG00282011FRZ01 - WAREHOUSE FREEZER FRZ-01 - TO REPAIR SHUTTER DOOR LATCH INSIDE FREEZER - W102_1094876_GM</t>
  </si>
  <si>
    <t>MeOH loading</t>
  </si>
  <si>
    <t>58165399 - SG00213060MCC201 - NORMAL POWER,HVAC MOTOR CONTROL CENTER,HVAC MCC-2-01 - CHECK AND RECTIFY HOT SPOT DETECTED ON 34531-HC-03 MCC BUCKET OUTGOING CABLE. REFER LONG DESCRIPTION FOR DETAILS. - U204_1084642_GM</t>
  </si>
  <si>
    <t>Electrical outage (4 hr)</t>
  </si>
  <si>
    <t>58228296 - SG00234535TT001A - FLAMMABLE STORAGE ROOM FAN COIL UNIT FCU-01 QEMS TEMPERATURE TRANSMITTER TT-001A/TE001A - CALIBRATION OF TEMPERATURE INDICATORS/TRANSMITTERS AT AMGEN SINGAPORE - W106_1154159_PMCAL
58228278 - SG00234535FCU01 - FLAMMABLE STORAGE ROOM FAN COIL UNIT FCU-01 - GENERAL MAINTENANCE FOR FCU - W106_1154155_PM</t>
  </si>
  <si>
    <t>FCU PM/ PMCAL</t>
  </si>
  <si>
    <t>58228251 - SG00225021F56031 - PURIFIED WATER TANK, VENT FILTER F560.3.1 - ASM2-REPLACEMENT OF GAS/VENT FILTER, PRE &amp; POST INTEGRITY TEST - U101_1097807_PM</t>
  </si>
  <si>
    <t>Purified water filter PM</t>
  </si>
  <si>
    <t>58227930 - SG00233921PD001 - FLOOR DRAIN TRANSFER PIPING DISTRIBUTION PD-001 - 12 MONTH MAINTENANCE OF FLOOR DRAIN TRANSFER SYSTEM (SG00233921) - YARD_1087185_PM</t>
  </si>
  <si>
    <t>Floor drain PM</t>
  </si>
  <si>
    <t>58228452 - SG00270011E05 - SCRUBBER SYSTEM HEAT EXCHANGER E-05 - 12 MONTH MAINTENANCE OFASM2 SCRUBBER EXCHANGER, TUBE AND SHELL - YARD_1091688_PM</t>
  </si>
  <si>
    <t>58228230 - SG00225021F56021 - PURIFIED WATER TANK, VENT FILTER F560.2.1 - ASM2-REPLACEMENT OF GAS/VENT FILTER, PRE &amp; POST INTEGRITY TEST - U101_1097805_PM</t>
  </si>
  <si>
    <t>CT inspection and testing at ASM2 400V main switchboard</t>
  </si>
  <si>
    <t>57329846 - SG00215011TIT007 - CHILLED GLYCOL GENERATION SYSTEM TEMPERATURE INDICATING TRANSMITTER TIT-007 - TO PERFORM AS FOUND CALIBRATION PRIOR SENSOR REPLACEMENT AND FOLLOWED BY AS LEFT CALIBRATION AFTER SENSOR REPLACEMENT. - YARD_1087155_GMCAL</t>
  </si>
  <si>
    <t>Gycol system sensor replacement cal</t>
  </si>
  <si>
    <t>57457993 - SG00277012T04 - CHEMICAL FUME HOOD, CHEMICAL CANISTER T-04 - TO PROVIDE SUPPORT FOR REMOVAL OF CHEMICAL CANISTER DOME FOR EVI. - M104_1088528_GM</t>
  </si>
  <si>
    <t>Removal of chem can dome</t>
  </si>
  <si>
    <t>58269983 - SG00270011AIT213A - SCRUBBER SYSTEM OXYGEN ANALYZER INDICATING TRANSMITTER - VENDOR SUPPORT TO CLEAN SCRUBBER SYSTEM O2 SENSOR - YARD_1117744_GM</t>
  </si>
  <si>
    <t>SCRUBBER SYS O2 ANALYZER INDICATING TRANSMITTER</t>
  </si>
  <si>
    <t>58536085 - SG00259811D01 - FILTER DRYER D-01 - FILTER DRYER DISCHARGE LINE FLEXIBLE HOSE CONNECTION LEAK (EPSILON VALVE) - M103_1094265_GM</t>
  </si>
  <si>
    <t>(16Dec) FD discharge epsilon valve rectification</t>
  </si>
  <si>
    <t>Genba - Warehouse walkdown for uneven Ramp</t>
  </si>
  <si>
    <t>QoP - Area walkdown (Siew Mei to confirm later, likely 14-17 Dec)</t>
  </si>
  <si>
    <t>58544960 - SG00254311 - MES SUB-SYSTEM, CHEMICAL REACTOR #1 - REQUEST MECHANICAL SUPPORT FOR TRANSFER LINE INSPECTION - M201__GM</t>
  </si>
  <si>
    <t>Xfer line inspection (mech support req)</t>
  </si>
  <si>
    <t>SUPPORT FOR TRANSFER LINE INSPECTION</t>
  </si>
  <si>
    <t>MeOH loading (28Dec)</t>
  </si>
  <si>
    <t>QC Testing Readiness - Step A1 30Dec</t>
  </si>
  <si>
    <t>Genba - scrubber O2 sensor</t>
  </si>
  <si>
    <t>N2 loading (29Dec)</t>
  </si>
  <si>
    <t>58570189 - SG00216011PD01 - VACUUM SKID A, PIPING DISTRIBUTION PD-01 - SOME PORTION OF ALUMINUM FOIL INSULATION ON PIPELINES OF VACUUM PUMP IS STARTING TO PEEL. REQUEST TO REINSULATE AFFECTED PORTIONS. -_1144280_GM</t>
  </si>
  <si>
    <t>Reinsulation vacuum pump pipeline</t>
  </si>
  <si>
    <t>58570201 - SG002335 - SYSTEM, GENERAL BUILDING - INSTALL CUSHION ON SHARP EDGES OF STRUCTURE SUPPORT FOR GLYCOL LINES IN THE TCU ROOM. (U205) HAVE CIRCLED THE AFFECTED AREA IN RED. -__GM</t>
  </si>
  <si>
    <t>Installation of cushion</t>
  </si>
  <si>
    <t>58562788 - SG00259811BI12 - FILTER DRYER DISCHARGE GLOVEBOX BI-12 - 3 MONTH MAINTENANCE OF SG00259811 FILTER DRYER ISOLATOR GLOVEBOX - M103_1094349_PM</t>
  </si>
  <si>
    <t>FILTER DRYER ISOLATOR GLOVEBOX PM</t>
  </si>
  <si>
    <t>Aq Waste offloading (not req)</t>
  </si>
  <si>
    <t>58562805 - SG00282012TT01 - QC -5 TO -30 DEG C FREEZER FRZ-01 QEMS MONITORING PROBE TT-01 (34533-TT-011G) - CALIBRATION OF CONTROLLED TEMPERATURE CHAMBER MONITORING PROBES - W102_1100643_PMCAL</t>
  </si>
  <si>
    <t>Probe CALIBRATION for QC freezer</t>
  </si>
  <si>
    <t>Genba - Glycol PM preparation (date TBC)</t>
  </si>
  <si>
    <t>58562822 - SG00282012TIC01 - QC -5 TO -30 DEG C FREEZER FRZ-01 TEMPERATURE INDICATING CONTROLER TIC-01 - CALIBRATION OF TEMPERATURE INDICATORS/TRANSMITTERS LVL 1 - W102_1105746_PMCAL</t>
  </si>
  <si>
    <t>TEMP INDICATORS CALIBRATION for QC freezer</t>
  </si>
  <si>
    <t xml:space="preserve">MeOH loading </t>
  </si>
  <si>
    <t>58563022 - SG00210031PD001 - BREATHING AIR DISTRIBUTION PANEL (CCD) - 3 MONTH MAINTENANCE OF BREATHING AIR SYSTEM (CCD) - U201_1103357_PM</t>
  </si>
  <si>
    <t>BREATHING AIR SYSTEM PM</t>
  </si>
  <si>
    <t>58563066 - SG00279211BI01 - DISPENSING AND SAMPLING GLOVEBOX, DISPENSING/SAMPLING AND PACKOFF GLOVEBOX BI-01 - 3 MONTH MAINTENANCE OF SG00279211 ISOLATOR GLOVEBOX (CCD) - M101_1093104_PM</t>
  </si>
  <si>
    <t>DISPENSING ISOLATOR GLOVEBOX PM</t>
  </si>
  <si>
    <t xml:space="preserve">Org waste offloading </t>
  </si>
  <si>
    <t>QoP - setup of MsOH charge</t>
  </si>
  <si>
    <t xml:space="preserve">QoP - collection of R1 RS sample/ blank </t>
  </si>
  <si>
    <t>Org waste offloading</t>
  </si>
  <si>
    <t>58617712 - SG00210021PD01 - COMPRESSED AIR DISTRIBUTION, PIPING DISTRIBUTION PD-01 - TO REPLACE FAULTY COMPRESS AIR QUICK COUPLING AT 10021-MV-213 (ROOM 105) AND 10021-MV-238 (ROOM 104). -_1144276_GM</t>
  </si>
  <si>
    <t>Replace comp air coupling</t>
  </si>
  <si>
    <t xml:space="preserve">Waste offloading - Org  </t>
  </si>
  <si>
    <t>58600798 - SG00217521PI012 - ORGANIC WASTE TANK T-01, WASTE TRANSFER PUMP P-02, PRESSURE INDICATOR PI-012 - TO REPLACE FAULTY PRESSURE GAUGE 17521-PI-012 AND BROKEN VALVE HANDLE 17521-MV-019 - YARD_1087531_GM</t>
  </si>
  <si>
    <t>Org PI &amp; handle rectification</t>
  </si>
  <si>
    <t xml:space="preserve">58563261 - SG00265103 - SUBSYSTEM, PD PIPETTE - CALIBRATION OF INSTRUMENTS BY APPROVED VENDORS - L101_1112600_PMCAL
58563226 - SG00265103 - SUBSYSTEM, PD PIPETTE - CALIBRATION OF INSTRUMENTS BY APPROVED VENDORS - L101_1112599_PMCAL
58563209 - SG00265103 - SUBSYSTEM, PD PIPETTE - CALIBRATION OF INSTRUMENTS BY APPROVED VENDORS - L101_1112598_PMCAL
58563193 - SG00265103 - SUBSYSTEM, PD PIPETTE - CALIBRATION OF INSTRUMENTS BY APPROVED VENDORS - L101_1112594_PMCAL
58563161 - SG00265103 - SUBSYSTEM, PD PIPETTE - CALIBRATION OF INSTRUMENTS BY APPROVED VENDORS - L101_1112592_PMCAL
58563145 - SG00265103 - SUBSYSTEM, PD PIPETTE - CALIBRATION OF INSTRUMENTS BY APPROVED VENDORS - L101_1112591_PMCAL
</t>
  </si>
  <si>
    <t>JOEY TEO</t>
  </si>
  <si>
    <t>58563129 - SG00261510TS01 - TEMPERATURE SENSOR TS-01 - CALIBRATION OF INSTRUMENTS BY APPROVED VENDORS - L102_1112284_PMCAL</t>
  </si>
  <si>
    <t>QC temp sensor PMCAL</t>
  </si>
  <si>
    <t xml:space="preserve">58562650 - SG00273501 - MES SUB-SYSTEM, TEST WEIGHTS - CALIBRATION OF INSTRUMENTS BY APPROVED VENDORS -_1095827_PMCAL
58562634 - SG00273501 - MES SUB-SYSTEM, TEST WEIGHTS - CALIBRATION OF INSTRUMENTS BY APPROVED VENDORS -_1095826_PMCAL
</t>
  </si>
  <si>
    <t>Test weights PMCAL</t>
  </si>
  <si>
    <t>58562576 - SG00251901PR01 - QC ENDOPTS PLATE READER PR-01 - ASM - CALIBRATION OF INSTRUMENT BY APPROVED VENDORS - L213_917769_PMCAL</t>
  </si>
  <si>
    <t>58562560 - SG00273591 - SUB-SYSTEM, WAREHOUSE TEST WEIGHT - CALIBRATION OF INSTRUMENTS BY APPROVED VENDORS - W102_1012998_PMCAL</t>
  </si>
  <si>
    <t xml:space="preserve">Ethyl acetate topup </t>
  </si>
  <si>
    <t>Org waste offloading (not req)</t>
  </si>
  <si>
    <t>Step A1 Material Readiness (Batch 1 PO to be released today)</t>
  </si>
  <si>
    <t>58563308 - SG00220815K01 - CHILLED WATER GENERATION, AIR COOLED CHILLER K-01 - MAINTENANCE, VENDOR SERVICES FOR EQUIPMENT OR SYSTEMS - YARD_1085619_PM
58563293 - SG00220815K02 - CHILLED WATER GENERATION, AIR COOLED CHILLER K-02 - MAINTENANCE, VENDOR SERVICES FOR EQUIPMENT OR SYSTEMS - YARD_1085621_PM</t>
  </si>
  <si>
    <t>58563083 - SG00254311AIT156 - CHEMICAL REACTOR #1, ANALYZER INDICATING TRANSMITTER AIT-156 - CALIBRATION OF CONDUCTIVITY INDICATORS/TRANSMITTERS - M103_1093792_PMCAL
58562776 - SG00254311SI117 - CHEMICAL REACTOR #1, SPEED INDICATOR SI-117 - CALIBRATION OF SPEED INDICATOR / TRANSMITTERS - U204_1099355_PMCAL
58562752 - SG00254311PIT107B - CHEMICAL REACTOR #1, PRESSURE INDICATING TRANSMITTER PIT-107B - CALIBRATION OF PRESSURE TRANSMITTERS - M201_1096734_PMCAL
58562694 - SG00254311PIT107A - CHEMICAL REACTOR #1, PRESSURE INDICATING TRANSMITTER PIT-107A - CALIBRATION OF PRESSURE TRANSMITTERS - M201_1093773_PMCAL
58563368 - SG00254311TE211B - CHEMICAL REACTOR 1 TCU04 TEMPERATURE ELEMENT TE-211B - CALIBRATION OF TEMPERATURE INDICATORS/TRANSMITTERS AT AMGEN SINGAPORE - U205_1144550_PMCAL
58563359 - SG00254311TCU04 - CHEMICAL REACTOR #1, TEMPERATURE CONTROL UNIT TCU-04 - ASM 2 TEMPERATURE CONTROL UNIT INSTRUMENT MAINTENANCE - U205_1093765_PM
58563100 - SG00254311TE211A - CHEMICAL REACTOR 1 TCU04 TEMPERATURE ELEMENT TE-211A - CALIBRATION OF TEMPERATURE INDICATORS/TRANSMITTERS AT AMGEN SINGAPORE - U205_1109124_PMCAL
58562737 - SG00254311LIT119 - CHEMICAL REACTOR #1, LEVEL INDICATING TRANSMITTER LIT-119 - CALIBRATION OF LEVEL TRANSMITTER - MAGNETROL GUIDED WAVE RADAR - M201_1093811_PMCAL
58562723 - SG00254311TIT120A - CHEMICAL REACTOR #1, TEMPERATURE INDICATING TRANSMITTER TIT-120A - CALIBRATION OF TEMPERATURE INDICATORS/TRANSMITTERS AT AMGEN SINGAPORE - M103_1093808_PMCAL
58562709 - SG00254311TIT120B - CHEMICAL REACTOR #1, TEMPERATURE INDICATING TRANSMITTER TIT-120B - CALIBRATION OF TEMPERATURE INDICATORS/TRANSMITTERS AT AMGEN SINGAPORE - M103_1093804_PMCAL
58562680 - SG00254311TIT137 - CHEMICAL REACTOR #1, TEMPERATURE INDICATING TRANSMITTER TIT-137 - CALIBRATION OF TEMPERATURE INDICATORS/TRANSMITTERS AT AMGEN SINGAPORE - ROOF_1093748_PMCAL
58562666 - SG00254311FIT109 - CHEMICAL REACTOR #1, FLOW INDICATING TRANSMITTER FIT-109 - CALIBRATION OF LIQUID FLOW TRANSMITTER - M201_1093747_PMCAL</t>
  </si>
  <si>
    <t>Reactor 1 PMCAL</t>
  </si>
  <si>
    <t xml:space="preserve">SCDF license renewal - Pressure test H2 bank &amp; bulk solvent tanks </t>
  </si>
  <si>
    <t xml:space="preserve">MeOH top up </t>
  </si>
  <si>
    <t>Y2021 A1 testing readiness (to update by 31Dec20)</t>
  </si>
  <si>
    <t>N2 loading (cancelled)</t>
  </si>
  <si>
    <t>Genba - Existing Tyvek (TBTU)</t>
  </si>
  <si>
    <t>58625734 - SG00254311PD001 - CHEMICAL REACTOR #1, DISTRIBUTION PIPING PD-001 - TO CHANGE REACTOR 1 SIGHT GLASS TORN GASKET. - M201_1093716_GM</t>
  </si>
  <si>
    <t>Gasket change (aft PM)</t>
  </si>
  <si>
    <t>58563277 - SG00260701 - SUB-SYSTEM, SINGAPORE INSTRUMENT STANDARDS - CALIBRATION OF INSTRUMENTS BY APPROVED VENDORS -_1116780_PMCAL
58562596 - SG00260701 - SUB-SYSTEM, SINGAPORE INSTRUMENT STANDARDS - CALIBRATION OF INSTRUMENTS BY APPROVED VENDORS -_673281_PMCAL</t>
  </si>
  <si>
    <t>Genba - FD bottom valve walkdown</t>
  </si>
  <si>
    <t xml:space="preserve">Aq Waste offloading </t>
  </si>
  <si>
    <t>General Building GM: Access locations where scissors lift can be used and the max height frame ladder can reach in ASM2</t>
  </si>
  <si>
    <t>Scissor lift &amp; ladder GM</t>
  </si>
  <si>
    <t>Lifting PM: 25kg lifting hoist statutory inspection &amp; load test</t>
  </si>
  <si>
    <t>Lifting PM</t>
  </si>
  <si>
    <t>QC -5 to -30degC freezer PMCAL: TIC-01 and TT-01</t>
  </si>
  <si>
    <t>QC freezer PMCAL</t>
  </si>
  <si>
    <t xml:space="preserve">Automation: HMI Speaker Rectification </t>
  </si>
  <si>
    <t xml:space="preserve">EHSS: Acid Scrubber Air Sampling </t>
  </si>
  <si>
    <t>Genba - Pre-HAZOP (for check valve) walkdown</t>
  </si>
  <si>
    <t>QoP - Chem canister sampling/ area walkdown</t>
  </si>
  <si>
    <t>Chilled glycol GM: Replace LIT-006</t>
  </si>
  <si>
    <t>Replace chilled glycol LIT</t>
  </si>
  <si>
    <t xml:space="preserve">56332867 - ASM2 Chiller Testing </t>
  </si>
  <si>
    <t>Andrew</t>
  </si>
  <si>
    <t>QC Temp Sensor PMCAL</t>
  </si>
  <si>
    <t>Endo plate reader PMCAL</t>
  </si>
  <si>
    <t>Compressed air gen system PM: B-01 to B-03</t>
  </si>
  <si>
    <t>Comp air PM</t>
  </si>
  <si>
    <t>Genba - DCM waste drumming valve</t>
  </si>
  <si>
    <t>Sara/ Leslie</t>
  </si>
  <si>
    <t>Material Readiness - Packout</t>
  </si>
  <si>
    <t>Timer entry cal</t>
  </si>
  <si>
    <t xml:space="preserve">Genba - A2 process </t>
  </si>
  <si>
    <t>Polishing filter replacement</t>
  </si>
  <si>
    <t>QC stopwatch PMCAL</t>
  </si>
  <si>
    <t>Chem canister PM</t>
  </si>
  <si>
    <t>QC pipette PMCAL</t>
  </si>
  <si>
    <t>Genba - Tank farm pneumatic pressure test - TBC</t>
  </si>
  <si>
    <t>QoP - Distillation/ Packout</t>
  </si>
  <si>
    <t>QoP - mix tank GVI focus walk</t>
  </si>
  <si>
    <t xml:space="preserve">Aq waste offloading </t>
  </si>
  <si>
    <t>QC analytical weight PM</t>
  </si>
  <si>
    <t>AHU GM: Replace G4 filters</t>
  </si>
  <si>
    <t>Genba - Hydrogen cylinder shed</t>
  </si>
  <si>
    <t>QoP - combined w Genba</t>
  </si>
  <si>
    <t xml:space="preserve">Spent cat waste collection </t>
  </si>
  <si>
    <t>FD PM/PMCAL</t>
  </si>
  <si>
    <t>Statutory bulk solvent tank inspection</t>
  </si>
  <si>
    <t>Ken chong</t>
  </si>
  <si>
    <t>Wilson Teo</t>
  </si>
  <si>
    <t>FD condenser pump PM</t>
  </si>
  <si>
    <t>Genba - Hydrogen vent line genba walk</t>
  </si>
  <si>
    <t>QoP - Catalyst Prep</t>
  </si>
  <si>
    <t>Monthly inspection walk - Disp area</t>
  </si>
  <si>
    <t>Peiyun</t>
  </si>
  <si>
    <t>Rx 1 &amp; 2 cond. pump PM</t>
  </si>
  <si>
    <t xml:space="preserve">Genba - pressure tests for A3 </t>
  </si>
  <si>
    <t>QoP - combined w inspection readiness</t>
  </si>
  <si>
    <t xml:space="preserve">Collect filled DCM waste drums </t>
  </si>
  <si>
    <t>Audit prep walkdown: M101 &amp; M103</t>
  </si>
  <si>
    <t xml:space="preserve">Collect of spent catalyst waste drums </t>
  </si>
  <si>
    <t>Rx 2 TCU PM/ PMCAL</t>
  </si>
  <si>
    <t>Removal of chem can. Dome</t>
  </si>
  <si>
    <t>Filter dryer glovebox PMCAL</t>
  </si>
  <si>
    <t>Joey Teo</t>
  </si>
  <si>
    <t>WH weights PMCAL</t>
  </si>
  <si>
    <t>Lingam</t>
  </si>
  <si>
    <t>Standard weight PMCAL</t>
  </si>
  <si>
    <t>QC Testing Readiness - ref stnd B (pending CoA)</t>
  </si>
  <si>
    <t xml:space="preserve">Ethyl acetate loading </t>
  </si>
  <si>
    <t xml:space="preserve">Methanol loading </t>
  </si>
  <si>
    <t>Genba - H2 vent &amp; rooftop</t>
  </si>
  <si>
    <t xml:space="preserve">QoP - A3 cleaning </t>
  </si>
  <si>
    <t>Weekly inspection readiness genba walk - M103, M105, U103</t>
  </si>
  <si>
    <t xml:space="preserve">Step B Material Readiness </t>
  </si>
  <si>
    <t>FD TCU PM</t>
  </si>
  <si>
    <t>FD glovebox exhaust fan PM</t>
  </si>
  <si>
    <t>Disp. Isolator PMCAL</t>
  </si>
  <si>
    <t>Gabriel Chew</t>
  </si>
  <si>
    <t>R1 TCU PM (electrical)</t>
  </si>
  <si>
    <t>PD reactor PMCAL</t>
  </si>
  <si>
    <t>Stanley Ong</t>
  </si>
  <si>
    <t>Motorized valve function test</t>
  </si>
  <si>
    <t>R1 TCU PM (mechanical)</t>
  </si>
  <si>
    <t>Genba - CIP pump reorient drain valve</t>
  </si>
  <si>
    <t>QoP - visual inspection (Tues)</t>
  </si>
  <si>
    <t>Weekly inspection readiness genba walk (shed &amp; flammable storage)</t>
  </si>
  <si>
    <t>Hydrog PM/ PMCAL</t>
  </si>
  <si>
    <t>Heptane FIT PMCAL</t>
  </si>
  <si>
    <t>EA FIT PMCAL</t>
  </si>
  <si>
    <t>H2 gas detector PMCAL</t>
  </si>
  <si>
    <t>Calvin Chang</t>
  </si>
  <si>
    <t>Genba - HOBt dispensing (TBD Leslie)</t>
  </si>
  <si>
    <t xml:space="preserve">QoP - pure pocket cleaning </t>
  </si>
  <si>
    <t>Inspection readiness walkdown (mgmt)</t>
  </si>
  <si>
    <t xml:space="preserve">QC Testing Readiness </t>
  </si>
  <si>
    <t>Acetone FIT PMCAL</t>
  </si>
  <si>
    <t>Leslie Tsen</t>
  </si>
  <si>
    <t>Genba - PSSR for mix tank adapter N2 blow (Gabriel to initiate the PSSR)</t>
  </si>
  <si>
    <t>QoP - Process drying (Siew Mei)</t>
  </si>
  <si>
    <t>A1 Material Readiness</t>
  </si>
  <si>
    <t>Mix tank 3 PMCAL</t>
  </si>
  <si>
    <t>Downflow booth PMCAL</t>
  </si>
  <si>
    <t xml:space="preserve">Genba - U101 PUR </t>
  </si>
  <si>
    <t>QoP - A1 reagent charge</t>
  </si>
  <si>
    <t>Replace filter for AHU-34</t>
  </si>
  <si>
    <t>Rectify floor drain label direction</t>
  </si>
  <si>
    <t xml:space="preserve">Replace EA PI </t>
  </si>
  <si>
    <t>Genba - filter changeout</t>
  </si>
  <si>
    <t>QoP -C-1 RCA</t>
  </si>
  <si>
    <t>Hydrog upper vapour line GM</t>
  </si>
  <si>
    <t>Rx-1 TCU CM</t>
  </si>
  <si>
    <t>QC balance PMCAL</t>
  </si>
  <si>
    <t>Instrument stnd PMCAL</t>
  </si>
  <si>
    <t>Scrubber pumps PM</t>
  </si>
  <si>
    <t>Genba - reagent line charging (TBD)</t>
  </si>
  <si>
    <t>QoP - packout</t>
  </si>
  <si>
    <t>A1-5 to A1-6 Material Readiness</t>
  </si>
  <si>
    <t>Hydrog PM</t>
  </si>
  <si>
    <t>CFH hose replacement</t>
  </si>
  <si>
    <t>Txformer PM</t>
  </si>
  <si>
    <t>Lifter Statutory PM</t>
  </si>
  <si>
    <t>Various SOs</t>
  </si>
  <si>
    <t>MeOH tank/ pump PM/ PMCAL</t>
  </si>
  <si>
    <t>EtOAc tank/pump PM/PMCAL</t>
  </si>
  <si>
    <t>HVAC PM</t>
  </si>
  <si>
    <t>Genba - cat pump PM</t>
  </si>
  <si>
    <t>QoP - solid/reagent charging</t>
  </si>
  <si>
    <t>Genba - packout (Mon -  Wed)</t>
  </si>
  <si>
    <t>QoP - packout (Mon preferred)</t>
  </si>
  <si>
    <t>A2 Material Readiness (2 batch)</t>
  </si>
  <si>
    <t>Acetone tank PM</t>
  </si>
  <si>
    <t>Heptane PIT PMCAL</t>
  </si>
  <si>
    <t>CIP PM</t>
  </si>
  <si>
    <t>Heptane tank PM</t>
  </si>
  <si>
    <t>Reactor 2 PM/PMCAL</t>
  </si>
  <si>
    <t>FD/ glovebox PMCAL</t>
  </si>
  <si>
    <t>FD/ glovebox PM</t>
  </si>
  <si>
    <t>Hydrog TCU PMCAL</t>
  </si>
  <si>
    <t>Scrubber FA PM</t>
  </si>
  <si>
    <t>Scrubber PMCAL</t>
  </si>
  <si>
    <t>Genba - KHCO3 phase cuts</t>
  </si>
  <si>
    <t>QoP - Solution prep</t>
  </si>
  <si>
    <t>Genba - nitrogen loading (duty tech)</t>
  </si>
  <si>
    <t>QoP - IPC sampling</t>
  </si>
  <si>
    <t>Inspection readiness walk - M103 and M101</t>
  </si>
  <si>
    <t>Peiyun/ Sara</t>
  </si>
  <si>
    <t>Material Readiness for next batch (A2-5 &amp; A2-6)</t>
  </si>
  <si>
    <t>Balance &amp; floor scale PMCAL</t>
  </si>
  <si>
    <t>WH lifter PMCAL</t>
  </si>
  <si>
    <t>PD hood filter change</t>
  </si>
  <si>
    <t>Pur water skid PM</t>
  </si>
  <si>
    <t>Pur water skid PMCAL</t>
  </si>
  <si>
    <t>QC quartz plate</t>
  </si>
  <si>
    <t xml:space="preserve">Ethyl acetate top up </t>
  </si>
  <si>
    <t>Genba - N2 loading</t>
  </si>
  <si>
    <t>Genba - Scrubber draining (CI)</t>
  </si>
  <si>
    <t>QoP - TBD</t>
  </si>
  <si>
    <t>Inspection Readiness walk - Remaining production rooms (except M101 &amp; M103)</t>
  </si>
  <si>
    <t>Nitrogen pressure switch PMCAL</t>
  </si>
  <si>
    <t>Cold room TT PMCAL</t>
  </si>
  <si>
    <t>Local vent hose replacement</t>
  </si>
  <si>
    <t>Hydrog cylin skid flame arrester PM</t>
  </si>
  <si>
    <t>Tank farm PI CM</t>
  </si>
  <si>
    <t>PUR water skid PMCAL</t>
  </si>
  <si>
    <t>PUR water skid PM</t>
  </si>
  <si>
    <t>Genba - hydrog &amp; hydrog shed</t>
  </si>
  <si>
    <t>QoP - M105 walkdown</t>
  </si>
  <si>
    <t>Inspection readiness walkdown (M201 &amp; Tank Farm)</t>
  </si>
  <si>
    <t>Ananya</t>
  </si>
  <si>
    <t>A2-7 Material Readiness (KIV)</t>
  </si>
  <si>
    <t xml:space="preserve">A3-3 and A3-4 material readiness </t>
  </si>
  <si>
    <t>Genba - packout</t>
  </si>
  <si>
    <t>Samuel/ YY</t>
  </si>
  <si>
    <t>Inspection readiness walk - M104 &amp; M105</t>
  </si>
  <si>
    <t>ADL packout</t>
  </si>
  <si>
    <t>Chem fumehood pump PM</t>
  </si>
  <si>
    <t xml:space="preserve">Genba - Area </t>
  </si>
  <si>
    <t>A3-4 Dispensing</t>
  </si>
  <si>
    <t>Mix tank 1 PM/ PMCAL</t>
  </si>
  <si>
    <t>AHU-33 filter replacement</t>
  </si>
  <si>
    <t>QC endo plate PMCAL</t>
  </si>
  <si>
    <t>Floor drain pump replacement</t>
  </si>
  <si>
    <t>Waste offloading - Aq (KIV)</t>
  </si>
  <si>
    <t>Genba - Hydrog cylinder (TBD)</t>
  </si>
  <si>
    <t>A3-5 Dispensing</t>
  </si>
  <si>
    <t>Catalyst waste drum removal</t>
  </si>
  <si>
    <t>A3-5 and A3-6 Material Readiness (Tues)</t>
  </si>
  <si>
    <t>Workup receiver PMCAL</t>
  </si>
  <si>
    <t>PD VBSE PMCERT</t>
  </si>
  <si>
    <t>Mix tank 2 PMCAL</t>
  </si>
  <si>
    <t>FD isolator glove &amp; hose replacement</t>
  </si>
  <si>
    <t>Waste offloading - Aq (Fri)</t>
  </si>
  <si>
    <t>H2 cylinder bank top up (not req)</t>
  </si>
  <si>
    <t>A3-6 Dispensing</t>
  </si>
  <si>
    <t>Sara/ Wilson</t>
  </si>
  <si>
    <t>PUR water tank filter replacement PM</t>
  </si>
  <si>
    <t>DFB PM</t>
  </si>
  <si>
    <t>Disp. Isolator hose replacement</t>
  </si>
  <si>
    <t>Cold room evaporator PM</t>
  </si>
  <si>
    <t>Filter dryer hose replacement</t>
  </si>
  <si>
    <t>Distillate receiver PMCAL</t>
  </si>
  <si>
    <t>AHU filter replacement</t>
  </si>
  <si>
    <t>CIP skid hose replacement</t>
  </si>
  <si>
    <t>FCU PM</t>
  </si>
  <si>
    <t>Mfg hose replacement</t>
  </si>
  <si>
    <t>Switchboard GM (power reading)</t>
  </si>
  <si>
    <t>Dispensing isolator PM</t>
  </si>
  <si>
    <t>Genba - expoxy painting on tank farm</t>
  </si>
  <si>
    <t>DCM waste drums (top up)</t>
  </si>
  <si>
    <t>Waste offloading - Org (Thurs evening)</t>
  </si>
  <si>
    <t>N2 loading (Thurs morn)</t>
  </si>
  <si>
    <t>Solvent loading - heptane (Fri)</t>
  </si>
  <si>
    <t>Solvent loading - Methanol (Tues even)</t>
  </si>
  <si>
    <t>Solvent loading - Methanol (Tues even, Wed morn truck out)</t>
  </si>
  <si>
    <t>Genba - swab (Date TBD)</t>
  </si>
  <si>
    <t>Sara/ Jack</t>
  </si>
  <si>
    <t>Step B Material Readiness (9th Jul)</t>
  </si>
  <si>
    <t>Pur water skid FIT PMCAL</t>
  </si>
  <si>
    <t>R1 glycol flowserve valve airleak</t>
  </si>
  <si>
    <t>Methanol PSV PM</t>
  </si>
  <si>
    <t>Removal of chem can. dome</t>
  </si>
  <si>
    <t>Heptane flex hose replacement</t>
  </si>
  <si>
    <t>Aq waste offloading (Sat)</t>
  </si>
  <si>
    <t>Solvent top up (MeOH)</t>
  </si>
  <si>
    <t>N2 top up</t>
  </si>
  <si>
    <t>Genba - mobile equipment caster wheel walkdown</t>
  </si>
  <si>
    <t>QC testing readiness - on track</t>
  </si>
  <si>
    <t>Rx1 PM</t>
  </si>
  <si>
    <t>pH meter PMCAL</t>
  </si>
  <si>
    <t>Dist receiver PM</t>
  </si>
  <si>
    <t>Relief catch tank PM</t>
  </si>
  <si>
    <t>Solvent tank flame arrestor PM</t>
  </si>
  <si>
    <t>QC quartz plate PMCAL</t>
  </si>
  <si>
    <t>Drum station pump PM</t>
  </si>
  <si>
    <t>Solvent top up (not req)</t>
  </si>
  <si>
    <t xml:space="preserve">N2 top up </t>
  </si>
  <si>
    <t>Genba - tank farm epoxy</t>
  </si>
  <si>
    <t>Kaili Fan</t>
  </si>
  <si>
    <t>PD pH conductivity meter PMCAL</t>
  </si>
  <si>
    <t>FD isolator PM</t>
  </si>
  <si>
    <t xml:space="preserve">EA top up </t>
  </si>
  <si>
    <t>Genba (Area)</t>
  </si>
  <si>
    <t>A2-1 &amp; A2-2 material readiness</t>
  </si>
  <si>
    <t>Acetone tank PI rectification</t>
  </si>
  <si>
    <t>Storm water tank level sensor feedback</t>
  </si>
  <si>
    <t>Org waste offloading (Sat)</t>
  </si>
  <si>
    <t xml:space="preserve">Methanol top up </t>
  </si>
  <si>
    <t>n-Heptane top up</t>
  </si>
  <si>
    <t xml:space="preserve">Virtual tour inspection practice </t>
  </si>
  <si>
    <t>Sara/ Peiyun</t>
  </si>
  <si>
    <t>Genba (Uneven flooring)</t>
  </si>
  <si>
    <t>Elec switchboard power reading</t>
  </si>
  <si>
    <t>Lightning protection system PM</t>
  </si>
  <si>
    <t>Replaced level 2 LED light fixture</t>
  </si>
  <si>
    <t>Enrica</t>
  </si>
  <si>
    <t>N2 top up (Thurs)</t>
  </si>
  <si>
    <t>Genba</t>
  </si>
  <si>
    <t>A2-3 and A2-4 material readiness</t>
  </si>
  <si>
    <t>QC oven PMCAL</t>
  </si>
  <si>
    <t>QC pH meter PMCAL</t>
  </si>
  <si>
    <t>LEL PMCAL</t>
  </si>
  <si>
    <t>Org waste tank PM</t>
  </si>
  <si>
    <t>Aq waste offloading (Mon)</t>
  </si>
  <si>
    <t>Genba (H2 check valve)</t>
  </si>
  <si>
    <t>WH freezers PM</t>
  </si>
  <si>
    <t xml:space="preserve">Genba </t>
  </si>
  <si>
    <t>A2-5 and A2-6 material readiness (salts)</t>
  </si>
  <si>
    <t>A2-5 and A2-6 material readiness (PR)</t>
  </si>
  <si>
    <t>Cold Room PM</t>
  </si>
  <si>
    <t>QC &amp; PD fumehood PM</t>
  </si>
  <si>
    <t>Disp isolator PMCERT</t>
  </si>
  <si>
    <t>Downflow booth PMCERT</t>
  </si>
  <si>
    <t>Fan Kaili</t>
  </si>
  <si>
    <t>Filter Dryer HEPA filter PMCERT</t>
  </si>
  <si>
    <t>Chemical fumehood PMCERT</t>
  </si>
  <si>
    <t>Org waste tank boroscope inspection</t>
  </si>
  <si>
    <t>Aq waste tank external surface inspection</t>
  </si>
  <si>
    <t>Scrubber pump isulation</t>
  </si>
  <si>
    <t>Dispensing isolator diaphragm pump rectification</t>
  </si>
  <si>
    <t>Heptane PSV servicing and recitification</t>
  </si>
  <si>
    <t>QC 2 - 8deg C refrigerator PMCAL</t>
  </si>
  <si>
    <t xml:space="preserve">Solvent top up </t>
  </si>
  <si>
    <t>Genba (area)</t>
  </si>
  <si>
    <t>QC Refrigerator PM</t>
  </si>
  <si>
    <t>Hydrogenator PM</t>
  </si>
  <si>
    <t>CIP skid PMCAL</t>
  </si>
  <si>
    <t>QC Freezer PM</t>
  </si>
  <si>
    <t>Filter Dryer Isolator PM</t>
  </si>
  <si>
    <t>Compressed air gen system PM</t>
  </si>
  <si>
    <t>Org waste offloading (Wed aft)</t>
  </si>
  <si>
    <t>MeOH top up (Thurs morn, Fri morn truckout)</t>
  </si>
  <si>
    <t>N2 top up (Fri)</t>
  </si>
  <si>
    <t>Valve Genba</t>
  </si>
  <si>
    <t>LEL check during EVI' Genba</t>
  </si>
  <si>
    <t>FD O2 gas analyzer PMCAL</t>
  </si>
  <si>
    <t>Rx2 PM</t>
  </si>
  <si>
    <t>CIP skid drain valve realignment</t>
  </si>
  <si>
    <t>Scrubber pump rectification</t>
  </si>
  <si>
    <t>Aq waste offloading</t>
  </si>
  <si>
    <t>EA top up (Fri)</t>
  </si>
  <si>
    <t>Genba on non-routine activities</t>
  </si>
  <si>
    <t>Step C-2 material readiness - solids</t>
  </si>
  <si>
    <t>Step C-2 material readiness - drum solvent</t>
  </si>
  <si>
    <t>Genba (PSM Audit)</t>
  </si>
  <si>
    <t>Genba (Wed)</t>
  </si>
  <si>
    <t xml:space="preserve">Switchboard power reading </t>
  </si>
  <si>
    <t>QC stop watch PMCAL</t>
  </si>
  <si>
    <t>Hydrogen PIT PMCAL</t>
  </si>
  <si>
    <t>Pur water ozone meter PMCAL</t>
  </si>
  <si>
    <t>Scrubber flame arrestor PM</t>
  </si>
  <si>
    <t>Genba (Human performance tools &amp; Procedural adherence during IPC2.0 sampling)</t>
  </si>
  <si>
    <t>Step C-3 material readiness (Tues)</t>
  </si>
  <si>
    <t>Genba walk (MEK charging)</t>
  </si>
  <si>
    <t>Sara/Wilson</t>
  </si>
  <si>
    <t>QOP</t>
  </si>
  <si>
    <t>N2 Top up</t>
  </si>
  <si>
    <t>Org waste offloading (empty for PM work)</t>
  </si>
  <si>
    <t>Solvent top up</t>
  </si>
  <si>
    <t>Genba (General Genba)</t>
  </si>
  <si>
    <t>Genba (area walkdown)</t>
  </si>
  <si>
    <t xml:space="preserve">Solvent top up (Ethyl Acetate) </t>
  </si>
  <si>
    <t>Reactor 54311 PMCAL</t>
  </si>
  <si>
    <t>F&amp;E</t>
  </si>
  <si>
    <t>Hydrogen cylinder delivery</t>
  </si>
  <si>
    <t>Solvent top up (Methanol)</t>
  </si>
  <si>
    <t>Genba on the gate in front of ASM2</t>
  </si>
  <si>
    <t>Genba on the usage of lifelines</t>
  </si>
  <si>
    <t>Jack / Hong Liang</t>
  </si>
  <si>
    <t>Step A3 material readiness</t>
  </si>
  <si>
    <t>Filter change (catalyst)</t>
  </si>
  <si>
    <t>Genba (distillate rcv hose connection and waste line from CFH )</t>
  </si>
  <si>
    <t>review of R3 cleaning changes</t>
  </si>
  <si>
    <t>Hypercare for HBTU</t>
  </si>
  <si>
    <t>Pressure plug cleanliness</t>
  </si>
  <si>
    <t>on Swab familiarization</t>
  </si>
  <si>
    <t>Tanker to come on 9 Mar evening</t>
  </si>
  <si>
    <t>Gemba on drum out operations</t>
  </si>
  <si>
    <t>Genba - Investigation on Safety Incident</t>
  </si>
  <si>
    <t>Leslie/ Sara</t>
  </si>
  <si>
    <t>Step C (grace) Material readiness/ transfer</t>
  </si>
  <si>
    <t>Hydrog PMCAL - on hold</t>
  </si>
  <si>
    <t>Hydrog shed EX inspection</t>
  </si>
  <si>
    <t>Dispensing isolator PMCAL</t>
  </si>
  <si>
    <t>EHSS Genba - TBC</t>
  </si>
  <si>
    <t>Xfunctional Genba - TBC</t>
  </si>
  <si>
    <t>EHSS Genba - Drum charge RTS</t>
  </si>
  <si>
    <t>Methanol top up (Wed)</t>
  </si>
  <si>
    <t>EHSS Genba (Thurs)</t>
  </si>
  <si>
    <t>Org waste offloading (Wed)</t>
  </si>
  <si>
    <t>N2 top up (not req)</t>
  </si>
  <si>
    <t>Batch C-1 material readiness (Tues)</t>
  </si>
  <si>
    <t>Batch C-1 PO release (this Fri)</t>
  </si>
  <si>
    <t>EHSS Genba</t>
  </si>
  <si>
    <t>X-functional Genba</t>
  </si>
  <si>
    <t>Org waste offloading (Thursday afternoon/ evening)</t>
  </si>
  <si>
    <t>Solvent top up (Methanol Friday morning)</t>
  </si>
  <si>
    <t>N2 top up (Wed)</t>
  </si>
  <si>
    <t xml:space="preserve">Xfunctional Genba </t>
  </si>
  <si>
    <t>Org waste offloading (Tues evening, Wed truck out)</t>
  </si>
  <si>
    <t>Jing Ya</t>
  </si>
  <si>
    <t>Step C batch 2 material readiness (Wed)</t>
  </si>
  <si>
    <t>Zaina</t>
  </si>
  <si>
    <t>QoP (FD EVI)</t>
  </si>
  <si>
    <t>Daisy</t>
  </si>
  <si>
    <t>Aq waste offloading (Mon evening, Tues truck out)</t>
  </si>
  <si>
    <t>EA top up (Mon)</t>
  </si>
  <si>
    <t>Step C batch 3 material readiness (Wed)</t>
  </si>
  <si>
    <t>Rest of material on 2 June, only Grace material by 6 June</t>
  </si>
  <si>
    <t>Non-routine Activities</t>
  </si>
  <si>
    <t>Quarterly DeltaV patching</t>
  </si>
  <si>
    <t>Lifeline installation at tankfarms</t>
  </si>
  <si>
    <t>Tony</t>
  </si>
  <si>
    <t>MAA Sampling @ DI</t>
  </si>
  <si>
    <t>Purified water skid GM: Replace softener, RO and filter housing end cap</t>
  </si>
  <si>
    <t>Purified water skid GM: Verify level switches</t>
  </si>
  <si>
    <t>Vac pump GM: TI replacement</t>
  </si>
  <si>
    <t>TR-500160 Mix Tank Pre-act testing</t>
  </si>
  <si>
    <t>Reboot of terminal server HMI-41, HMI-42, HMI-44</t>
  </si>
  <si>
    <t>Wilma/ Ken</t>
  </si>
  <si>
    <t>Replacement of HMI speaker - M201</t>
  </si>
  <si>
    <t>Inspection of CFH hoses</t>
  </si>
  <si>
    <t>PM Air Emission Sampling (7PM)</t>
  </si>
  <si>
    <t>Glycol System: Installation of Extended Shaft</t>
  </si>
  <si>
    <t>Change AHU-31 fan belt</t>
  </si>
  <si>
    <t>Amalia</t>
  </si>
  <si>
    <t>Scrubber/ floor drain valve function test</t>
  </si>
  <si>
    <t xml:space="preserve">Vega LIT troubleshooting </t>
  </si>
  <si>
    <t>DeltaV Quarterly Patching (impact to HMI whole day)</t>
  </si>
  <si>
    <t>Rx-2 XV-132 rectification</t>
  </si>
  <si>
    <t xml:space="preserve">Step C temp drop during txfer testing </t>
  </si>
  <si>
    <t>Avail dates Fri, Mon clean OR Mon test Mon clean</t>
  </si>
  <si>
    <t>PUR water mix tank piping modification</t>
  </si>
  <si>
    <t>Garbiel</t>
  </si>
  <si>
    <t>Collection of DS sample for swab project</t>
  </si>
  <si>
    <t>Replace HMI speaker - M201 (electrical support)</t>
  </si>
  <si>
    <t>Ken/ Wilma</t>
  </si>
  <si>
    <t>Disp. Isolator: Replace non-PTFE gaskets</t>
  </si>
  <si>
    <t>Vac pump: Replace non-PTFE gaskets</t>
  </si>
  <si>
    <t>Org waste tank: Replace non-PTFE gaskets</t>
  </si>
  <si>
    <t>LIT troubleshooting (Wait for vendor to start vac dist)</t>
  </si>
  <si>
    <t>Drum charge XV-024 rectification</t>
  </si>
  <si>
    <t>FD RTP gasket replacement</t>
  </si>
  <si>
    <t>Install FD mezzanine gate</t>
  </si>
  <si>
    <t>Shawn</t>
  </si>
  <si>
    <t>Cat. Pump mech seal replacement</t>
  </si>
  <si>
    <t xml:space="preserve">DeltaV Q2 Patching </t>
  </si>
  <si>
    <t>Install PI patch (9AM-12PM)</t>
  </si>
  <si>
    <t>Qing</t>
  </si>
  <si>
    <t>Swab spike test on coupons in Disp. Isolator</t>
  </si>
  <si>
    <t>Swab spike test on coupons in Disp. Isolator (07, 09 &amp; 10 Jun 2021)</t>
  </si>
  <si>
    <t>Tank farm painting work (25 Jun 2021 - 09 Jul 2021)</t>
  </si>
  <si>
    <t>Replace floor drain pump</t>
  </si>
  <si>
    <t>Install lance holder</t>
  </si>
  <si>
    <t>Reactor 2 conductivity probe GMCAL</t>
  </si>
  <si>
    <t>B-2 IPC2.0 video taking</t>
  </si>
  <si>
    <t>Extended valve passing test</t>
  </si>
  <si>
    <t>Safety Virtual Audit</t>
  </si>
  <si>
    <t>Mock Audit For Safety Audit</t>
  </si>
  <si>
    <t>Troubleshoot catalyst filtration pump trip</t>
  </si>
  <si>
    <t>Q3 DeltaV patching (all DeltaV HMI down, sequentially)</t>
  </si>
  <si>
    <t>Testing 54311-XV-154 and  54312-XV-154 limit switch configurations (not matching)</t>
  </si>
  <si>
    <t>Restart of switch modules (wifi connection within ASM2 plant) - 3pm 27 Aug 21</t>
  </si>
  <si>
    <t>Ben Chua</t>
  </si>
  <si>
    <t>Install sight glass on mother liquor sump tank</t>
  </si>
  <si>
    <t>FD sight glass inspection</t>
  </si>
  <si>
    <t>Limit switch test of 54311-XV-154 &amp; 54312-XV-154</t>
  </si>
  <si>
    <t>Replacement of XV-112</t>
  </si>
  <si>
    <t>Step C Hypercare: Pre-campaign readiness</t>
  </si>
  <si>
    <t>PSM Audit</t>
  </si>
  <si>
    <t xml:space="preserve">Scubber pump rectification </t>
  </si>
  <si>
    <t>Resampling of PR-024</t>
  </si>
  <si>
    <t>Emergency batt pack replacement</t>
  </si>
  <si>
    <t>Resampling for grace material</t>
  </si>
  <si>
    <t>CCTV replacement upgrade (dispensing &amp; hydrogenator room) - need Mfg staff to sign hot work permit on Sunday 21 Nov. Wilson to provide Mfg resource and cordinate with F&amp;E rep (Ramon), Safe method form needed</t>
  </si>
  <si>
    <t>Confined space rescue drill</t>
  </si>
  <si>
    <t>PM from Fire Tech (Testing of fire alarm panel)</t>
  </si>
  <si>
    <t>Suresh</t>
  </si>
  <si>
    <t xml:space="preserve">PD to collect distillate waste </t>
  </si>
  <si>
    <t>Re-package from ADL to Patheon</t>
  </si>
  <si>
    <t>SCDF drill</t>
  </si>
  <si>
    <t>MFG to sample Step B DSI for retest</t>
  </si>
  <si>
    <t>Hydrogen cylinder removal</t>
  </si>
  <si>
    <t>Raise hot work for forklift mvmt</t>
  </si>
  <si>
    <t>DAI for cleaning go ahead</t>
  </si>
  <si>
    <t>Stability sampling (Grace, C-1)</t>
  </si>
  <si>
    <t>Wilson/ XY</t>
  </si>
  <si>
    <t xml:space="preserve">Q2 2022 IS Quarterly Patching </t>
  </si>
  <si>
    <t>IH monitoring (MEK)</t>
  </si>
  <si>
    <t>IH monitoring (DMF)</t>
  </si>
  <si>
    <t>IH monitoring  (Offloading)</t>
  </si>
  <si>
    <t>TRNQ for PCO swab</t>
  </si>
  <si>
    <t>3, 7, and 9 June</t>
  </si>
  <si>
    <t>Placeholder: Waste tank inspection (tank internal inspection)</t>
  </si>
  <si>
    <t>Keep for June, aim for end of april (end of C campaign)</t>
  </si>
  <si>
    <t>Install of delay timer for Reactor 54311, 54312 and Filter Dryer 59811</t>
  </si>
  <si>
    <t>PR-016 sampling (to confirm if sampling is on Tuesday 12 Apr 2022)</t>
  </si>
  <si>
    <t>Production Activities</t>
  </si>
  <si>
    <t>A3-2: Recyst &amp; Drying</t>
  </si>
  <si>
    <t>A3-2: Drying &amp; packout</t>
  </si>
  <si>
    <t>Post A3 clean: Rx 1 (MeOH)</t>
  </si>
  <si>
    <t>Post A3 clean: Rx 1 (DCM) &amp; HYD</t>
  </si>
  <si>
    <t>Post A3 clean: Rx 2 (MeOH)</t>
  </si>
  <si>
    <t xml:space="preserve">Post B clean: R1 fill/ boil </t>
  </si>
  <si>
    <t>Post B clean: R1 fill/ boil, once through &amp; EVI</t>
  </si>
  <si>
    <t>Post B clean: R1 process solvent flush</t>
  </si>
  <si>
    <t>Post B clean: FD cleaning</t>
  </si>
  <si>
    <t>Step C: Reaction</t>
  </si>
  <si>
    <t>Step C: IPC</t>
  </si>
  <si>
    <t>Step C: Quench and wash</t>
  </si>
  <si>
    <t>Pure pocket cleaning</t>
  </si>
  <si>
    <t>Step C: Distillation</t>
  </si>
  <si>
    <t>Step C: Filt &amp; washing</t>
  </si>
  <si>
    <t>Step C: Drying</t>
  </si>
  <si>
    <t>A3-6: Rxn prep &amp; IPC1.0</t>
  </si>
  <si>
    <t>A3-6: Crys monitoring &amp; filtration</t>
  </si>
  <si>
    <t>A3-6: Drying, IPC2.0 &amp; packout</t>
  </si>
  <si>
    <t>A3-6: Recryst. &amp; filtration</t>
  </si>
  <si>
    <t>A3-6: Drying, IPC2.1 &amp; packout</t>
  </si>
  <si>
    <t>A2: Prep KHCO3 soln</t>
  </si>
  <si>
    <t>A2: Solid and reagent charge</t>
  </si>
  <si>
    <t>A2: KHCO3 phase cut</t>
  </si>
  <si>
    <t xml:space="preserve">A2: Dist. + IPC </t>
  </si>
  <si>
    <t>A2: Prep NaHCO3 &amp; NaHSO4 soln</t>
  </si>
  <si>
    <t>A2: 13 phase cuts</t>
  </si>
  <si>
    <t>A2: Distillation + cryz</t>
  </si>
  <si>
    <t>A2: Filtration</t>
  </si>
  <si>
    <t>A2: Drying + offload</t>
  </si>
  <si>
    <t>A2: Batch cleaning</t>
  </si>
  <si>
    <t>Post C Clean: reagent line &amp; workup rcvr</t>
  </si>
  <si>
    <t>Post C Clean: R2 fill/ boil</t>
  </si>
  <si>
    <t>Post C Clean: R2 process solvent flush</t>
  </si>
  <si>
    <t>Post C Clean: FD clean</t>
  </si>
  <si>
    <t>Post C clean: Chem canister &amp; reagent</t>
  </si>
  <si>
    <t>Step C: Drying for C-2</t>
  </si>
  <si>
    <t>Step C: IPC2.0 for C-2</t>
  </si>
  <si>
    <t>Step C: Packout for C-2</t>
  </si>
  <si>
    <t>Post C clean: R1 fill/boil</t>
  </si>
  <si>
    <t>Post C clean: R1 process solvent flush</t>
  </si>
  <si>
    <t>Equip release</t>
  </si>
  <si>
    <t>A1-3: Rxn, IPC, crys.</t>
  </si>
  <si>
    <t>A1-3: Dry, offload, batch clean</t>
  </si>
  <si>
    <t>A1-2: Rxn, IPC, crys.</t>
  </si>
  <si>
    <t>A1-2: Dry, offload, batch clean</t>
  </si>
  <si>
    <t>Post A3 clean: Rx 2 (EtOAc) &amp; FD</t>
  </si>
  <si>
    <t xml:space="preserve">Post A3 clean: FD </t>
  </si>
  <si>
    <t>Sample &amp; equip release</t>
  </si>
  <si>
    <t>Step B: Rx to filtration</t>
  </si>
  <si>
    <t>Step B: Dry &amp; offload</t>
  </si>
  <si>
    <t>Post B clean: chemical canister cleaning</t>
  </si>
  <si>
    <t>Post B clean: Rx 1 once through + fill boil</t>
  </si>
  <si>
    <t>Post B clean: Rx 1 fill/boil, once through + EVI</t>
  </si>
  <si>
    <t>Post B clean: RD, process solvent flushing, RS</t>
  </si>
  <si>
    <t>B-3: Rxn prep till crystallization</t>
  </si>
  <si>
    <t>B-3: Drying and packout</t>
  </si>
  <si>
    <t>B-4: Rxn prep till crystallization</t>
  </si>
  <si>
    <t>B-4: Drying and packout</t>
  </si>
  <si>
    <t>Step C: IPC1.0 for C-3</t>
  </si>
  <si>
    <t>Step C: IPC2.0 for C-3</t>
  </si>
  <si>
    <t>Step C: Packout for C-3</t>
  </si>
  <si>
    <t>Step C: IPC1.0 for C-4</t>
  </si>
  <si>
    <t>Step C: IPC2.0 for C-4</t>
  </si>
  <si>
    <t>Step C: Packout for C-4</t>
  </si>
  <si>
    <t>Step C &gt; A3 cleaning: Reactor 2 Sample for drug substance analysis (PR_171 in Methanol)</t>
  </si>
  <si>
    <t>Step C &gt; A3 cleaning: Reactor 1 Sample for drug substance analysis (PR_171 in Methanol)</t>
  </si>
  <si>
    <t>Filter Dryer Sample for drug substance analysis (PR-171 in Methanol)</t>
  </si>
  <si>
    <t>Chemical Canister Residual Solvent Sample (Acetone in EA)</t>
  </si>
  <si>
    <t>Reagent Charging Line Residual Solvent Sample (Acetone in EA)</t>
  </si>
  <si>
    <t xml:space="preserve">IPC2.1: Purity, LOD </t>
  </si>
  <si>
    <t>A3-2 IPC1.0: Reaction Conversion</t>
  </si>
  <si>
    <t>A3-2 IPC2.0: Purity, LOD</t>
  </si>
  <si>
    <t xml:space="preserve">A3-2 IPC2.1: Purity, LOD </t>
  </si>
  <si>
    <t xml:space="preserve">A3-3 IPC1.0: Reaction Conversion </t>
  </si>
  <si>
    <t>A3-3 IPC2.0: Purity, LOD</t>
  </si>
  <si>
    <t xml:space="preserve">A3-3 IPC2.1: Purity, LOD </t>
  </si>
  <si>
    <t xml:space="preserve">A3-4 IPC1.0: Reaction Conversion </t>
  </si>
  <si>
    <t>A3-4 IPC2.0: Purity, LOD</t>
  </si>
  <si>
    <t xml:space="preserve">A3-4 IPC2.1: Purity, LOD </t>
  </si>
  <si>
    <t xml:space="preserve">A3-5 IPC1.0: Reaction Conversion </t>
  </si>
  <si>
    <t>A3-5 IPC2.0: Purity, LOD</t>
  </si>
  <si>
    <t xml:space="preserve">A3-5 IPC2.1: Purity, LOD </t>
  </si>
  <si>
    <t xml:space="preserve">A3-6 IPC1.0: Reaction Conversion </t>
  </si>
  <si>
    <t>A3-6 IPC2.0: Purity, LOD</t>
  </si>
  <si>
    <t xml:space="preserve">A3-6 IPC2.1: Purity, LOD </t>
  </si>
  <si>
    <t>Sample for drug substance analysis (PR-044 in Methanol)</t>
  </si>
  <si>
    <t>Sample for residual solvent Methanol (in DCM)</t>
  </si>
  <si>
    <t>Sample for drug substance analysis (PR-026 in Methanol)</t>
  </si>
  <si>
    <t>Sample for residual solvent Methanol (in EA)</t>
  </si>
  <si>
    <t>Filter Dryer Sample for drug substance analysis (PR-026 in Methanol)</t>
  </si>
  <si>
    <t>B1 - IPC1.0: Reaction Conversion</t>
  </si>
  <si>
    <t>B1 - IPC2.0: LOD (Analyzed by MFG)</t>
  </si>
  <si>
    <t>B2- IPC1.0: Reaction Conversion</t>
  </si>
  <si>
    <t>B2- IPC2.0: LOD (Analyzed by MFG)</t>
  </si>
  <si>
    <t>Virtual tour inspection practice</t>
  </si>
  <si>
    <t>Step X material readiness</t>
  </si>
  <si>
    <t>Please use the desktop version of this spreadsheet to view the schedule at its full capacity. [Edit Workbook &gt; Open in Desktop App &gt; Enable Content]</t>
  </si>
  <si>
    <t>Previous month</t>
  </si>
  <si>
    <t>Next month</t>
  </si>
  <si>
    <t>Go to Detailed Schedule</t>
  </si>
  <si>
    <t>Selected date:</t>
  </si>
  <si>
    <t>Add event:</t>
  </si>
  <si>
    <t>Sun</t>
  </si>
  <si>
    <t>Mon</t>
  </si>
  <si>
    <t>Tue</t>
  </si>
  <si>
    <t>Wed</t>
  </si>
  <si>
    <t>Thu</t>
  </si>
  <si>
    <t>Fri</t>
  </si>
  <si>
    <t>Sat</t>
  </si>
  <si>
    <t>Time</t>
  </si>
  <si>
    <t>Title</t>
  </si>
  <si>
    <t>Detailed Description</t>
  </si>
  <si>
    <t>Week Commencing (w/c)</t>
  </si>
  <si>
    <t>IPC2.1: Purity, LOD</t>
  </si>
  <si>
    <t>Aq Waste</t>
  </si>
  <si>
    <t>Manual operation</t>
  </si>
  <si>
    <t>[In Parallel] Filter Changeout</t>
  </si>
  <si>
    <t>[In Parallel] Hydrogenator Batch Cleaning</t>
  </si>
  <si>
    <t>Packout, Dispensing, Post Dispensing/Packout Flushing</t>
  </si>
  <si>
    <t>Reactor 2 Crude to Pure Cleaning</t>
  </si>
  <si>
    <t>Filter Dryer Crude to Pure Cleaning</t>
  </si>
  <si>
    <t>Recrystallization</t>
  </si>
  <si>
    <t>IPC2.1 Sample Collection</t>
  </si>
  <si>
    <t>Final Packout</t>
  </si>
  <si>
    <t>Solid Charging and Reagent Charging</t>
  </si>
  <si>
    <t>Reaction: Age batch at 25C for 4.5 hr (Sampling time incld)</t>
  </si>
  <si>
    <t xml:space="preserve">IPC: LC for reaction conversion </t>
  </si>
  <si>
    <t xml:space="preserve">Filtration &amp; Washing </t>
  </si>
  <si>
    <t xml:space="preserve">IPC: LOD </t>
  </si>
  <si>
    <t>Tested by MFG</t>
  </si>
  <si>
    <t>IPC: LOD (Analyzed by MFG)</t>
  </si>
  <si>
    <t>Transfer from 54312-R-01 to 54311-R-01</t>
  </si>
  <si>
    <t>Offloading</t>
  </si>
  <si>
    <t>Batch Cleaning of 54311-R-01</t>
  </si>
  <si>
    <t xml:space="preserve">   Reactor 2 Sample for drug substance analysis (PR-044 in Methanol)</t>
  </si>
  <si>
    <t xml:space="preserve">   Filter Dryer Sample for drug substance analysis (PR-044 in Methanol)</t>
  </si>
  <si>
    <t xml:space="preserve">   Chemical Canister Residual Solvent Sample (Acetone in EA)</t>
  </si>
  <si>
    <t>   54312-R-01</t>
  </si>
  <si>
    <t xml:space="preserve">   Drum Solvent Charge (Ethyl Acetate)</t>
  </si>
  <si>
    <t xml:space="preserve">   Rinse + Discharge of Workup Receiver (Water)</t>
  </si>
  <si>
    <t xml:space="preserve">   Rinse + Discharge of Workup Receiver (Ethyl Acetate)</t>
  </si>
  <si>
    <t xml:space="preserve">   Fill &amp; Boil w N2 blowdown (Methanol) - 1</t>
  </si>
  <si>
    <t>Mix Tank 75011-T-01 Cleaning</t>
  </si>
  <si>
    <t xml:space="preserve">   Mix Tank 75011-T-01 Cleaning</t>
  </si>
  <si>
    <t xml:space="preserve">   Fill &amp; Boil w N2 blowdown (Methanol) - 2</t>
  </si>
  <si>
    <t xml:space="preserve">Mon (MeOH) </t>
  </si>
  <si>
    <t xml:space="preserve">   Once through w N2 blowdown (Methanol) </t>
  </si>
  <si>
    <t xml:space="preserve">   Enhanced Visual Inspection (Pressure Test)</t>
  </si>
  <si>
    <t xml:space="preserve">   Sample Rinse and Drain to Organic Waste Tank</t>
  </si>
  <si>
    <t xml:space="preserve">   Transfer Line Flushing R2 to R1 (Methanol)</t>
  </si>
  <si>
    <t xml:space="preserve">   Transfer Line Flushing R2 to FD (Methanol)</t>
  </si>
  <si>
    <t>54311-R-01</t>
  </si>
  <si>
    <t xml:space="preserve">   Distillate Receiver Cleaning - Once through (Ethyl Acetate)</t>
  </si>
  <si>
    <t>Fri (MeOH)</t>
  </si>
  <si>
    <t>Mix Tank 75012-T-01</t>
  </si>
  <si>
    <t xml:space="preserve">   Mix Tank 75012-T-01 Cleaning</t>
  </si>
  <si>
    <t>Tues (MeOH)</t>
  </si>
  <si>
    <t xml:space="preserve">   Transfer Line Flushing R1 to FD (Methanol)</t>
  </si>
  <si>
    <t>Filter Dryer 59811-D-01</t>
  </si>
  <si>
    <t>Chemical Canister Sampling</t>
  </si>
  <si>
    <t xml:space="preserve">   Fill &amp; Boil (Methanol) - 1</t>
  </si>
  <si>
    <t xml:space="preserve">   Fill &amp; Boil (Methanol) - 2</t>
  </si>
  <si>
    <t xml:space="preserve">   Fill &amp; Boil (Methanol) - 3</t>
  </si>
  <si>
    <t>Wed (MeOH)</t>
  </si>
  <si>
    <t>Wed (Org)</t>
  </si>
  <si>
    <t>Packout + Dispensing + Post Dispensing/Packout Flushing</t>
  </si>
  <si>
    <t>HOLD FOR CNY</t>
  </si>
  <si>
    <t>IPC2.1: Purity, LOD (Rex)</t>
  </si>
  <si>
    <t>HOLD FOR WEEKEND</t>
  </si>
  <si>
    <t>Actual Process Time                    (hr : min)</t>
  </si>
  <si>
    <t>n-Hep</t>
  </si>
  <si>
    <t>   54311-R-01</t>
  </si>
  <si>
    <t>DHT &gt; 72 hours</t>
  </si>
  <si>
    <t>MeOH Usage for Friday</t>
  </si>
  <si>
    <t xml:space="preserve">   Once Through (Methanol) </t>
  </si>
  <si>
    <t xml:space="preserve">   Fill and Boil w N2 Blow - 1 (Methanol)</t>
  </si>
  <si>
    <t xml:space="preserve">   Fill and Boil w N2 Blow - 2 (Methanol)</t>
  </si>
  <si>
    <t xml:space="preserve">   Vacuum Dry </t>
  </si>
  <si>
    <t xml:space="preserve">   Once Through (Methanol) with N2 Blow</t>
  </si>
  <si>
    <t>MeOH Usage for Sat</t>
  </si>
  <si>
    <t xml:space="preserve">   Enhanced Visual Inspection (Pressure Test after Opening)</t>
  </si>
  <si>
    <t>Organic waste for Mon</t>
  </si>
  <si>
    <t>DCM waste for Mon</t>
  </si>
  <si>
    <t xml:space="preserve">   Sample for drug substance analysis (PR-044 in Methanol)</t>
  </si>
  <si>
    <t>   Solvent Manifold Flushing (Heptane)</t>
  </si>
  <si>
    <t>   Drum Charge Station Flushing</t>
  </si>
  <si>
    <t xml:space="preserve">   Vacuum Drying </t>
  </si>
  <si>
    <t xml:space="preserve">   1st Process Solvent Flush of R1 (DCM)</t>
  </si>
  <si>
    <t xml:space="preserve">   2nd Process Solvent Flush of R1 (DCM)</t>
  </si>
  <si>
    <t>   3rd Process Solvent Flush of R1 (DCM)</t>
  </si>
  <si>
    <t>   4th Process Solvent Flush of R1 (DCM)</t>
  </si>
  <si>
    <t>Organic waste for Tue</t>
  </si>
  <si>
    <t xml:space="preserve">   Sample for residual solvent Methanol (in DCM)</t>
  </si>
  <si>
    <t xml:space="preserve">   Drain to Drum</t>
  </si>
  <si>
    <t xml:space="preserve">   Transfer Line Flushing R1 to R3 (Methanol)</t>
  </si>
  <si>
    <t xml:space="preserve">   Transfer Line Flushing R1 to FD (Heptane)</t>
  </si>
  <si>
    <t>54313-R-01</t>
  </si>
  <si>
    <t xml:space="preserve">   Rinsing of catalyst mix tank (Methanol) X 2</t>
  </si>
  <si>
    <t xml:space="preserve">   Once Through Flush (Methanol)</t>
  </si>
  <si>
    <t xml:space="preserve">   Rinsing of Hydrogenator (Methanol) X 2</t>
  </si>
  <si>
    <t xml:space="preserve">   Once Through with N2 Blow (Methanol)</t>
  </si>
  <si>
    <t>MeOH Usage for Wed</t>
  </si>
  <si>
    <t xml:space="preserve">   Visual Inspection </t>
  </si>
  <si>
    <t xml:space="preserve">   Transfer Line Flushing R3 to R2 (Methanol)</t>
  </si>
  <si>
    <t>54312-R-01</t>
  </si>
  <si>
    <t>Organic waste for Thur</t>
  </si>
  <si>
    <t xml:space="preserve">   Sample for drug substance analysis (PR-026 in Methanol)</t>
  </si>
  <si>
    <t>   Solvent Manifold Flushing (Ethyl Acetate)</t>
  </si>
  <si>
    <t xml:space="preserve">   1st Process Solvent Flush of R2 (EA)</t>
  </si>
  <si>
    <t>Waste Generated for Mon</t>
  </si>
  <si>
    <t xml:space="preserve">   2nd Process Solvent Flush of R2 (EA)</t>
  </si>
  <si>
    <t>   3rd Process Solvent Flush of R2 (EA)</t>
  </si>
  <si>
    <t>   4th Process Solvent Flush of R2 (EA)</t>
  </si>
  <si>
    <t xml:space="preserve">   Sample for residual solvent Methanol (in EA)</t>
  </si>
  <si>
    <t xml:space="preserve">   Transfer Line Flushing R2 to FD (Ethyl Acetate)</t>
  </si>
  <si>
    <t xml:space="preserve">   Once Through w N2 Blow</t>
  </si>
  <si>
    <t>Organic waste for Fri</t>
  </si>
  <si>
    <t xml:space="preserve">   Filter Dryer Sample for drug substance analysis (PR-026 in Methanol)</t>
  </si>
  <si>
    <t>24h limit</t>
  </si>
  <si>
    <t>Tuesday morning</t>
  </si>
  <si>
    <t xml:space="preserve">Vacuum Dry </t>
  </si>
  <si>
    <t>Manual activity</t>
  </si>
  <si>
    <t xml:space="preserve"> </t>
  </si>
  <si>
    <t>Manual activities</t>
  </si>
  <si>
    <t>Cake Washing</t>
  </si>
  <si>
    <t>Batch Cleaning</t>
  </si>
  <si>
    <t xml:space="preserve">Note: start on Monday night to make sure floor avail for walkdown. </t>
  </si>
  <si>
    <t xml:space="preserve">   Solvent Rinse of Chemical Canister (Water) x 2 -1</t>
  </si>
  <si>
    <t xml:space="preserve">   Hold</t>
  </si>
  <si>
    <t xml:space="preserve">HOLD </t>
  </si>
  <si>
    <t xml:space="preserve">   Process Solvent Flushing of Reactor 54312-R-01 to 54311-R-01 - Pure Pocket Sampling (Ethyl Acetate)</t>
  </si>
  <si>
    <t xml:space="preserve">   Extraneous Matter Sample (Reactor) - Tested by MFG</t>
  </si>
  <si>
    <t xml:space="preserve">   Transfer Line Flushing R1 to FD (Methanol) - 1</t>
  </si>
  <si>
    <t xml:space="preserve">   Transfer Line Flushing R1 to FD (Methanol) - 2</t>
  </si>
  <si>
    <t xml:space="preserve">   Transfer Line Flushing R1 to FD (Ethyl Acetate)</t>
  </si>
  <si>
    <t xml:space="preserve">   Enhanced Visual Inspection </t>
  </si>
  <si>
    <t xml:space="preserve">   Transfer Line Flushing R1 to FD - Pure Pocket Cleaning (Methanol)</t>
  </si>
  <si>
    <t xml:space="preserve">   Extraneous Matter Sample (Filter Dryer) - Tested by MFG</t>
  </si>
  <si>
    <t xml:space="preserve">   Transfer Line Flushing R1 to FD - Pure Pocket Cleaning (Ethyl Acetate)</t>
  </si>
  <si>
    <t xml:space="preserve">    C1 to C2 Cleaning</t>
  </si>
  <si>
    <t>1st charge via SBV and drain (water)</t>
  </si>
  <si>
    <t>1st flush through SB with N2 blowdown (Water)</t>
  </si>
  <si>
    <t>2nd charge via SBV and drain (Ethyl Acetate)</t>
  </si>
  <si>
    <t>Pure Pocket Cleaning - Reactor 54312-R-01 to 54311-R-01 Transfer Line</t>
  </si>
  <si>
    <t>Drum Solvent Charge (DMF)</t>
  </si>
  <si>
    <t>Cleaning Solvent Rinse (Ethyl Acetate)</t>
  </si>
  <si>
    <t>Batch Cleaning: Process solvent flush of Solvent Manifold (EA)</t>
  </si>
  <si>
    <t>Batch Cleaning: Fill and boil (EA)</t>
  </si>
  <si>
    <t>Sample Type</t>
  </si>
  <si>
    <t>Task Name</t>
  </si>
  <si>
    <t>Duration</t>
  </si>
  <si>
    <t>Reactor 2 Post A1 Cleaning</t>
  </si>
  <si>
    <t>2.48 days</t>
  </si>
  <si>
    <t>54312-R-1</t>
  </si>
  <si>
    <t>Drum Solvent Rinse (Ethyl Acetate)</t>
  </si>
  <si>
    <t>Amount of Acetone consumed on Mon</t>
  </si>
  <si>
    <t xml:space="preserve">   1st Solvent Rinese of Chemical Canister (Water)</t>
  </si>
  <si>
    <t>1.41 hrs</t>
  </si>
  <si>
    <t>Amount of MeOH consumed on Mon</t>
  </si>
  <si>
    <t>0.59 hrs</t>
  </si>
  <si>
    <t>Amount of EtOAc consumed on Mon</t>
  </si>
  <si>
    <t>1.18 hrs</t>
  </si>
  <si>
    <t>Amount of org waste generated</t>
  </si>
  <si>
    <t xml:space="preserve">   Once Through - Distillate Receiver Cleaning (EA)</t>
  </si>
  <si>
    <t>0.15 hrs</t>
  </si>
  <si>
    <t xml:space="preserve">   Bulk Solvent Charge - Flushing of Solvent Manifold (Methanol)</t>
  </si>
  <si>
    <t>0.26 hrs</t>
  </si>
  <si>
    <t xml:space="preserve">   Fill and Boil -1 </t>
  </si>
  <si>
    <t>7.48 hrs</t>
  </si>
  <si>
    <t xml:space="preserve">   Fill and Boil -2</t>
  </si>
  <si>
    <t>7.45 hrs</t>
  </si>
  <si>
    <t xml:space="preserve">   Fill and Boil -3</t>
  </si>
  <si>
    <t>7.15 hrs</t>
  </si>
  <si>
    <t>Fill and Boil w N2 blowdown -1 (Methanol)</t>
  </si>
  <si>
    <t xml:space="preserve">   Once Through flush of the cleaning circuits (Methanol)</t>
  </si>
  <si>
    <t>0.65 hrs</t>
  </si>
  <si>
    <t>Fill and Boil w N2 blowdown -2 (Methanol)</t>
  </si>
  <si>
    <t>2.11 hrs</t>
  </si>
  <si>
    <t>Fill and Boil w N2 blowdown -3 (Methanol)</t>
  </si>
  <si>
    <t>Amount of MeOH consumed on Tues</t>
  </si>
  <si>
    <t xml:space="preserve">   Enhanced Visual inspection</t>
  </si>
  <si>
    <t>2.1 hrs</t>
  </si>
  <si>
    <t xml:space="preserve">   Sampling Solvent Charge through sprayball (Methanol)</t>
  </si>
  <si>
    <t>0.1 hrs</t>
  </si>
  <si>
    <t xml:space="preserve">   Sample for drug substance analysis (in Methonal)</t>
  </si>
  <si>
    <t>11 hrs</t>
  </si>
  <si>
    <t xml:space="preserve">   Vacuum Drying and General Visual Inpection</t>
  </si>
  <si>
    <t>3.68 hrs</t>
  </si>
  <si>
    <t>Solvent Manifold Pre-Flush w N2 blowdown (Ethyl Acetate)</t>
  </si>
  <si>
    <t>Process Solvent Flush of R2 (EA) w N2 blowdown - 1</t>
  </si>
  <si>
    <t>Process Solvent Flush of R2 (EA) w N2 blowdown - 2</t>
  </si>
  <si>
    <t>Process Solvent Flush of R2 (EA) w N2 blowdown - 3</t>
  </si>
  <si>
    <t>Process Solvent Flush of R2 (EA) w N2 blowdown - 4</t>
  </si>
  <si>
    <t>Sample Rinse and Drain to Organic Waste Tank</t>
  </si>
  <si>
    <t>Sample for Residual Solvent Methanol (Ethyl Acetate)</t>
  </si>
  <si>
    <t>Drying with General Visual Inspection</t>
  </si>
  <si>
    <t>Transfer Line Flushing R2 to FD (Methanol) - 1</t>
  </si>
  <si>
    <t>Transfer Line Flushing R2 to FD (Ethyl Acetate) - 2</t>
  </si>
  <si>
    <t>Amount of MeOH consumed on Wed</t>
  </si>
  <si>
    <t>3.6 hrs</t>
  </si>
  <si>
    <t>Fill &amp; Boil - 1 (Methanol)</t>
  </si>
  <si>
    <t>2.72 hrs</t>
  </si>
  <si>
    <t>Fill &amp; Boil - 2 (Methanol)</t>
  </si>
  <si>
    <t>3.96 hrs</t>
  </si>
  <si>
    <t>Fill &amp; Boil - 3 (Methanol)</t>
  </si>
  <si>
    <t>3.8 hrs</t>
  </si>
  <si>
    <t xml:space="preserve">   3rd Fill and Boil</t>
  </si>
  <si>
    <t>3.73 hrs</t>
  </si>
  <si>
    <t>2.4 hrs</t>
  </si>
  <si>
    <t>1.5 hrs</t>
  </si>
  <si>
    <t>0.74 hrs</t>
  </si>
  <si>
    <t>Amount of MeOH consumed on Thurs</t>
  </si>
  <si>
    <t>FD Sample for drug substance analysis (PR-043)</t>
  </si>
  <si>
    <t>2.5 hrs</t>
  </si>
  <si>
    <t>1.3 hrs</t>
  </si>
  <si>
    <t>77012-T-04</t>
  </si>
  <si>
    <t>Monday org waste</t>
  </si>
  <si>
    <t>Tuesday org waste</t>
  </si>
  <si>
    <t xml:space="preserve">   Vacuum Drying and General Visual Inspection </t>
  </si>
  <si>
    <t>HOLD OVER WEEKEND</t>
  </si>
  <si>
    <t>Wednesday org waste</t>
  </si>
  <si>
    <t xml:space="preserve">   Transfer Line Flush from 54311 (EtOAc) </t>
  </si>
  <si>
    <t xml:space="preserve">   Reactor 2 Sample for Residual Solvent (Methanol in Ethyl Acetate)</t>
  </si>
  <si>
    <t xml:space="preserve">   Reactor 1 Sample for drug substance analysis (PR-044 in Methanol)</t>
  </si>
  <si>
    <t xml:space="preserve">   Reactor 1 Sample for Residual Solvent (Methanol in Ethyl Acetate)</t>
  </si>
  <si>
    <t xml:space="preserve">   Filter Dryer Sample for drug substance analysis (PR-171 in Methanol)</t>
  </si>
  <si>
    <t xml:space="preserve">   Reactor 2 to FD (Methanol)</t>
  </si>
  <si>
    <t xml:space="preserve">   Solvent Manifold Process Solvent Pre-Flush (Ethyl Acetate)</t>
  </si>
  <si>
    <t xml:space="preserve">   Process Solvent Flush w N2 blowdown (Ethyl Acetate) - 1</t>
  </si>
  <si>
    <t xml:space="preserve">   Process Solvent Flush w N2 blowdown (Ethyl Acetate) - 2</t>
  </si>
  <si>
    <t xml:space="preserve">   Process Solvent Flush w N2 blowdown (Ethyl Acetate) - 3</t>
  </si>
  <si>
    <t xml:space="preserve">   Process Solvent Flush w N2 blowdown (Ethyl Acetate) - 4</t>
  </si>
  <si>
    <t>Amount of ethyl acetate</t>
  </si>
  <si>
    <t xml:space="preserve">   Transfer Line Flushing R2 to R1 (Ethyl Acetate)</t>
  </si>
  <si>
    <t xml:space="preserve">   Pure Pocket (Particulate) Sampling</t>
  </si>
  <si>
    <t xml:space="preserve">   Reactor 1 Sample for EM</t>
  </si>
  <si>
    <t>Amount of methanol</t>
  </si>
  <si>
    <t xml:space="preserve">    Filter Dryer Sample for EM</t>
  </si>
  <si>
    <t xml:space="preserve">   Sample Rinse </t>
  </si>
  <si>
    <t xml:space="preserve">   Transfer Line Flushing R2 to R1 (Ethyl Acetate) </t>
  </si>
  <si>
    <t xml:space="preserve">   Drum Charge Flush (Ethyl Acetate)</t>
  </si>
  <si>
    <t xml:space="preserve">   Sample Rinse</t>
  </si>
  <si>
    <t>Chemical canister sampling</t>
  </si>
  <si>
    <t>Pass</t>
  </si>
  <si>
    <t>24h validity</t>
  </si>
  <si>
    <t>ON HOLD DUE TO TR-538364</t>
  </si>
  <si>
    <t>Note: If walkdown in afternoon, batch to start in Morning</t>
  </si>
  <si>
    <t>24h validity, CUTOFF at 10PM</t>
  </si>
  <si>
    <t>_</t>
  </si>
  <si>
    <t xml:space="preserve">   Sampling of Residual Solvent (Acetone in Ethyl Acetate)</t>
  </si>
  <si>
    <t>NO HOLD</t>
  </si>
  <si>
    <t>C-1 IPC2.1 will be tested in the morning, followed by RD sample</t>
  </si>
  <si>
    <t xml:space="preserve">   Reagent Charging Line Residual Solvent Sample (Acetone in EA)</t>
  </si>
  <si>
    <t>Estimated Process Time                    (hr : min)</t>
  </si>
  <si>
    <t xml:space="preserve">   Transfer Line Flush w N2 blowdown R1 to R2 (Methanol) </t>
  </si>
  <si>
    <t xml:space="preserve">   Transfer Line Flush w N2 blowdown R1 to R2 (Ethyl Acetate)</t>
  </si>
  <si>
    <t xml:space="preserve">   Once through w N2 blowdown - Reagent Line (Acetone) </t>
  </si>
  <si>
    <t xml:space="preserve">   Once through w N2 blowdown - Reagent Line (Ethyl Acetate) </t>
  </si>
  <si>
    <t xml:space="preserve">   Once through Rinse of Distillate Receiver (Ethyl Acetate)</t>
  </si>
  <si>
    <t xml:space="preserve">   Once through (Methanol)</t>
  </si>
  <si>
    <t xml:space="preserve">   HOLD</t>
  </si>
  <si>
    <t xml:space="preserve">   Reactor 2 Sample for drug substance analysis (PR_171 in Methanol)</t>
  </si>
  <si>
    <t xml:space="preserve">   Transfer Line Flush w N2 blowdown R2 to R1 (Methanol) </t>
  </si>
  <si>
    <t xml:space="preserve">   Transfer Line Flush w N2 blowdown R2 to R1 (Ethyl Acetate)</t>
  </si>
  <si>
    <t xml:space="preserve">   Solvent Rinse w N2 blowdown (Water) - 1</t>
  </si>
  <si>
    <t xml:space="preserve">   Solvent Rinse w N2 blowdown (Acetone) - 2</t>
  </si>
  <si>
    <t xml:space="preserve">   Solvent Rinse w N2 blowdown (Ethyl Acetate) - 3</t>
  </si>
  <si>
    <t>Amount of Ethyl Acetate</t>
  </si>
  <si>
    <t xml:space="preserve">   Reactor 1 Sample for drug substance analysis (PR-171 in Methanol)</t>
  </si>
  <si>
    <t xml:space="preserve">   [HOLD, do not ack prompt] Drying and General Visual Inspection</t>
  </si>
  <si>
    <t xml:space="preserve">   Once through (Methanol) </t>
  </si>
  <si>
    <t xml:space="preserve">   HOLD OVER WEEKEND</t>
  </si>
  <si>
    <t>75011-T-01 and 77012-T-04</t>
  </si>
  <si>
    <t xml:space="preserve">  [Parallel] Chemical Canister Residual Solvent Sample (Acetone in EA)</t>
  </si>
  <si>
    <t xml:space="preserve">  [Parallel] Reagent Charging Line Residual Solvent Sample (Acetone in EA)</t>
  </si>
  <si>
    <t xml:space="preserve">   Swab sampling</t>
  </si>
  <si>
    <t xml:space="preserve">   Vacuum Dry and if required, manual cleaning</t>
  </si>
  <si>
    <t xml:space="preserve">   Chemical Canister flushing (Ethyl Acetate)</t>
  </si>
  <si>
    <t xml:space="preserve">  General Visual Inspection</t>
  </si>
  <si>
    <t>Delay in release of results due to hardware failure</t>
  </si>
  <si>
    <t>Patheon Packout operation</t>
  </si>
  <si>
    <t>Organic waste offloading</t>
  </si>
  <si>
    <t>Jing Ya/Poh Yeng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</si>
</sst>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164" formatCode="dd"/>
    <numFmt numFmtId="165" formatCode="[$-409]m/d/yy\ h:mm\ AM/PM;@"/>
    <numFmt numFmtId="166" formatCode="m/d/yy\ h:mm;@"/>
    <numFmt numFmtId="167" formatCode="mmmm\ yyyy"/>
    <numFmt numFmtId="168" formatCode="[$-409]d\-mmm\-yy;@"/>
    <numFmt numFmtId="169" formatCode="[$-409]dd\-mmm\-yy;@"/>
    <numFmt numFmtId="170" formatCode="[$-409]h:mm\ AM/PM;@"/>
    <numFmt numFmtId="171" formatCode="[h]:mm"/>
    <numFmt numFmtId="172" formatCode="[$-409]d\-mmm;@"/>
    <numFmt numFmtId="173" formatCode="[$-F800]dddd\,\ mmmm\ dd\,\ yyyy"/>
    <numFmt numFmtId="174" formatCode="h:mm;@"/>
    <numFmt numFmtId="175" formatCode="0.0"/>
    <numFmt numFmtId="176" formatCode="0.0000"/>
    <numFmt numFmtId="177" formatCode="0.00000000000"/>
    <numFmt numFmtId="178" formatCode="dd/mmm/yy\ hh:mm"/>
  </numFmts>
  <fonts count="70" x14ac:knownFonts="1">
    <font>
      <sz val="11"/>
      <color theme="1"/>
      <name val="Calibri"/>
      <family val="2"/>
      <scheme val="minor"/>
    </font>
    <font>
      <b/>
      <sz val="11"/>
      <color theme="1"/>
      <name val="Calibri"/>
      <family val="2"/>
      <scheme val="minor"/>
    </font>
    <font>
      <i/>
      <sz val="11"/>
      <color theme="0" tint="-0.34998626667073579"/>
      <name val="Calibri"/>
      <family val="2"/>
      <scheme val="minor"/>
    </font>
    <font>
      <u/>
      <sz val="11"/>
      <color theme="10"/>
      <name val="Calibri"/>
      <family val="2"/>
      <scheme val="minor"/>
    </font>
    <font>
      <sz val="8"/>
      <color theme="1"/>
      <name val="Calibri"/>
      <family val="2"/>
      <scheme val="minor"/>
    </font>
    <font>
      <sz val="11"/>
      <color rgb="FF000000"/>
      <name val="Calibri"/>
      <family val="2"/>
    </font>
    <font>
      <b/>
      <sz val="11"/>
      <color theme="0"/>
      <name val="Calibri"/>
      <family val="2"/>
      <scheme val="minor"/>
    </font>
    <font>
      <sz val="28"/>
      <color theme="1"/>
      <name val="Calibri"/>
      <family val="2"/>
      <scheme val="minor"/>
    </font>
    <font>
      <sz val="11"/>
      <color theme="0" tint="-0.34998626667073579"/>
      <name val="Calibri"/>
      <family val="2"/>
      <scheme val="minor"/>
    </font>
    <font>
      <b/>
      <sz val="11"/>
      <color theme="0" tint="-0.34998626667073579"/>
      <name val="Calibri"/>
      <family val="2"/>
      <scheme val="minor"/>
    </font>
    <font>
      <sz val="10"/>
      <name val="Arial"/>
      <family val="2"/>
    </font>
    <font>
      <sz val="9"/>
      <name val="Arial"/>
      <family val="2"/>
    </font>
    <font>
      <b/>
      <sz val="9"/>
      <name val="Arial"/>
      <family val="2"/>
    </font>
    <font>
      <b/>
      <sz val="9"/>
      <color indexed="9"/>
      <name val="Arial"/>
      <family val="2"/>
    </font>
    <font>
      <sz val="14"/>
      <color rgb="FF363636"/>
      <name val="Segoe UI Light"/>
      <family val="2"/>
    </font>
    <font>
      <sz val="9"/>
      <color rgb="FF2F53ED"/>
      <name val="Arial"/>
      <family val="2"/>
    </font>
    <font>
      <sz val="11"/>
      <color theme="0" tint="-0.14999847407452621"/>
      <name val="Calibri"/>
      <family val="2"/>
      <scheme val="minor"/>
    </font>
    <font>
      <sz val="10"/>
      <name val="Arial"/>
      <family val="2"/>
    </font>
    <font>
      <sz val="11"/>
      <color rgb="FFED1C24"/>
      <name val="Calibri"/>
      <family val="2"/>
    </font>
    <font>
      <sz val="9"/>
      <color rgb="FFFF0000"/>
      <name val="Arial"/>
      <family val="2"/>
    </font>
    <font>
      <b/>
      <sz val="11"/>
      <color rgb="FF000000"/>
      <name val="Calibri"/>
      <family val="2"/>
    </font>
    <font>
      <sz val="10"/>
      <color rgb="FF363636"/>
      <name val="Calibri"/>
      <family val="2"/>
    </font>
    <font>
      <i/>
      <sz val="12"/>
      <color theme="2" tint="-0.749992370372631"/>
      <name val="Calibri"/>
      <family val="2"/>
      <scheme val="minor"/>
    </font>
    <font>
      <sz val="11"/>
      <name val="Calibri"/>
      <family val="2"/>
      <scheme val="minor"/>
    </font>
    <font>
      <sz val="11"/>
      <color theme="1"/>
      <name val="Arial"/>
      <family val="2"/>
    </font>
    <font>
      <sz val="14"/>
      <color theme="1"/>
      <name val="Arial"/>
      <family val="2"/>
    </font>
    <font>
      <sz val="10"/>
      <color rgb="FF000000"/>
      <name val="Arial"/>
      <family val="2"/>
    </font>
    <font>
      <b/>
      <sz val="10"/>
      <color rgb="FF000000"/>
      <name val="Arial"/>
      <family val="2"/>
    </font>
    <font>
      <b/>
      <sz val="10"/>
      <color rgb="FFFFFFFF"/>
      <name val="Arial"/>
      <family val="2"/>
    </font>
    <font>
      <b/>
      <sz val="16"/>
      <color theme="1"/>
      <name val="Arial"/>
      <family val="2"/>
    </font>
    <font>
      <sz val="10"/>
      <color theme="1"/>
      <name val="Arial"/>
      <family val="2"/>
    </font>
    <font>
      <sz val="9"/>
      <color indexed="81"/>
      <name val="Tahoma"/>
      <family val="2"/>
    </font>
    <font>
      <b/>
      <sz val="9"/>
      <color indexed="81"/>
      <name val="Tahoma"/>
      <family val="2"/>
    </font>
    <font>
      <sz val="25"/>
      <color theme="1"/>
      <name val="Arial"/>
      <family val="2"/>
    </font>
    <font>
      <sz val="9"/>
      <color theme="1"/>
      <name val="Arial"/>
      <family val="2"/>
    </font>
    <font>
      <b/>
      <sz val="9"/>
      <color theme="0"/>
      <name val="Arial"/>
      <family val="2"/>
    </font>
    <font>
      <sz val="9"/>
      <color theme="0"/>
      <name val="Arial"/>
      <family val="2"/>
    </font>
    <font>
      <b/>
      <sz val="11"/>
      <color theme="1"/>
      <name val="Arial"/>
      <family val="2"/>
    </font>
    <font>
      <b/>
      <sz val="11"/>
      <color rgb="FF000000"/>
      <name val="Arial"/>
      <family val="2"/>
    </font>
    <font>
      <sz val="11"/>
      <color rgb="FF000000"/>
      <name val="Arial"/>
      <family val="2"/>
    </font>
    <font>
      <sz val="11"/>
      <color theme="1"/>
      <name val="Calibri"/>
      <family val="2"/>
    </font>
    <font>
      <sz val="9"/>
      <color rgb="FF000000"/>
      <name val="Arial"/>
      <family val="2"/>
    </font>
    <font>
      <b/>
      <sz val="11"/>
      <color rgb="FFFF0000"/>
      <name val="Calibri"/>
      <family val="2"/>
    </font>
    <font>
      <sz val="9"/>
      <color rgb="FF0070C0"/>
      <name val="Arial"/>
      <family val="2"/>
    </font>
    <font>
      <sz val="11"/>
      <name val="Calibri"/>
      <family val="2"/>
    </font>
    <font>
      <b/>
      <sz val="9"/>
      <color rgb="FFFFFFFF"/>
      <name val="Arial"/>
      <family val="2"/>
    </font>
    <font>
      <sz val="11"/>
      <color rgb="FF0070C0"/>
      <name val="Calibri"/>
      <family val="2"/>
    </font>
    <font>
      <sz val="11"/>
      <color theme="4" tint="-0.249977111117893"/>
      <name val="Calibri"/>
      <family val="2"/>
    </font>
    <font>
      <sz val="11"/>
      <color rgb="FFFF0000"/>
      <name val="Calibri"/>
      <family val="2"/>
      <scheme val="minor"/>
    </font>
    <font>
      <vertAlign val="subscript"/>
      <sz val="11"/>
      <color theme="1"/>
      <name val="Calibri"/>
      <family val="2"/>
      <scheme val="minor"/>
    </font>
    <font>
      <b/>
      <sz val="9"/>
      <color rgb="FFFFC000"/>
      <name val="Arial"/>
      <family val="2"/>
    </font>
    <font>
      <b/>
      <sz val="11"/>
      <color theme="1"/>
      <name val="Calibri"/>
      <family val="2"/>
    </font>
    <font>
      <sz val="11"/>
      <color theme="3"/>
      <name val="Calibri"/>
      <family val="2"/>
    </font>
    <font>
      <b/>
      <sz val="9"/>
      <color rgb="FFFF0000"/>
      <name val="Arial"/>
      <family val="2"/>
    </font>
    <font>
      <sz val="11"/>
      <color rgb="FFFF0000"/>
      <name val="Calibri"/>
      <family val="2"/>
    </font>
    <font>
      <sz val="11"/>
      <color rgb="FF000000"/>
      <name val="Calibri"/>
      <family val="2"/>
      <scheme val="minor"/>
    </font>
    <font>
      <sz val="9"/>
      <color rgb="FF363636"/>
      <name val="Arial"/>
      <family val="2"/>
    </font>
    <font>
      <sz val="9"/>
      <color theme="0" tint="-0.499984740745262"/>
      <name val="Arial"/>
      <family val="2"/>
    </font>
    <font>
      <b/>
      <sz val="9"/>
      <color theme="0" tint="-0.499984740745262"/>
      <name val="Arial"/>
      <family val="2"/>
    </font>
    <font>
      <sz val="9"/>
      <color rgb="FFC00000"/>
      <name val="Arial"/>
      <family val="2"/>
    </font>
    <font>
      <b/>
      <sz val="9"/>
      <color rgb="FF000000"/>
      <name val="Arial"/>
      <family val="2"/>
    </font>
    <font>
      <sz val="9"/>
      <color theme="4"/>
      <name val="Arial"/>
      <family val="2"/>
    </font>
    <font>
      <sz val="8"/>
      <name val="Calibri"/>
      <family val="2"/>
      <scheme val="minor"/>
    </font>
    <font>
      <b/>
      <sz val="11"/>
      <name val="Calibri"/>
      <family val="2"/>
    </font>
    <font>
      <sz val="9"/>
      <name val="Arial"/>
      <family val="2"/>
    </font>
    <font>
      <b/>
      <sz val="9"/>
      <color theme="1"/>
      <name val="Arial"/>
      <family val="2"/>
    </font>
    <font>
      <b/>
      <sz val="11"/>
      <name val="Calibri"/>
      <family val="2"/>
      <scheme val="minor"/>
    </font>
    <font>
      <b/>
      <sz val="9"/>
      <color theme="4"/>
      <name val="Arial"/>
      <family val="2"/>
    </font>
    <font>
      <sz val="11"/>
      <color theme="0" tint="-0.34998626667073579"/>
      <name val="Calibri"/>
      <family val="2"/>
    </font>
    <font>
      <sz val="11"/>
      <color theme="3" tint="0.39997558519241921"/>
      <name val="Calibri"/>
      <family val="2"/>
    </font>
  </fonts>
  <fills count="45">
    <fill>
      <patternFill patternType="none"/>
    </fill>
    <fill>
      <patternFill patternType="gray125"/>
    </fill>
    <fill>
      <patternFill patternType="solid">
        <fgColor theme="1"/>
        <bgColor indexed="64"/>
      </patternFill>
    </fill>
    <fill>
      <patternFill patternType="solid">
        <fgColor theme="4"/>
        <bgColor theme="4"/>
      </patternFill>
    </fill>
    <fill>
      <patternFill patternType="solid">
        <fgColor theme="4" tint="0.79998168889431442"/>
        <bgColor indexed="64"/>
      </patternFill>
    </fill>
    <fill>
      <patternFill patternType="solid">
        <fgColor theme="0" tint="-0.249977111117893"/>
        <bgColor indexed="64"/>
      </patternFill>
    </fill>
    <fill>
      <patternFill patternType="solid">
        <fgColor indexed="63"/>
        <bgColor indexed="64"/>
      </patternFill>
    </fill>
    <fill>
      <patternFill patternType="solid">
        <fgColor rgb="FFFFFF00"/>
        <bgColor indexed="64"/>
      </patternFill>
    </fill>
    <fill>
      <patternFill patternType="solid">
        <fgColor rgb="FFFFFFFF"/>
        <bgColor indexed="64"/>
      </patternFill>
    </fill>
    <fill>
      <patternFill patternType="solid">
        <fgColor rgb="FF92D050"/>
        <bgColor indexed="64"/>
      </patternFill>
    </fill>
    <fill>
      <patternFill patternType="solid">
        <fgColor rgb="FFDFE3E8"/>
        <bgColor indexed="64"/>
      </patternFill>
    </fill>
    <fill>
      <patternFill patternType="solid">
        <fgColor rgb="FFFFFF99"/>
        <bgColor indexed="64"/>
      </patternFill>
    </fill>
    <fill>
      <patternFill patternType="solid">
        <fgColor theme="3" tint="0.39997558519241921"/>
        <bgColor indexed="64"/>
      </patternFill>
    </fill>
    <fill>
      <patternFill patternType="solid">
        <fgColor theme="4"/>
        <bgColor indexed="64"/>
      </patternFill>
    </fill>
    <fill>
      <patternFill patternType="solid">
        <fgColor rgb="FFFDE9D9"/>
        <bgColor indexed="64"/>
      </patternFill>
    </fill>
    <fill>
      <patternFill patternType="solid">
        <fgColor rgb="FFBFBFBF"/>
        <bgColor indexed="64"/>
      </patternFill>
    </fill>
    <fill>
      <patternFill patternType="solid">
        <fgColor rgb="FF548DD4"/>
        <bgColor indexed="64"/>
      </patternFill>
    </fill>
    <fill>
      <patternFill patternType="solid">
        <fgColor rgb="FF4472C4"/>
        <bgColor indexed="64"/>
      </patternFill>
    </fill>
    <fill>
      <patternFill patternType="solid">
        <fgColor rgb="FFCFD5EA"/>
        <bgColor indexed="64"/>
      </patternFill>
    </fill>
    <fill>
      <patternFill patternType="solid">
        <fgColor rgb="FFE9EBF5"/>
        <bgColor indexed="64"/>
      </patternFill>
    </fill>
    <fill>
      <patternFill patternType="solid">
        <fgColor theme="9" tint="-0.249977111117893"/>
        <bgColor indexed="64"/>
      </patternFill>
    </fill>
    <fill>
      <patternFill patternType="solid">
        <fgColor theme="9" tint="0.79998168889431442"/>
        <bgColor theme="4" tint="0.79998168889431442"/>
      </patternFill>
    </fill>
    <fill>
      <patternFill patternType="solid">
        <fgColor theme="9" tint="0.79998168889431442"/>
        <bgColor theme="4" tint="0.59999389629810485"/>
      </patternFill>
    </fill>
    <fill>
      <patternFill patternType="solid">
        <fgColor theme="9" tint="0.79998168889431442"/>
        <bgColor indexed="64"/>
      </patternFill>
    </fill>
    <fill>
      <patternFill patternType="solid">
        <fgColor theme="0" tint="-0.14999847407452621"/>
        <bgColor indexed="64"/>
      </patternFill>
    </fill>
    <fill>
      <patternFill patternType="solid">
        <fgColor theme="3" tint="0.59999389629810485"/>
        <bgColor indexed="64"/>
      </patternFill>
    </fill>
    <fill>
      <patternFill patternType="solid">
        <fgColor theme="4" tint="0.39997558519241921"/>
        <bgColor indexed="64"/>
      </patternFill>
    </fill>
    <fill>
      <patternFill patternType="solid">
        <fgColor rgb="FFFFFFCC"/>
        <bgColor indexed="64"/>
      </patternFill>
    </fill>
    <fill>
      <patternFill patternType="solid">
        <fgColor theme="0"/>
        <bgColor indexed="64"/>
      </patternFill>
    </fill>
    <fill>
      <patternFill patternType="solid">
        <fgColor theme="3" tint="0.79998168889431442"/>
        <bgColor indexed="64"/>
      </patternFill>
    </fill>
    <fill>
      <patternFill patternType="solid">
        <fgColor theme="4" tint="0.59999389629810485"/>
        <bgColor indexed="64"/>
      </patternFill>
    </fill>
    <fill>
      <patternFill patternType="solid">
        <fgColor rgb="FFD9D9D9"/>
        <bgColor indexed="64"/>
      </patternFill>
    </fill>
    <fill>
      <patternFill patternType="solid">
        <fgColor theme="4" tint="-0.249977111117893"/>
        <bgColor indexed="64"/>
      </patternFill>
    </fill>
    <fill>
      <patternFill patternType="solid">
        <fgColor theme="8" tint="0.39997558519241921"/>
        <bgColor indexed="64"/>
      </patternFill>
    </fill>
    <fill>
      <patternFill patternType="solid">
        <fgColor rgb="FF00B0F0"/>
        <bgColor indexed="64"/>
      </patternFill>
    </fill>
    <fill>
      <patternFill patternType="solid">
        <fgColor rgb="FFDCE6F1"/>
        <bgColor indexed="64"/>
      </patternFill>
    </fill>
    <fill>
      <patternFill patternType="solid">
        <fgColor theme="0" tint="-4.9989318521683403E-2"/>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0" tint="-0.499984740745262"/>
        <bgColor indexed="64"/>
      </patternFill>
    </fill>
    <fill>
      <patternFill patternType="solid">
        <fgColor theme="6" tint="0.59999389629810485"/>
        <bgColor indexed="64"/>
      </patternFill>
    </fill>
    <fill>
      <patternFill patternType="solid">
        <fgColor theme="6" tint="-0.499984740745262"/>
        <bgColor indexed="64"/>
      </patternFill>
    </fill>
    <fill>
      <patternFill patternType="solid">
        <fgColor theme="0" tint="-0.34998626667073579"/>
        <bgColor indexed="64"/>
      </patternFill>
    </fill>
    <fill>
      <patternFill patternType="solid">
        <fgColor theme="1" tint="0.14999847407452621"/>
        <bgColor indexed="64"/>
      </patternFill>
    </fill>
    <fill>
      <patternFill patternType="solid">
        <fgColor rgb="FFDDEBF7"/>
        <bgColor indexed="64"/>
      </patternFill>
    </fill>
  </fills>
  <borders count="80">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right style="thin">
        <color theme="0"/>
      </right>
      <top style="thin">
        <color theme="0"/>
      </top>
      <bottom style="thin">
        <color theme="0"/>
      </bottom>
      <diagonal/>
    </border>
    <border>
      <left style="thin">
        <color indexed="64"/>
      </left>
      <right/>
      <top/>
      <bottom/>
      <diagonal/>
    </border>
    <border>
      <left style="medium">
        <color indexed="64"/>
      </left>
      <right style="medium">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rgb="FFB1BBCC"/>
      </left>
      <right style="thin">
        <color rgb="FFB1BBCC"/>
      </right>
      <top style="thin">
        <color rgb="FFB1BBCC"/>
      </top>
      <bottom style="thin">
        <color rgb="FFB1BBCC"/>
      </bottom>
      <diagonal/>
    </border>
    <border>
      <left/>
      <right/>
      <top style="thin">
        <color indexed="64"/>
      </top>
      <bottom style="thin">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right style="medium">
        <color indexed="64"/>
      </right>
      <top/>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rgb="FF000000"/>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top/>
      <bottom style="medium">
        <color indexed="64"/>
      </bottom>
      <diagonal/>
    </border>
    <border>
      <left style="medium">
        <color indexed="64"/>
      </left>
      <right style="medium">
        <color indexed="64"/>
      </right>
      <top/>
      <bottom/>
      <diagonal/>
    </border>
    <border>
      <left style="medium">
        <color indexed="64"/>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rgb="FFFFFFFF"/>
      </left>
      <right style="medium">
        <color rgb="FFFFFFFF"/>
      </right>
      <top style="medium">
        <color rgb="FFFFFFFF"/>
      </top>
      <bottom style="thick">
        <color rgb="FFFFFFFF"/>
      </bottom>
      <diagonal/>
    </border>
    <border>
      <left style="medium">
        <color rgb="FFFFFFFF"/>
      </left>
      <right style="medium">
        <color rgb="FFFFFFFF"/>
      </right>
      <top style="thick">
        <color rgb="FFFFFFFF"/>
      </top>
      <bottom style="medium">
        <color rgb="FFFFFFFF"/>
      </bottom>
      <diagonal/>
    </border>
    <border>
      <left style="medium">
        <color rgb="FFFFFFFF"/>
      </left>
      <right style="medium">
        <color rgb="FFFFFFFF"/>
      </right>
      <top style="medium">
        <color rgb="FFFFFFFF"/>
      </top>
      <bottom style="medium">
        <color rgb="FFFFFFFF"/>
      </bottom>
      <diagonal/>
    </border>
    <border>
      <left style="medium">
        <color rgb="FFFFFFFF"/>
      </left>
      <right style="medium">
        <color rgb="FFFFFFFF"/>
      </right>
      <top style="medium">
        <color rgb="FFFFFFFF"/>
      </top>
      <bottom/>
      <diagonal/>
    </border>
    <border>
      <left style="medium">
        <color rgb="FFFFFFFF"/>
      </left>
      <right style="medium">
        <color rgb="FFFFFFFF"/>
      </right>
      <top/>
      <bottom style="medium">
        <color rgb="FFFFFFFF"/>
      </bottom>
      <diagonal/>
    </border>
    <border>
      <left style="medium">
        <color rgb="FFFFFFFF"/>
      </left>
      <right style="medium">
        <color rgb="FFFFFFFF"/>
      </right>
      <top style="thick">
        <color rgb="FFFFFFFF"/>
      </top>
      <bottom/>
      <diagonal/>
    </border>
    <border>
      <left style="medium">
        <color indexed="64"/>
      </left>
      <right style="medium">
        <color indexed="64"/>
      </right>
      <top style="thin">
        <color indexed="64"/>
      </top>
      <bottom style="medium">
        <color indexed="64"/>
      </bottom>
      <diagonal/>
    </border>
    <border>
      <left style="thin">
        <color theme="0"/>
      </left>
      <right style="thin">
        <color theme="0"/>
      </right>
      <top/>
      <bottom style="thin">
        <color indexed="64"/>
      </bottom>
      <diagonal/>
    </border>
    <border>
      <left style="thin">
        <color theme="0"/>
      </left>
      <right style="thin">
        <color theme="0"/>
      </right>
      <top style="thin">
        <color theme="0"/>
      </top>
      <bottom style="thin">
        <color theme="0"/>
      </bottom>
      <diagonal/>
    </border>
    <border>
      <left/>
      <right/>
      <top style="medium">
        <color indexed="64"/>
      </top>
      <bottom/>
      <diagonal/>
    </border>
    <border>
      <left/>
      <right style="thin">
        <color rgb="FFB1BBCC"/>
      </right>
      <top style="thin">
        <color rgb="FFB1BBCC"/>
      </top>
      <bottom style="thin">
        <color rgb="FFB1BBCC"/>
      </bottom>
      <diagonal/>
    </border>
    <border>
      <left/>
      <right style="thin">
        <color indexed="64"/>
      </right>
      <top/>
      <bottom/>
      <diagonal/>
    </border>
    <border>
      <left style="thin">
        <color rgb="FFB1BBCC"/>
      </left>
      <right style="thin">
        <color rgb="FFB1BBCC"/>
      </right>
      <top style="thin">
        <color rgb="FFB1BBCC"/>
      </top>
      <bottom/>
      <diagonal/>
    </border>
    <border>
      <left style="thick">
        <color indexed="64"/>
      </left>
      <right style="medium">
        <color indexed="64"/>
      </right>
      <top/>
      <bottom style="thick">
        <color indexed="64"/>
      </bottom>
      <diagonal/>
    </border>
    <border>
      <left style="thick">
        <color indexed="64"/>
      </left>
      <right style="medium">
        <color indexed="64"/>
      </right>
      <top/>
      <bottom/>
      <diagonal/>
    </border>
    <border>
      <left style="thick">
        <color indexed="64"/>
      </left>
      <right style="medium">
        <color indexed="64"/>
      </right>
      <top style="thick">
        <color indexed="64"/>
      </top>
      <bottom/>
      <diagonal/>
    </border>
    <border>
      <left style="thick">
        <color indexed="64"/>
      </left>
      <right style="medium">
        <color indexed="64"/>
      </right>
      <top/>
      <bottom style="thick">
        <color rgb="FF000000"/>
      </bottom>
      <diagonal/>
    </border>
    <border>
      <left/>
      <right style="thick">
        <color indexed="64"/>
      </right>
      <top style="thick">
        <color indexed="64"/>
      </top>
      <bottom style="thick">
        <color indexed="64"/>
      </bottom>
      <diagonal/>
    </border>
    <border>
      <left style="thick">
        <color indexed="64"/>
      </left>
      <right style="medium">
        <color indexed="64"/>
      </right>
      <top style="thick">
        <color indexed="64"/>
      </top>
      <bottom style="thick">
        <color indexed="64"/>
      </bottom>
      <diagonal/>
    </border>
    <border>
      <left style="thick">
        <color indexed="64"/>
      </left>
      <right style="thick">
        <color indexed="64"/>
      </right>
      <top/>
      <bottom style="thick">
        <color indexed="64"/>
      </bottom>
      <diagonal/>
    </border>
    <border>
      <left/>
      <right style="thick">
        <color indexed="64"/>
      </right>
      <top/>
      <bottom style="thick">
        <color indexed="64"/>
      </bottom>
      <diagonal/>
    </border>
    <border>
      <left style="medium">
        <color indexed="64"/>
      </left>
      <right/>
      <top/>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diagonal/>
    </border>
    <border>
      <left/>
      <right style="medium">
        <color indexed="64"/>
      </right>
      <top style="thin">
        <color indexed="64"/>
      </top>
      <bottom style="thin">
        <color indexed="64"/>
      </bottom>
      <diagonal/>
    </border>
    <border>
      <left style="thin">
        <color indexed="64"/>
      </left>
      <right style="thin">
        <color indexed="64"/>
      </right>
      <top/>
      <bottom style="medium">
        <color indexed="64"/>
      </bottom>
      <diagonal/>
    </border>
    <border>
      <left/>
      <right style="medium">
        <color indexed="64"/>
      </right>
      <top style="thick">
        <color indexed="64"/>
      </top>
      <bottom style="thick">
        <color indexed="64"/>
      </bottom>
      <diagonal/>
    </border>
    <border>
      <left style="medium">
        <color indexed="64"/>
      </left>
      <right style="medium">
        <color indexed="64"/>
      </right>
      <top style="thick">
        <color indexed="64"/>
      </top>
      <bottom style="thick">
        <color indexed="64"/>
      </bottom>
      <diagonal/>
    </border>
    <border>
      <left style="medium">
        <color indexed="64"/>
      </left>
      <right style="thin">
        <color indexed="64"/>
      </right>
      <top/>
      <bottom style="thin">
        <color indexed="64"/>
      </bottom>
      <diagonal/>
    </border>
    <border>
      <left/>
      <right style="medium">
        <color indexed="64"/>
      </right>
      <top style="medium">
        <color indexed="64"/>
      </top>
      <bottom style="thin">
        <color indexed="64"/>
      </bottom>
      <diagonal/>
    </border>
    <border>
      <left style="thin">
        <color theme="0"/>
      </left>
      <right style="thin">
        <color theme="0"/>
      </right>
      <top style="thin">
        <color theme="0"/>
      </top>
      <bottom/>
      <diagonal/>
    </border>
    <border>
      <left style="thin">
        <color indexed="64"/>
      </left>
      <right/>
      <top/>
      <bottom style="thin">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style="medium">
        <color indexed="64"/>
      </right>
      <top/>
      <bottom style="medium">
        <color indexed="64"/>
      </bottom>
      <diagonal/>
    </border>
    <border>
      <left/>
      <right/>
      <top style="thick">
        <color rgb="FFFFFFFF"/>
      </top>
      <bottom/>
      <diagonal/>
    </border>
    <border>
      <left style="thin">
        <color rgb="FF000000"/>
      </left>
      <right style="thin">
        <color rgb="FF000000"/>
      </right>
      <top style="thin">
        <color rgb="FF000000"/>
      </top>
      <bottom style="thin">
        <color rgb="FF000000"/>
      </bottom>
      <diagonal/>
    </border>
    <border>
      <left style="thin">
        <color theme="0"/>
      </left>
      <right style="thin">
        <color theme="0"/>
      </right>
      <top/>
      <bottom style="thin">
        <color theme="0"/>
      </bottom>
      <diagonal/>
    </border>
  </borders>
  <cellStyleXfs count="5">
    <xf numFmtId="0" fontId="0" fillId="0" borderId="0"/>
    <xf numFmtId="0" fontId="3" fillId="0" borderId="0" applyNumberFormat="0" applyFill="0" applyBorder="0" applyAlignment="0" applyProtection="0"/>
    <xf numFmtId="0" fontId="10" fillId="0" borderId="0"/>
    <xf numFmtId="0" fontId="17" fillId="0" borderId="0"/>
    <xf numFmtId="0" fontId="10" fillId="0" borderId="0"/>
  </cellStyleXfs>
  <cellXfs count="1108">
    <xf numFmtId="0" fontId="0" fillId="0" borderId="0" xfId="0"/>
    <xf numFmtId="0" fontId="0" fillId="0" borderId="0" xfId="0" quotePrefix="1"/>
    <xf numFmtId="14" fontId="0" fillId="0" borderId="0" xfId="0" applyNumberFormat="1" applyAlignment="1">
      <alignment horizontal="left"/>
    </xf>
    <xf numFmtId="0" fontId="2" fillId="0" borderId="0" xfId="0" applyFont="1" applyAlignment="1">
      <alignment horizontal="right"/>
    </xf>
    <xf numFmtId="0" fontId="2" fillId="0" borderId="0" xfId="0" applyFont="1" applyAlignment="1">
      <alignment horizontal="left"/>
    </xf>
    <xf numFmtId="0" fontId="3" fillId="0" borderId="0" xfId="1"/>
    <xf numFmtId="164" fontId="1" fillId="0" borderId="5" xfId="0" applyNumberFormat="1" applyFont="1" applyBorder="1" applyAlignment="1">
      <alignment horizontal="left"/>
    </xf>
    <xf numFmtId="164" fontId="1" fillId="0" borderId="3" xfId="0" applyNumberFormat="1" applyFont="1" applyBorder="1" applyAlignment="1">
      <alignment horizontal="left"/>
    </xf>
    <xf numFmtId="166" fontId="3" fillId="0" borderId="0" xfId="1" applyNumberFormat="1"/>
    <xf numFmtId="0" fontId="6" fillId="2" borderId="3" xfId="0" applyFont="1" applyFill="1" applyBorder="1" applyAlignment="1">
      <alignment horizontal="center"/>
    </xf>
    <xf numFmtId="0" fontId="6" fillId="2" borderId="1" xfId="0" applyFont="1" applyFill="1" applyBorder="1" applyAlignment="1">
      <alignment horizontal="center"/>
    </xf>
    <xf numFmtId="14" fontId="0" fillId="0" borderId="0" xfId="0" quotePrefix="1" applyNumberFormat="1"/>
    <xf numFmtId="0" fontId="4" fillId="0" borderId="6" xfId="0" applyFont="1" applyBorder="1" applyAlignment="1">
      <alignment vertical="top" wrapText="1"/>
    </xf>
    <xf numFmtId="0" fontId="4" fillId="0" borderId="4" xfId="0" applyFont="1" applyBorder="1" applyAlignment="1">
      <alignment vertical="top" wrapText="1"/>
    </xf>
    <xf numFmtId="164" fontId="1" fillId="0" borderId="6" xfId="0" applyNumberFormat="1" applyFont="1" applyBorder="1" applyAlignment="1">
      <alignment horizontal="left"/>
    </xf>
    <xf numFmtId="169" fontId="0" fillId="0" borderId="0" xfId="0" applyNumberFormat="1"/>
    <xf numFmtId="169" fontId="1" fillId="0" borderId="3" xfId="0" applyNumberFormat="1" applyFont="1" applyBorder="1" applyAlignment="1">
      <alignment horizontal="left" indent="1"/>
    </xf>
    <xf numFmtId="169" fontId="3" fillId="0" borderId="1" xfId="1" applyNumberFormat="1" applyBorder="1" applyAlignment="1">
      <alignment horizontal="left" indent="1"/>
    </xf>
    <xf numFmtId="0" fontId="0" fillId="0" borderId="0" xfId="0" applyAlignment="1">
      <alignment wrapText="1"/>
    </xf>
    <xf numFmtId="0" fontId="8" fillId="0" borderId="0" xfId="0" applyFont="1"/>
    <xf numFmtId="0" fontId="9" fillId="0" borderId="0" xfId="0" applyFont="1"/>
    <xf numFmtId="0" fontId="9" fillId="0" borderId="1" xfId="0" applyFont="1" applyBorder="1" applyAlignment="1">
      <alignment horizontal="left" indent="1"/>
    </xf>
    <xf numFmtId="15" fontId="8" fillId="0" borderId="1" xfId="0" applyNumberFormat="1" applyFont="1" applyBorder="1" applyAlignment="1">
      <alignment horizontal="left" indent="1"/>
    </xf>
    <xf numFmtId="49" fontId="0" fillId="4" borderId="0" xfId="0" applyNumberFormat="1" applyFill="1" applyAlignment="1">
      <alignment horizontal="left" wrapText="1"/>
    </xf>
    <xf numFmtId="49" fontId="0" fillId="4" borderId="0" xfId="0" applyNumberFormat="1" applyFill="1" applyAlignment="1">
      <alignment wrapText="1"/>
    </xf>
    <xf numFmtId="0" fontId="11" fillId="5" borderId="0" xfId="2" applyFont="1" applyFill="1"/>
    <xf numFmtId="170" fontId="11" fillId="5" borderId="0" xfId="2" applyNumberFormat="1" applyFont="1" applyFill="1"/>
    <xf numFmtId="171" fontId="11" fillId="5" borderId="0" xfId="2" applyNumberFormat="1" applyFont="1" applyFill="1"/>
    <xf numFmtId="170" fontId="12" fillId="5" borderId="1" xfId="2" applyNumberFormat="1" applyFont="1" applyFill="1" applyBorder="1"/>
    <xf numFmtId="172" fontId="12" fillId="5" borderId="1" xfId="2" applyNumberFormat="1" applyFont="1" applyFill="1" applyBorder="1"/>
    <xf numFmtId="171" fontId="11" fillId="0" borderId="1" xfId="2" applyNumberFormat="1" applyFont="1" applyBorder="1" applyAlignment="1">
      <alignment horizontal="center"/>
    </xf>
    <xf numFmtId="173" fontId="11" fillId="0" borderId="1" xfId="2" applyNumberFormat="1" applyFont="1" applyBorder="1" applyAlignment="1">
      <alignment horizontal="center" vertical="center" wrapText="1"/>
    </xf>
    <xf numFmtId="171" fontId="11" fillId="0" borderId="4" xfId="2" applyNumberFormat="1" applyFont="1" applyBorder="1" applyAlignment="1">
      <alignment horizontal="center"/>
    </xf>
    <xf numFmtId="174" fontId="11" fillId="0" borderId="4" xfId="2" applyNumberFormat="1" applyFont="1" applyBorder="1" applyAlignment="1">
      <alignment horizontal="center"/>
    </xf>
    <xf numFmtId="0" fontId="14" fillId="5" borderId="0" xfId="2" applyFont="1" applyFill="1"/>
    <xf numFmtId="0" fontId="11" fillId="0" borderId="1" xfId="2" applyFont="1" applyBorder="1"/>
    <xf numFmtId="171" fontId="12" fillId="5" borderId="1" xfId="2" applyNumberFormat="1" applyFont="1" applyFill="1" applyBorder="1" applyAlignment="1">
      <alignment horizontal="center"/>
    </xf>
    <xf numFmtId="170" fontId="11" fillId="0" borderId="1" xfId="2" applyNumberFormat="1" applyFont="1" applyBorder="1" applyAlignment="1">
      <alignment horizontal="center"/>
    </xf>
    <xf numFmtId="170" fontId="11" fillId="0" borderId="11" xfId="2" applyNumberFormat="1" applyFont="1" applyBorder="1" applyAlignment="1">
      <alignment horizontal="center"/>
    </xf>
    <xf numFmtId="0" fontId="15" fillId="0" borderId="1" xfId="2" applyFont="1" applyBorder="1"/>
    <xf numFmtId="173" fontId="11" fillId="0" borderId="1" xfId="2" applyNumberFormat="1" applyFont="1" applyBorder="1" applyAlignment="1">
      <alignment horizontal="left"/>
    </xf>
    <xf numFmtId="165" fontId="11" fillId="0" borderId="1" xfId="2" applyNumberFormat="1" applyFont="1" applyBorder="1" applyAlignment="1">
      <alignment horizontal="left"/>
    </xf>
    <xf numFmtId="0" fontId="13" fillId="6" borderId="14" xfId="2" applyFont="1" applyFill="1" applyBorder="1" applyAlignment="1">
      <alignment horizontal="center" vertical="center" wrapText="1"/>
    </xf>
    <xf numFmtId="0" fontId="13" fillId="6" borderId="16" xfId="2" applyFont="1" applyFill="1" applyBorder="1" applyAlignment="1">
      <alignment horizontal="center" vertical="center" wrapText="1"/>
    </xf>
    <xf numFmtId="16" fontId="12" fillId="0" borderId="15" xfId="2" applyNumberFormat="1" applyFont="1" applyBorder="1"/>
    <xf numFmtId="170" fontId="12" fillId="0" borderId="13" xfId="2" applyNumberFormat="1" applyFont="1" applyBorder="1" applyAlignment="1">
      <alignment horizontal="right"/>
    </xf>
    <xf numFmtId="0" fontId="11" fillId="5" borderId="0" xfId="3" applyFont="1" applyFill="1"/>
    <xf numFmtId="170" fontId="11" fillId="5" borderId="0" xfId="3" applyNumberFormat="1" applyFont="1" applyFill="1"/>
    <xf numFmtId="171" fontId="11" fillId="5" borderId="0" xfId="3" applyNumberFormat="1" applyFont="1" applyFill="1"/>
    <xf numFmtId="174" fontId="11" fillId="0" borderId="1" xfId="3" applyNumberFormat="1" applyFont="1" applyBorder="1" applyAlignment="1">
      <alignment horizontal="center"/>
    </xf>
    <xf numFmtId="173" fontId="11" fillId="0" borderId="1" xfId="3" applyNumberFormat="1" applyFont="1" applyBorder="1" applyAlignment="1">
      <alignment horizontal="center" vertical="center" wrapText="1"/>
    </xf>
    <xf numFmtId="171" fontId="11" fillId="0" borderId="4" xfId="3" applyNumberFormat="1" applyFont="1" applyBorder="1" applyAlignment="1">
      <alignment horizontal="center"/>
    </xf>
    <xf numFmtId="174" fontId="11" fillId="0" borderId="4" xfId="3" applyNumberFormat="1" applyFont="1" applyBorder="1" applyAlignment="1">
      <alignment horizontal="center"/>
    </xf>
    <xf numFmtId="0" fontId="14" fillId="5" borderId="0" xfId="3" applyFont="1" applyFill="1"/>
    <xf numFmtId="0" fontId="11" fillId="0" borderId="1" xfId="3" applyFont="1" applyBorder="1"/>
    <xf numFmtId="171" fontId="12" fillId="5" borderId="1" xfId="3" applyNumberFormat="1" applyFont="1" applyFill="1" applyBorder="1" applyAlignment="1">
      <alignment horizontal="center"/>
    </xf>
    <xf numFmtId="170" fontId="11" fillId="0" borderId="1" xfId="3" applyNumberFormat="1" applyFont="1" applyBorder="1" applyAlignment="1">
      <alignment horizontal="center"/>
    </xf>
    <xf numFmtId="0" fontId="5" fillId="9" borderId="17" xfId="3" applyFont="1" applyFill="1" applyBorder="1" applyAlignment="1">
      <alignment vertical="center" wrapText="1"/>
    </xf>
    <xf numFmtId="0" fontId="18" fillId="9" borderId="17" xfId="3" applyFont="1" applyFill="1" applyBorder="1" applyAlignment="1">
      <alignment vertical="center" wrapText="1"/>
    </xf>
    <xf numFmtId="171" fontId="12" fillId="5" borderId="1" xfId="3" quotePrefix="1" applyNumberFormat="1" applyFont="1" applyFill="1" applyBorder="1" applyAlignment="1">
      <alignment horizontal="center"/>
    </xf>
    <xf numFmtId="0" fontId="20" fillId="8" borderId="17" xfId="3" applyFont="1" applyFill="1" applyBorder="1" applyAlignment="1">
      <alignment vertical="center" wrapText="1"/>
    </xf>
    <xf numFmtId="0" fontId="13" fillId="6" borderId="0" xfId="3" applyFont="1" applyFill="1" applyAlignment="1">
      <alignment horizontal="center" vertical="center" wrapText="1"/>
    </xf>
    <xf numFmtId="0" fontId="21" fillId="10" borderId="17" xfId="3" applyFont="1" applyFill="1" applyBorder="1" applyAlignment="1">
      <alignment vertical="center" wrapText="1"/>
    </xf>
    <xf numFmtId="166" fontId="11" fillId="0" borderId="1" xfId="3" applyNumberFormat="1" applyFont="1" applyBorder="1"/>
    <xf numFmtId="173" fontId="11" fillId="0" borderId="1" xfId="3" applyNumberFormat="1" applyFont="1" applyBorder="1" applyAlignment="1">
      <alignment horizontal="left"/>
    </xf>
    <xf numFmtId="165" fontId="11" fillId="0" borderId="1" xfId="3" applyNumberFormat="1" applyFont="1" applyBorder="1" applyAlignment="1">
      <alignment horizontal="left"/>
    </xf>
    <xf numFmtId="0" fontId="13" fillId="6" borderId="14" xfId="3" applyFont="1" applyFill="1" applyBorder="1" applyAlignment="1">
      <alignment horizontal="center" vertical="center" wrapText="1"/>
    </xf>
    <xf numFmtId="0" fontId="13" fillId="6" borderId="16" xfId="3" applyFont="1" applyFill="1" applyBorder="1" applyAlignment="1">
      <alignment horizontal="center" vertical="center" wrapText="1"/>
    </xf>
    <xf numFmtId="49" fontId="1" fillId="0" borderId="2" xfId="0" applyNumberFormat="1" applyFont="1" applyBorder="1" applyAlignment="1">
      <alignment horizontal="left" wrapText="1"/>
    </xf>
    <xf numFmtId="49" fontId="0" fillId="4" borderId="0" xfId="0" quotePrefix="1" applyNumberFormat="1" applyFill="1" applyAlignment="1">
      <alignment horizontal="left" wrapText="1"/>
    </xf>
    <xf numFmtId="49" fontId="0" fillId="0" borderId="0" xfId="0" applyNumberFormat="1" applyAlignment="1">
      <alignment wrapText="1"/>
    </xf>
    <xf numFmtId="0" fontId="19" fillId="0" borderId="1" xfId="3" applyFont="1" applyBorder="1"/>
    <xf numFmtId="171" fontId="12" fillId="4" borderId="12" xfId="2" applyNumberFormat="1" applyFont="1" applyFill="1" applyBorder="1" applyAlignment="1">
      <alignment horizontal="center"/>
    </xf>
    <xf numFmtId="171" fontId="12" fillId="4" borderId="10" xfId="2" applyNumberFormat="1" applyFont="1" applyFill="1" applyBorder="1" applyAlignment="1">
      <alignment horizontal="center"/>
    </xf>
    <xf numFmtId="171" fontId="12" fillId="4" borderId="10" xfId="2" quotePrefix="1" applyNumberFormat="1" applyFont="1" applyFill="1" applyBorder="1" applyAlignment="1">
      <alignment horizontal="center"/>
    </xf>
    <xf numFmtId="170" fontId="11" fillId="0" borderId="12" xfId="2" applyNumberFormat="1" applyFont="1" applyBorder="1" applyAlignment="1">
      <alignment horizontal="center"/>
    </xf>
    <xf numFmtId="170" fontId="11" fillId="0" borderId="10" xfId="2" applyNumberFormat="1" applyFont="1" applyBorder="1" applyAlignment="1">
      <alignment horizontal="center"/>
    </xf>
    <xf numFmtId="0" fontId="13" fillId="12" borderId="0" xfId="2" applyFont="1" applyFill="1" applyAlignment="1">
      <alignment horizontal="center" vertical="center" wrapText="1"/>
    </xf>
    <xf numFmtId="0" fontId="11" fillId="0" borderId="1" xfId="2" applyFont="1" applyBorder="1" applyAlignment="1">
      <alignment wrapText="1"/>
    </xf>
    <xf numFmtId="0" fontId="15" fillId="0" borderId="1" xfId="2" applyFont="1" applyBorder="1" applyAlignment="1">
      <alignment wrapText="1"/>
    </xf>
    <xf numFmtId="174" fontId="12" fillId="5" borderId="12" xfId="2" applyNumberFormat="1" applyFont="1" applyFill="1" applyBorder="1" applyAlignment="1">
      <alignment horizontal="center"/>
    </xf>
    <xf numFmtId="174" fontId="12" fillId="5" borderId="10" xfId="2" applyNumberFormat="1" applyFont="1" applyFill="1" applyBorder="1" applyAlignment="1">
      <alignment horizontal="center"/>
    </xf>
    <xf numFmtId="174" fontId="12" fillId="5" borderId="10" xfId="2" quotePrefix="1" applyNumberFormat="1" applyFont="1" applyFill="1" applyBorder="1" applyAlignment="1">
      <alignment horizontal="center"/>
    </xf>
    <xf numFmtId="0" fontId="1" fillId="0" borderId="1" xfId="0" applyFont="1" applyBorder="1" applyAlignment="1">
      <alignment horizontal="left"/>
    </xf>
    <xf numFmtId="0" fontId="0" fillId="0" borderId="7" xfId="0" applyBorder="1" applyAlignment="1">
      <alignment horizontal="left"/>
    </xf>
    <xf numFmtId="49" fontId="23" fillId="4" borderId="0" xfId="0" applyNumberFormat="1" applyFont="1" applyFill="1" applyAlignment="1">
      <alignment horizontal="left" wrapText="1"/>
    </xf>
    <xf numFmtId="0" fontId="13" fillId="13" borderId="0" xfId="2" applyFont="1" applyFill="1" applyAlignment="1">
      <alignment horizontal="center" vertical="center" wrapText="1"/>
    </xf>
    <xf numFmtId="0" fontId="24" fillId="0" borderId="0" xfId="0" applyFont="1"/>
    <xf numFmtId="0" fontId="25" fillId="0" borderId="0" xfId="0" applyFont="1" applyAlignment="1">
      <alignment vertical="center"/>
    </xf>
    <xf numFmtId="0" fontId="26" fillId="15" borderId="19" xfId="0" applyFont="1" applyFill="1" applyBorder="1" applyAlignment="1">
      <alignment horizontal="center" vertical="center" wrapText="1"/>
    </xf>
    <xf numFmtId="0" fontId="26" fillId="0" borderId="19" xfId="0" applyFont="1" applyBorder="1" applyAlignment="1">
      <alignment horizontal="center" vertical="center" wrapText="1"/>
    </xf>
    <xf numFmtId="0" fontId="26" fillId="15" borderId="21" xfId="0" applyFont="1" applyFill="1" applyBorder="1" applyAlignment="1">
      <alignment horizontal="center" vertical="center" wrapText="1"/>
    </xf>
    <xf numFmtId="3" fontId="26" fillId="0" borderId="19" xfId="0" applyNumberFormat="1" applyFont="1" applyBorder="1" applyAlignment="1">
      <alignment horizontal="center" vertical="center" wrapText="1"/>
    </xf>
    <xf numFmtId="0" fontId="26" fillId="7" borderId="20" xfId="0" applyFont="1" applyFill="1" applyBorder="1" applyAlignment="1">
      <alignment horizontal="center" vertical="center" wrapText="1"/>
    </xf>
    <xf numFmtId="0" fontId="24" fillId="9" borderId="19" xfId="0" applyFont="1" applyFill="1" applyBorder="1" applyAlignment="1">
      <alignment vertical="center" wrapText="1"/>
    </xf>
    <xf numFmtId="0" fontId="27" fillId="9" borderId="19" xfId="0" applyFont="1" applyFill="1" applyBorder="1" applyAlignment="1">
      <alignment horizontal="center" vertical="center" wrapText="1"/>
    </xf>
    <xf numFmtId="3" fontId="27" fillId="9" borderId="19" xfId="0" applyNumberFormat="1" applyFont="1" applyFill="1" applyBorder="1" applyAlignment="1">
      <alignment horizontal="center" vertical="center" wrapText="1"/>
    </xf>
    <xf numFmtId="0" fontId="28" fillId="16" borderId="22" xfId="0" applyFont="1" applyFill="1" applyBorder="1" applyAlignment="1">
      <alignment horizontal="center" vertical="center" wrapText="1"/>
    </xf>
    <xf numFmtId="0" fontId="28" fillId="16" borderId="26" xfId="0" applyFont="1" applyFill="1" applyBorder="1" applyAlignment="1">
      <alignment horizontal="center" vertical="center" wrapText="1"/>
    </xf>
    <xf numFmtId="0" fontId="24" fillId="9" borderId="19" xfId="0" applyFont="1" applyFill="1" applyBorder="1" applyAlignment="1">
      <alignment wrapText="1"/>
    </xf>
    <xf numFmtId="0" fontId="24" fillId="0" borderId="28" xfId="0" applyFont="1" applyBorder="1" applyAlignment="1">
      <alignment horizontal="center"/>
    </xf>
    <xf numFmtId="0" fontId="29" fillId="0" borderId="0" xfId="0" applyFont="1" applyAlignment="1">
      <alignment vertical="center"/>
    </xf>
    <xf numFmtId="0" fontId="13" fillId="6" borderId="1" xfId="3" applyFont="1" applyFill="1" applyBorder="1" applyAlignment="1">
      <alignment horizontal="center" vertical="center" wrapText="1"/>
    </xf>
    <xf numFmtId="0" fontId="28" fillId="17" borderId="33" xfId="0" applyFont="1" applyFill="1" applyBorder="1" applyAlignment="1">
      <alignment horizontal="left" vertical="center" wrapText="1" readingOrder="1"/>
    </xf>
    <xf numFmtId="0" fontId="26" fillId="18" borderId="34" xfId="0" applyFont="1" applyFill="1" applyBorder="1" applyAlignment="1">
      <alignment horizontal="left" vertical="center" wrapText="1" readingOrder="1"/>
    </xf>
    <xf numFmtId="0" fontId="10" fillId="19" borderId="35" xfId="0" applyFont="1" applyFill="1" applyBorder="1" applyAlignment="1">
      <alignment vertical="top" wrapText="1"/>
    </xf>
    <xf numFmtId="0" fontId="26" fillId="19" borderId="35" xfId="0" applyFont="1" applyFill="1" applyBorder="1" applyAlignment="1">
      <alignment horizontal="left" vertical="center" wrapText="1" readingOrder="1"/>
    </xf>
    <xf numFmtId="0" fontId="10" fillId="18" borderId="35" xfId="0" applyFont="1" applyFill="1" applyBorder="1" applyAlignment="1">
      <alignment vertical="top" wrapText="1"/>
    </xf>
    <xf numFmtId="0" fontId="26" fillId="18" borderId="35" xfId="0" applyFont="1" applyFill="1" applyBorder="1" applyAlignment="1">
      <alignment horizontal="left" vertical="center" wrapText="1" readingOrder="1"/>
    </xf>
    <xf numFmtId="0" fontId="26" fillId="18" borderId="36" xfId="0" applyFont="1" applyFill="1" applyBorder="1" applyAlignment="1">
      <alignment horizontal="left" vertical="center" wrapText="1" readingOrder="1"/>
    </xf>
    <xf numFmtId="10" fontId="11" fillId="0" borderId="1" xfId="2" applyNumberFormat="1" applyFont="1" applyBorder="1"/>
    <xf numFmtId="171" fontId="12" fillId="5" borderId="1" xfId="2" quotePrefix="1" applyNumberFormat="1" applyFont="1" applyFill="1" applyBorder="1" applyAlignment="1">
      <alignment horizontal="center"/>
    </xf>
    <xf numFmtId="174" fontId="11" fillId="0" borderId="1" xfId="2" applyNumberFormat="1" applyFont="1" applyBorder="1" applyAlignment="1">
      <alignment horizontal="center"/>
    </xf>
    <xf numFmtId="20" fontId="11" fillId="5" borderId="0" xfId="2" applyNumberFormat="1" applyFont="1" applyFill="1"/>
    <xf numFmtId="170" fontId="11" fillId="0" borderId="7" xfId="2" applyNumberFormat="1" applyFont="1" applyBorder="1" applyAlignment="1">
      <alignment horizontal="center"/>
    </xf>
    <xf numFmtId="168" fontId="12" fillId="0" borderId="12" xfId="2" applyNumberFormat="1" applyFont="1" applyBorder="1" applyAlignment="1">
      <alignment horizontal="center" vertical="center"/>
    </xf>
    <xf numFmtId="171" fontId="12" fillId="4" borderId="1" xfId="2" applyNumberFormat="1" applyFont="1" applyFill="1" applyBorder="1" applyAlignment="1">
      <alignment horizontal="center"/>
    </xf>
    <xf numFmtId="0" fontId="13" fillId="6" borderId="2" xfId="3" applyFont="1" applyFill="1" applyBorder="1" applyAlignment="1">
      <alignment vertical="center" wrapText="1"/>
    </xf>
    <xf numFmtId="0" fontId="13" fillId="13" borderId="0" xfId="3" applyFont="1" applyFill="1" applyAlignment="1">
      <alignment horizontal="center" vertical="center" wrapText="1"/>
    </xf>
    <xf numFmtId="0" fontId="13" fillId="13" borderId="2" xfId="3" applyFont="1" applyFill="1" applyBorder="1" applyAlignment="1">
      <alignment vertical="center" wrapText="1"/>
    </xf>
    <xf numFmtId="0" fontId="6" fillId="3" borderId="40" xfId="0" applyFont="1" applyFill="1" applyBorder="1" applyAlignment="1">
      <alignment horizontal="center"/>
    </xf>
    <xf numFmtId="0" fontId="0" fillId="4" borderId="0" xfId="0" applyFill="1" applyAlignment="1">
      <alignment horizontal="center" vertical="center"/>
    </xf>
    <xf numFmtId="0" fontId="23" fillId="4" borderId="0" xfId="0" applyFont="1" applyFill="1" applyAlignment="1">
      <alignment horizontal="center" vertical="center"/>
    </xf>
    <xf numFmtId="49" fontId="0" fillId="4" borderId="0" xfId="0" applyNumberFormat="1" applyFill="1" applyAlignment="1">
      <alignment horizontal="center" vertical="center" wrapText="1"/>
    </xf>
    <xf numFmtId="0" fontId="0" fillId="4" borderId="41" xfId="0" applyFill="1" applyBorder="1" applyAlignment="1">
      <alignment horizontal="center" vertical="center"/>
    </xf>
    <xf numFmtId="0" fontId="0" fillId="0" borderId="0" xfId="0" applyAlignment="1">
      <alignment vertical="center"/>
    </xf>
    <xf numFmtId="0" fontId="0" fillId="0" borderId="1" xfId="0" applyBorder="1"/>
    <xf numFmtId="0" fontId="0" fillId="0" borderId="1" xfId="0" applyBorder="1" applyAlignment="1">
      <alignment vertical="center"/>
    </xf>
    <xf numFmtId="0" fontId="1" fillId="0" borderId="0" xfId="0" applyFont="1" applyAlignment="1">
      <alignment vertical="center"/>
    </xf>
    <xf numFmtId="0" fontId="1" fillId="0" borderId="0" xfId="0" applyFont="1"/>
    <xf numFmtId="0" fontId="0" fillId="0" borderId="0" xfId="0" applyAlignment="1">
      <alignment horizontal="center" vertical="center"/>
    </xf>
    <xf numFmtId="0" fontId="0" fillId="0" borderId="1" xfId="0" applyBorder="1" applyAlignment="1">
      <alignment horizontal="center" vertical="center"/>
    </xf>
    <xf numFmtId="0" fontId="0" fillId="24" borderId="1" xfId="0" applyFill="1" applyBorder="1" applyAlignment="1">
      <alignment vertical="center"/>
    </xf>
    <xf numFmtId="0" fontId="0" fillId="24" borderId="1" xfId="0" applyFill="1" applyBorder="1"/>
    <xf numFmtId="0" fontId="1" fillId="24" borderId="1" xfId="0" applyFont="1" applyFill="1" applyBorder="1" applyAlignment="1">
      <alignment horizontal="center" vertical="center"/>
    </xf>
    <xf numFmtId="0" fontId="1" fillId="5" borderId="1" xfId="0" applyFont="1" applyFill="1" applyBorder="1"/>
    <xf numFmtId="0" fontId="0" fillId="0" borderId="32" xfId="0" applyBorder="1"/>
    <xf numFmtId="2" fontId="0" fillId="0" borderId="1" xfId="0" applyNumberFormat="1" applyBorder="1" applyAlignment="1">
      <alignment horizontal="left"/>
    </xf>
    <xf numFmtId="2" fontId="0" fillId="0" borderId="1" xfId="0" applyNumberFormat="1" applyBorder="1" applyAlignment="1">
      <alignment horizontal="left" vertical="top"/>
    </xf>
    <xf numFmtId="2" fontId="0" fillId="0" borderId="26" xfId="0" applyNumberFormat="1" applyBorder="1" applyAlignment="1">
      <alignment horizontal="left" vertical="top"/>
    </xf>
    <xf numFmtId="0" fontId="0" fillId="4" borderId="0" xfId="0" applyFill="1"/>
    <xf numFmtId="0" fontId="26" fillId="0" borderId="20" xfId="0" applyFont="1" applyBorder="1" applyAlignment="1">
      <alignment horizontal="center" vertical="center" wrapText="1"/>
    </xf>
    <xf numFmtId="0" fontId="26" fillId="14" borderId="19" xfId="0" applyFont="1" applyFill="1" applyBorder="1" applyAlignment="1">
      <alignment horizontal="center" vertical="center" wrapText="1"/>
    </xf>
    <xf numFmtId="0" fontId="28" fillId="16" borderId="26" xfId="0" applyFont="1" applyFill="1" applyBorder="1" applyAlignment="1">
      <alignment horizontal="center" vertical="center"/>
    </xf>
    <xf numFmtId="0" fontId="28" fillId="16" borderId="22" xfId="0" applyFont="1" applyFill="1" applyBorder="1" applyAlignment="1">
      <alignment horizontal="center" vertical="center"/>
    </xf>
    <xf numFmtId="0" fontId="28" fillId="17" borderId="33" xfId="0" applyFont="1" applyFill="1" applyBorder="1" applyAlignment="1">
      <alignment horizontal="left" vertical="center" readingOrder="1"/>
    </xf>
    <xf numFmtId="0" fontId="27" fillId="9" borderId="19" xfId="0" applyFont="1" applyFill="1" applyBorder="1" applyAlignment="1">
      <alignment horizontal="center" vertical="center"/>
    </xf>
    <xf numFmtId="3" fontId="27" fillId="9" borderId="19" xfId="0" applyNumberFormat="1" applyFont="1" applyFill="1" applyBorder="1" applyAlignment="1">
      <alignment horizontal="center" vertical="center"/>
    </xf>
    <xf numFmtId="0" fontId="24" fillId="9" borderId="19" xfId="0" applyFont="1" applyFill="1" applyBorder="1" applyAlignment="1">
      <alignment vertical="center"/>
    </xf>
    <xf numFmtId="0" fontId="26" fillId="18" borderId="34" xfId="0" applyFont="1" applyFill="1" applyBorder="1" applyAlignment="1">
      <alignment horizontal="left" vertical="center" readingOrder="1"/>
    </xf>
    <xf numFmtId="0" fontId="27" fillId="7" borderId="20" xfId="0" applyFont="1" applyFill="1" applyBorder="1" applyAlignment="1">
      <alignment horizontal="center" vertical="center"/>
    </xf>
    <xf numFmtId="0" fontId="10" fillId="19" borderId="35" xfId="0" applyFont="1" applyFill="1" applyBorder="1" applyAlignment="1">
      <alignment vertical="top"/>
    </xf>
    <xf numFmtId="0" fontId="26" fillId="19" borderId="35" xfId="0" applyFont="1" applyFill="1" applyBorder="1" applyAlignment="1">
      <alignment horizontal="left" vertical="center" readingOrder="1"/>
    </xf>
    <xf numFmtId="0" fontId="26" fillId="0" borderId="19" xfId="0" applyFont="1" applyBorder="1" applyAlignment="1">
      <alignment horizontal="center" vertical="center"/>
    </xf>
    <xf numFmtId="3" fontId="26" fillId="0" borderId="19" xfId="0" applyNumberFormat="1" applyFont="1" applyBorder="1" applyAlignment="1">
      <alignment horizontal="center" vertical="center"/>
    </xf>
    <xf numFmtId="0" fontId="26" fillId="0" borderId="28" xfId="0" applyFont="1" applyBorder="1" applyAlignment="1">
      <alignment horizontal="center" vertical="center"/>
    </xf>
    <xf numFmtId="0" fontId="10" fillId="18" borderId="35" xfId="0" applyFont="1" applyFill="1" applyBorder="1" applyAlignment="1">
      <alignment vertical="top"/>
    </xf>
    <xf numFmtId="0" fontId="26" fillId="18" borderId="35" xfId="0" applyFont="1" applyFill="1" applyBorder="1" applyAlignment="1">
      <alignment horizontal="left" vertical="center" readingOrder="1"/>
    </xf>
    <xf numFmtId="0" fontId="26" fillId="14" borderId="28" xfId="0" applyFont="1" applyFill="1" applyBorder="1" applyAlignment="1">
      <alignment horizontal="center" vertical="center"/>
    </xf>
    <xf numFmtId="0" fontId="27" fillId="9" borderId="26" xfId="0" applyFont="1" applyFill="1" applyBorder="1" applyAlignment="1">
      <alignment horizontal="center" vertical="center"/>
    </xf>
    <xf numFmtId="0" fontId="26" fillId="0" borderId="26" xfId="0" applyFont="1" applyBorder="1" applyAlignment="1">
      <alignment horizontal="center" vertical="center"/>
    </xf>
    <xf numFmtId="0" fontId="26" fillId="0" borderId="24" xfId="0" applyFont="1" applyBorder="1" applyAlignment="1">
      <alignment horizontal="center" vertical="center"/>
    </xf>
    <xf numFmtId="0" fontId="26" fillId="14" borderId="24" xfId="0" applyFont="1" applyFill="1" applyBorder="1" applyAlignment="1">
      <alignment horizontal="center" vertical="center"/>
    </xf>
    <xf numFmtId="0" fontId="26" fillId="14" borderId="26" xfId="0" applyFont="1" applyFill="1" applyBorder="1" applyAlignment="1">
      <alignment horizontal="center" vertical="center"/>
    </xf>
    <xf numFmtId="0" fontId="26" fillId="15" borderId="30" xfId="0" applyFont="1" applyFill="1" applyBorder="1" applyAlignment="1">
      <alignment horizontal="center" vertical="center"/>
    </xf>
    <xf numFmtId="0" fontId="26" fillId="15" borderId="21" xfId="0" applyFont="1" applyFill="1" applyBorder="1" applyAlignment="1">
      <alignment horizontal="center" vertical="center"/>
    </xf>
    <xf numFmtId="0" fontId="26" fillId="15" borderId="19" xfId="0" applyFont="1" applyFill="1" applyBorder="1" applyAlignment="1">
      <alignment horizontal="center" vertical="center"/>
    </xf>
    <xf numFmtId="0" fontId="11" fillId="27" borderId="1" xfId="2" applyFont="1" applyFill="1" applyBorder="1"/>
    <xf numFmtId="0" fontId="0" fillId="0" borderId="7" xfId="0" applyBorder="1" applyAlignment="1">
      <alignment horizontal="left" wrapText="1"/>
    </xf>
    <xf numFmtId="170" fontId="11" fillId="0" borderId="1" xfId="4" applyNumberFormat="1" applyFont="1" applyBorder="1" applyAlignment="1">
      <alignment horizontal="center"/>
    </xf>
    <xf numFmtId="171" fontId="12" fillId="5" borderId="1" xfId="0" applyNumberFormat="1" applyFont="1" applyFill="1" applyBorder="1" applyAlignment="1">
      <alignment horizontal="center"/>
    </xf>
    <xf numFmtId="0" fontId="11" fillId="0" borderId="1" xfId="4" applyFont="1" applyBorder="1"/>
    <xf numFmtId="171" fontId="12" fillId="5" borderId="1" xfId="0" quotePrefix="1" applyNumberFormat="1" applyFont="1" applyFill="1" applyBorder="1" applyAlignment="1">
      <alignment horizontal="center"/>
    </xf>
    <xf numFmtId="171" fontId="12" fillId="5" borderId="3" xfId="0" applyNumberFormat="1" applyFont="1" applyFill="1" applyBorder="1" applyAlignment="1">
      <alignment horizontal="center"/>
    </xf>
    <xf numFmtId="171" fontId="12" fillId="5" borderId="1" xfId="4" applyNumberFormat="1" applyFont="1" applyFill="1" applyBorder="1" applyAlignment="1">
      <alignment horizontal="center"/>
    </xf>
    <xf numFmtId="0" fontId="19" fillId="0" borderId="1" xfId="0" applyFont="1" applyBorder="1" applyAlignment="1">
      <alignment vertical="center" wrapText="1"/>
    </xf>
    <xf numFmtId="0" fontId="11" fillId="5" borderId="44" xfId="4" applyFont="1" applyFill="1" applyBorder="1"/>
    <xf numFmtId="0" fontId="11" fillId="5" borderId="0" xfId="4" applyFont="1" applyFill="1"/>
    <xf numFmtId="0" fontId="11" fillId="0" borderId="3" xfId="2" applyFont="1" applyBorder="1"/>
    <xf numFmtId="49" fontId="0" fillId="4" borderId="0" xfId="0" quotePrefix="1" applyNumberFormat="1" applyFill="1" applyAlignment="1">
      <alignment horizontal="left" vertical="top" wrapText="1"/>
    </xf>
    <xf numFmtId="0" fontId="11" fillId="0" borderId="1" xfId="2" applyFont="1" applyBorder="1" applyAlignment="1">
      <alignment horizontal="left" vertical="top" wrapText="1"/>
    </xf>
    <xf numFmtId="0" fontId="11" fillId="0" borderId="1" xfId="2" applyFont="1" applyBorder="1" applyAlignment="1">
      <alignment horizontal="left" vertical="top"/>
    </xf>
    <xf numFmtId="170" fontId="36" fillId="2" borderId="1" xfId="2" applyNumberFormat="1" applyFont="1" applyFill="1" applyBorder="1" applyAlignment="1">
      <alignment horizontal="left" vertical="top"/>
    </xf>
    <xf numFmtId="0" fontId="36" fillId="2" borderId="1" xfId="2" applyFont="1" applyFill="1" applyBorder="1" applyAlignment="1">
      <alignment horizontal="left" vertical="top"/>
    </xf>
    <xf numFmtId="0" fontId="35" fillId="6" borderId="0" xfId="2" applyFont="1" applyFill="1" applyAlignment="1">
      <alignment horizontal="center" vertical="center" wrapText="1"/>
    </xf>
    <xf numFmtId="173" fontId="11" fillId="27" borderId="1" xfId="2" applyNumberFormat="1" applyFont="1" applyFill="1" applyBorder="1" applyAlignment="1">
      <alignment horizontal="center" vertical="center" wrapText="1"/>
    </xf>
    <xf numFmtId="171" fontId="12" fillId="27" borderId="10" xfId="2" applyNumberFormat="1" applyFont="1" applyFill="1" applyBorder="1" applyAlignment="1">
      <alignment horizontal="center"/>
    </xf>
    <xf numFmtId="171" fontId="12" fillId="27" borderId="1" xfId="2" applyNumberFormat="1" applyFont="1" applyFill="1" applyBorder="1" applyAlignment="1">
      <alignment horizontal="center"/>
    </xf>
    <xf numFmtId="0" fontId="11" fillId="28" borderId="1" xfId="2" applyFont="1" applyFill="1" applyBorder="1"/>
    <xf numFmtId="0" fontId="13" fillId="6" borderId="0" xfId="3" applyFont="1" applyFill="1" applyAlignment="1">
      <alignment vertical="center" wrapText="1"/>
    </xf>
    <xf numFmtId="0" fontId="11" fillId="0" borderId="11" xfId="3" applyFont="1" applyBorder="1" applyAlignment="1">
      <alignment horizontal="left"/>
    </xf>
    <xf numFmtId="0" fontId="11" fillId="0" borderId="1" xfId="3" applyFont="1" applyBorder="1" applyAlignment="1">
      <alignment horizontal="left"/>
    </xf>
    <xf numFmtId="0" fontId="11" fillId="5" borderId="0" xfId="3" applyFont="1" applyFill="1" applyAlignment="1">
      <alignment horizontal="left"/>
    </xf>
    <xf numFmtId="0" fontId="15" fillId="0" borderId="11" xfId="3" applyFont="1" applyBorder="1" applyAlignment="1">
      <alignment horizontal="left"/>
    </xf>
    <xf numFmtId="0" fontId="15" fillId="0" borderId="1" xfId="3" applyFont="1" applyBorder="1" applyAlignment="1">
      <alignment horizontal="left"/>
    </xf>
    <xf numFmtId="0" fontId="11" fillId="24" borderId="1" xfId="4" applyFont="1" applyFill="1" applyBorder="1" applyAlignment="1">
      <alignment horizontal="left"/>
    </xf>
    <xf numFmtId="0" fontId="13" fillId="6" borderId="2" xfId="3" applyFont="1" applyFill="1" applyBorder="1" applyAlignment="1">
      <alignment horizontal="left" vertical="center" wrapText="1"/>
    </xf>
    <xf numFmtId="0" fontId="13" fillId="6" borderId="0" xfId="3" applyFont="1" applyFill="1" applyAlignment="1">
      <alignment horizontal="left" vertical="center" wrapText="1"/>
    </xf>
    <xf numFmtId="170" fontId="36" fillId="2" borderId="0" xfId="3" applyNumberFormat="1" applyFont="1" applyFill="1" applyAlignment="1">
      <alignment horizontal="left"/>
    </xf>
    <xf numFmtId="0" fontId="36" fillId="2" borderId="0" xfId="3" applyFont="1" applyFill="1" applyAlignment="1">
      <alignment horizontal="left"/>
    </xf>
    <xf numFmtId="0" fontId="18" fillId="2" borderId="45" xfId="3" applyFont="1" applyFill="1" applyBorder="1" applyAlignment="1">
      <alignment vertical="center" wrapText="1"/>
    </xf>
    <xf numFmtId="0" fontId="11" fillId="24" borderId="4" xfId="4" applyFont="1" applyFill="1" applyBorder="1" applyAlignment="1">
      <alignment horizontal="left"/>
    </xf>
    <xf numFmtId="0" fontId="5" fillId="9" borderId="43" xfId="3" applyFont="1" applyFill="1" applyBorder="1" applyAlignment="1">
      <alignment vertical="center" wrapText="1"/>
    </xf>
    <xf numFmtId="0" fontId="11" fillId="24" borderId="1" xfId="3" applyFont="1" applyFill="1" applyBorder="1" applyAlignment="1">
      <alignment horizontal="left"/>
    </xf>
    <xf numFmtId="0" fontId="38" fillId="29" borderId="50" xfId="0" applyFont="1" applyFill="1" applyBorder="1" applyAlignment="1">
      <alignment horizontal="center" vertical="center" wrapText="1"/>
    </xf>
    <xf numFmtId="0" fontId="24" fillId="0" borderId="0" xfId="0" applyFont="1" applyAlignment="1">
      <alignment wrapText="1"/>
    </xf>
    <xf numFmtId="0" fontId="38" fillId="29" borderId="26" xfId="0" applyFont="1" applyFill="1" applyBorder="1" applyAlignment="1">
      <alignment horizontal="center" vertical="center" wrapText="1"/>
    </xf>
    <xf numFmtId="0" fontId="38" fillId="29" borderId="51" xfId="0" applyFont="1" applyFill="1" applyBorder="1" applyAlignment="1">
      <alignment horizontal="center" vertical="center" wrapText="1"/>
    </xf>
    <xf numFmtId="0" fontId="38" fillId="29" borderId="52" xfId="0" applyFont="1" applyFill="1" applyBorder="1" applyAlignment="1">
      <alignment horizontal="center" vertical="center" wrapText="1"/>
    </xf>
    <xf numFmtId="0" fontId="38" fillId="29" borderId="53" xfId="0" applyFont="1" applyFill="1" applyBorder="1" applyAlignment="1">
      <alignment horizontal="center" vertical="center" wrapText="1"/>
    </xf>
    <xf numFmtId="0" fontId="38" fillId="29" borderId="20" xfId="0" applyFont="1" applyFill="1" applyBorder="1" applyAlignment="1">
      <alignment horizontal="center" vertical="center" wrapText="1"/>
    </xf>
    <xf numFmtId="0" fontId="0" fillId="0" borderId="16" xfId="0" applyBorder="1" applyAlignment="1">
      <alignment horizontal="left"/>
    </xf>
    <xf numFmtId="0" fontId="0" fillId="0" borderId="55" xfId="0" applyBorder="1" applyAlignment="1">
      <alignment horizontal="left"/>
    </xf>
    <xf numFmtId="0" fontId="0" fillId="0" borderId="56" xfId="0" applyBorder="1" applyAlignment="1">
      <alignment horizontal="left"/>
    </xf>
    <xf numFmtId="0" fontId="0" fillId="0" borderId="14" xfId="0" applyBorder="1" applyAlignment="1">
      <alignment horizontal="left"/>
    </xf>
    <xf numFmtId="2" fontId="0" fillId="0" borderId="58" xfId="0" applyNumberFormat="1" applyBorder="1" applyAlignment="1">
      <alignment horizontal="left"/>
    </xf>
    <xf numFmtId="2" fontId="0" fillId="0" borderId="55" xfId="0" applyNumberFormat="1" applyBorder="1" applyAlignment="1">
      <alignment horizontal="left"/>
    </xf>
    <xf numFmtId="0" fontId="0" fillId="0" borderId="16" xfId="0" applyBorder="1" applyAlignment="1">
      <alignment horizontal="left" vertical="top"/>
    </xf>
    <xf numFmtId="2" fontId="0" fillId="0" borderId="55" xfId="0" applyNumberFormat="1" applyBorder="1" applyAlignment="1">
      <alignment horizontal="left" vertical="top"/>
    </xf>
    <xf numFmtId="2" fontId="0" fillId="0" borderId="59" xfId="0" applyNumberFormat="1" applyBorder="1" applyAlignment="1">
      <alignment horizontal="left" vertical="top"/>
    </xf>
    <xf numFmtId="0" fontId="0" fillId="0" borderId="56" xfId="0" applyBorder="1" applyAlignment="1">
      <alignment horizontal="left" vertical="top"/>
    </xf>
    <xf numFmtId="0" fontId="0" fillId="0" borderId="14" xfId="0" applyBorder="1" applyAlignment="1">
      <alignment horizontal="left" vertical="top"/>
    </xf>
    <xf numFmtId="2" fontId="0" fillId="0" borderId="58" xfId="0" applyNumberFormat="1" applyBorder="1" applyAlignment="1">
      <alignment horizontal="left" vertical="top"/>
    </xf>
    <xf numFmtId="2" fontId="0" fillId="0" borderId="61" xfId="0" applyNumberFormat="1" applyBorder="1" applyAlignment="1">
      <alignment horizontal="left" vertical="top"/>
    </xf>
    <xf numFmtId="2" fontId="0" fillId="0" borderId="13" xfId="0" applyNumberFormat="1" applyBorder="1" applyAlignment="1">
      <alignment horizontal="left" vertical="top"/>
    </xf>
    <xf numFmtId="2" fontId="0" fillId="0" borderId="57" xfId="0" applyNumberFormat="1" applyBorder="1" applyAlignment="1">
      <alignment horizontal="left" vertical="top"/>
    </xf>
    <xf numFmtId="0" fontId="39" fillId="0" borderId="62" xfId="0" applyFont="1" applyBorder="1" applyAlignment="1">
      <alignment horizontal="center" vertical="center" wrapText="1"/>
    </xf>
    <xf numFmtId="0" fontId="39" fillId="0" borderId="63" xfId="0" applyFont="1" applyBorder="1" applyAlignment="1">
      <alignment horizontal="center" vertical="center" wrapText="1"/>
    </xf>
    <xf numFmtId="171" fontId="12" fillId="24" borderId="12" xfId="2" applyNumberFormat="1" applyFont="1" applyFill="1" applyBorder="1" applyAlignment="1">
      <alignment horizontal="center"/>
    </xf>
    <xf numFmtId="171" fontId="12" fillId="24" borderId="10" xfId="2" applyNumberFormat="1" applyFont="1" applyFill="1" applyBorder="1" applyAlignment="1">
      <alignment horizontal="center"/>
    </xf>
    <xf numFmtId="171" fontId="12" fillId="24" borderId="10" xfId="2" quotePrefix="1" applyNumberFormat="1" applyFont="1" applyFill="1" applyBorder="1" applyAlignment="1">
      <alignment horizontal="center"/>
    </xf>
    <xf numFmtId="170" fontId="11" fillId="0" borderId="57" xfId="2" applyNumberFormat="1" applyFont="1" applyBorder="1" applyAlignment="1">
      <alignment horizontal="center"/>
    </xf>
    <xf numFmtId="0" fontId="11" fillId="0" borderId="56" xfId="0" applyFont="1" applyBorder="1"/>
    <xf numFmtId="0" fontId="15" fillId="0" borderId="56" xfId="0" applyFont="1" applyBorder="1"/>
    <xf numFmtId="0" fontId="11" fillId="0" borderId="64" xfId="2" applyFont="1" applyBorder="1"/>
    <xf numFmtId="0" fontId="11" fillId="0" borderId="1" xfId="2" applyFont="1" applyBorder="1" applyAlignment="1">
      <alignment vertical="top"/>
    </xf>
    <xf numFmtId="0" fontId="0" fillId="0" borderId="0" xfId="0" applyAlignment="1">
      <alignment horizontal="left" vertical="top"/>
    </xf>
    <xf numFmtId="168" fontId="0" fillId="4" borderId="0" xfId="0" applyNumberFormat="1" applyFill="1" applyAlignment="1">
      <alignment horizontal="center" vertical="center"/>
    </xf>
    <xf numFmtId="169" fontId="23" fillId="23" borderId="0" xfId="0" applyNumberFormat="1" applyFont="1" applyFill="1" applyAlignment="1">
      <alignment horizontal="center" vertical="center" wrapText="1"/>
    </xf>
    <xf numFmtId="170" fontId="12" fillId="0" borderId="13" xfId="2" applyNumberFormat="1" applyFont="1" applyBorder="1" applyAlignment="1">
      <alignment horizontal="left"/>
    </xf>
    <xf numFmtId="0" fontId="41" fillId="0" borderId="1" xfId="0" applyFont="1" applyBorder="1"/>
    <xf numFmtId="173" fontId="11" fillId="0" borderId="1" xfId="2" applyNumberFormat="1" applyFont="1" applyBorder="1" applyAlignment="1">
      <alignment horizontal="left" vertical="center" wrapText="1"/>
    </xf>
    <xf numFmtId="170" fontId="11" fillId="5" borderId="0" xfId="3" quotePrefix="1" applyNumberFormat="1" applyFont="1" applyFill="1"/>
    <xf numFmtId="170" fontId="36" fillId="2" borderId="4" xfId="2" applyNumberFormat="1" applyFont="1" applyFill="1" applyBorder="1" applyAlignment="1">
      <alignment horizontal="left" vertical="top"/>
    </xf>
    <xf numFmtId="49" fontId="0" fillId="4" borderId="41" xfId="0" quotePrefix="1" applyNumberFormat="1" applyFill="1" applyBorder="1" applyAlignment="1">
      <alignment horizontal="left" wrapText="1"/>
    </xf>
    <xf numFmtId="49" fontId="0" fillId="4" borderId="66" xfId="0" quotePrefix="1" applyNumberFormat="1" applyFill="1" applyBorder="1" applyAlignment="1">
      <alignment horizontal="left" wrapText="1"/>
    </xf>
    <xf numFmtId="49" fontId="0" fillId="4" borderId="66" xfId="0" applyNumberFormat="1" applyFill="1" applyBorder="1" applyAlignment="1">
      <alignment horizontal="left" vertical="top" wrapText="1"/>
    </xf>
    <xf numFmtId="49" fontId="0" fillId="4" borderId="66" xfId="0" applyNumberFormat="1" applyFill="1" applyBorder="1" applyAlignment="1">
      <alignment wrapText="1"/>
    </xf>
    <xf numFmtId="168" fontId="0" fillId="4" borderId="66" xfId="0" applyNumberFormat="1" applyFill="1" applyBorder="1" applyAlignment="1">
      <alignment horizontal="center" vertical="center"/>
    </xf>
    <xf numFmtId="49" fontId="0" fillId="4" borderId="66" xfId="0" quotePrefix="1" applyNumberFormat="1" applyFill="1" applyBorder="1" applyAlignment="1">
      <alignment horizontal="left" vertical="top" wrapText="1"/>
    </xf>
    <xf numFmtId="49" fontId="23" fillId="4" borderId="66" xfId="0" applyNumberFormat="1" applyFont="1" applyFill="1" applyBorder="1" applyAlignment="1">
      <alignment horizontal="left" wrapText="1"/>
    </xf>
    <xf numFmtId="168" fontId="23" fillId="4" borderId="0" xfId="0" applyNumberFormat="1" applyFont="1" applyFill="1" applyAlignment="1">
      <alignment horizontal="center" vertical="center"/>
    </xf>
    <xf numFmtId="0" fontId="15" fillId="0" borderId="56" xfId="0" applyFont="1" applyBorder="1" applyAlignment="1">
      <alignment horizontal="left"/>
    </xf>
    <xf numFmtId="2" fontId="36" fillId="2" borderId="1" xfId="2" applyNumberFormat="1" applyFont="1" applyFill="1" applyBorder="1" applyAlignment="1">
      <alignment vertical="top"/>
    </xf>
    <xf numFmtId="169" fontId="23" fillId="23" borderId="66" xfId="0" applyNumberFormat="1" applyFont="1" applyFill="1" applyBorder="1" applyAlignment="1">
      <alignment horizontal="center" vertical="center" wrapText="1"/>
    </xf>
    <xf numFmtId="0" fontId="0" fillId="4" borderId="66" xfId="0" applyFill="1" applyBorder="1" applyAlignment="1">
      <alignment horizontal="center" vertical="center"/>
    </xf>
    <xf numFmtId="168" fontId="23" fillId="4" borderId="41" xfId="0" applyNumberFormat="1" applyFont="1" applyFill="1" applyBorder="1" applyAlignment="1">
      <alignment horizontal="center" vertical="center"/>
    </xf>
    <xf numFmtId="168" fontId="23" fillId="4" borderId="66" xfId="0" applyNumberFormat="1" applyFont="1" applyFill="1" applyBorder="1" applyAlignment="1">
      <alignment horizontal="center" vertical="center"/>
    </xf>
    <xf numFmtId="168" fontId="12" fillId="5" borderId="12" xfId="2" applyNumberFormat="1" applyFont="1" applyFill="1" applyBorder="1" applyAlignment="1">
      <alignment horizontal="center" vertical="center"/>
    </xf>
    <xf numFmtId="170" fontId="12" fillId="5" borderId="39" xfId="2" applyNumberFormat="1" applyFont="1" applyFill="1" applyBorder="1" applyAlignment="1">
      <alignment horizontal="center" vertical="center"/>
    </xf>
    <xf numFmtId="0" fontId="5" fillId="8" borderId="1" xfId="2" applyFont="1" applyFill="1" applyBorder="1" applyAlignment="1">
      <alignment vertical="center" wrapText="1"/>
    </xf>
    <xf numFmtId="171" fontId="12" fillId="15" borderId="1" xfId="2" applyNumberFormat="1" applyFont="1" applyFill="1" applyBorder="1" applyAlignment="1">
      <alignment horizontal="center"/>
    </xf>
    <xf numFmtId="2" fontId="11" fillId="5" borderId="0" xfId="2" applyNumberFormat="1" applyFont="1" applyFill="1"/>
    <xf numFmtId="0" fontId="43" fillId="0" borderId="56" xfId="2" applyFont="1" applyBorder="1"/>
    <xf numFmtId="0" fontId="11" fillId="0" borderId="1" xfId="0" applyFont="1" applyBorder="1"/>
    <xf numFmtId="0" fontId="15" fillId="0" borderId="56" xfId="0" applyFont="1" applyBorder="1" applyAlignment="1">
      <alignment horizontal="left" vertical="top"/>
    </xf>
    <xf numFmtId="2" fontId="36" fillId="2" borderId="1" xfId="2" applyNumberFormat="1" applyFont="1" applyFill="1" applyBorder="1" applyAlignment="1">
      <alignment horizontal="left" vertical="top"/>
    </xf>
    <xf numFmtId="0" fontId="11" fillId="5" borderId="0" xfId="0" applyFont="1" applyFill="1"/>
    <xf numFmtId="0" fontId="5" fillId="8" borderId="1" xfId="2" applyFont="1" applyFill="1" applyBorder="1" applyAlignment="1">
      <alignment horizontal="left" vertical="top" wrapText="1"/>
    </xf>
    <xf numFmtId="0" fontId="44" fillId="8" borderId="1" xfId="0" applyFont="1" applyFill="1" applyBorder="1" applyAlignment="1">
      <alignment horizontal="left" vertical="top" wrapText="1"/>
    </xf>
    <xf numFmtId="0" fontId="44" fillId="0" borderId="1" xfId="0" applyFont="1" applyBorder="1" applyAlignment="1">
      <alignment horizontal="left" vertical="top" wrapText="1"/>
    </xf>
    <xf numFmtId="171" fontId="12" fillId="15" borderId="1" xfId="0" applyNumberFormat="1" applyFont="1" applyFill="1" applyBorder="1" applyAlignment="1">
      <alignment horizontal="center"/>
    </xf>
    <xf numFmtId="170" fontId="11" fillId="0" borderId="1" xfId="0" applyNumberFormat="1" applyFont="1" applyBorder="1" applyAlignment="1">
      <alignment horizontal="center"/>
    </xf>
    <xf numFmtId="0" fontId="44" fillId="8" borderId="1" xfId="0" applyFont="1" applyFill="1" applyBorder="1" applyAlignment="1">
      <alignment vertical="center" wrapText="1"/>
    </xf>
    <xf numFmtId="170" fontId="36" fillId="2" borderId="0" xfId="2" applyNumberFormat="1" applyFont="1" applyFill="1"/>
    <xf numFmtId="2" fontId="5" fillId="8" borderId="11" xfId="2" applyNumberFormat="1" applyFont="1" applyFill="1" applyBorder="1" applyAlignment="1">
      <alignment vertical="center" wrapText="1"/>
    </xf>
    <xf numFmtId="2" fontId="44" fillId="0" borderId="1" xfId="0" applyNumberFormat="1" applyFont="1" applyBorder="1"/>
    <xf numFmtId="2" fontId="42" fillId="0" borderId="11" xfId="2" applyNumberFormat="1" applyFont="1" applyBorder="1" applyAlignment="1">
      <alignment vertical="center" wrapText="1"/>
    </xf>
    <xf numFmtId="0" fontId="45" fillId="6" borderId="1" xfId="2" applyFont="1" applyFill="1" applyBorder="1" applyAlignment="1">
      <alignment horizontal="center" vertical="center" wrapText="1"/>
    </xf>
    <xf numFmtId="0" fontId="13" fillId="6" borderId="2" xfId="2" applyFont="1" applyFill="1" applyBorder="1" applyAlignment="1">
      <alignment vertical="center" wrapText="1"/>
    </xf>
    <xf numFmtId="0" fontId="35" fillId="6" borderId="1" xfId="0" applyFont="1" applyFill="1" applyBorder="1" applyAlignment="1">
      <alignment vertical="center" wrapText="1"/>
    </xf>
    <xf numFmtId="175" fontId="42" fillId="0" borderId="1" xfId="2" applyNumberFormat="1" applyFont="1" applyBorder="1" applyAlignment="1">
      <alignment vertical="center" wrapText="1"/>
    </xf>
    <xf numFmtId="175" fontId="0" fillId="0" borderId="1" xfId="0" applyNumberFormat="1" applyBorder="1"/>
    <xf numFmtId="175" fontId="5" fillId="8" borderId="1" xfId="2" applyNumberFormat="1" applyFont="1" applyFill="1" applyBorder="1" applyAlignment="1">
      <alignment vertical="center" wrapText="1"/>
    </xf>
    <xf numFmtId="175" fontId="35" fillId="2" borderId="1" xfId="0" applyNumberFormat="1" applyFont="1" applyFill="1" applyBorder="1" applyAlignment="1">
      <alignment vertical="center" wrapText="1"/>
    </xf>
    <xf numFmtId="175" fontId="11" fillId="2" borderId="0" xfId="0" applyNumberFormat="1" applyFont="1" applyFill="1"/>
    <xf numFmtId="175" fontId="13" fillId="6" borderId="1" xfId="2" applyNumberFormat="1" applyFont="1" applyFill="1" applyBorder="1" applyAlignment="1">
      <alignment horizontal="left" vertical="center" wrapText="1"/>
    </xf>
    <xf numFmtId="175" fontId="36" fillId="2" borderId="0" xfId="2" applyNumberFormat="1" applyFont="1" applyFill="1"/>
    <xf numFmtId="0" fontId="5" fillId="8" borderId="1" xfId="0" applyFont="1" applyFill="1" applyBorder="1" applyAlignment="1">
      <alignment vertical="center" wrapText="1"/>
    </xf>
    <xf numFmtId="168" fontId="12" fillId="28" borderId="12" xfId="2" applyNumberFormat="1" applyFont="1" applyFill="1" applyBorder="1" applyAlignment="1">
      <alignment horizontal="center" vertical="center"/>
    </xf>
    <xf numFmtId="170" fontId="12" fillId="28" borderId="39" xfId="2" applyNumberFormat="1" applyFont="1" applyFill="1" applyBorder="1" applyAlignment="1">
      <alignment horizontal="center" vertical="center"/>
    </xf>
    <xf numFmtId="0" fontId="46" fillId="0" borderId="1" xfId="0" applyFont="1" applyBorder="1" applyAlignment="1">
      <alignment horizontal="left" vertical="top" wrapText="1"/>
    </xf>
    <xf numFmtId="0" fontId="46" fillId="8" borderId="1" xfId="2" applyFont="1" applyFill="1" applyBorder="1" applyAlignment="1">
      <alignment horizontal="left" vertical="top" wrapText="1"/>
    </xf>
    <xf numFmtId="0" fontId="46" fillId="8" borderId="1" xfId="0" applyFont="1" applyFill="1" applyBorder="1" applyAlignment="1">
      <alignment horizontal="left" vertical="top" wrapText="1"/>
    </xf>
    <xf numFmtId="0" fontId="46" fillId="8" borderId="1" xfId="0" applyFont="1" applyFill="1" applyBorder="1" applyAlignment="1">
      <alignment vertical="center" wrapText="1"/>
    </xf>
    <xf numFmtId="0" fontId="43" fillId="0" borderId="1" xfId="0" applyFont="1" applyBorder="1"/>
    <xf numFmtId="169" fontId="23" fillId="23" borderId="41" xfId="0" applyNumberFormat="1" applyFont="1" applyFill="1" applyBorder="1" applyAlignment="1">
      <alignment horizontal="center" vertical="center" wrapText="1"/>
    </xf>
    <xf numFmtId="166" fontId="12" fillId="0" borderId="1" xfId="2" applyNumberFormat="1" applyFont="1" applyBorder="1" applyAlignment="1">
      <alignment horizontal="center"/>
    </xf>
    <xf numFmtId="174" fontId="11" fillId="5" borderId="0" xfId="2" applyNumberFormat="1" applyFont="1" applyFill="1"/>
    <xf numFmtId="0" fontId="23" fillId="4" borderId="66" xfId="0" applyFont="1" applyFill="1" applyBorder="1" applyAlignment="1">
      <alignment horizontal="center" vertical="center"/>
    </xf>
    <xf numFmtId="169" fontId="1" fillId="20" borderId="2" xfId="0" applyNumberFormat="1" applyFont="1" applyFill="1" applyBorder="1" applyAlignment="1">
      <alignment horizontal="center" vertical="center" wrapText="1"/>
    </xf>
    <xf numFmtId="169" fontId="0" fillId="23" borderId="0" xfId="0" applyNumberFormat="1" applyFill="1" applyAlignment="1">
      <alignment horizontal="center" vertical="center" wrapText="1"/>
    </xf>
    <xf numFmtId="169" fontId="0" fillId="21" borderId="8" xfId="0" applyNumberFormat="1" applyFill="1" applyBorder="1" applyAlignment="1">
      <alignment horizontal="center" vertical="center"/>
    </xf>
    <xf numFmtId="169" fontId="23" fillId="21" borderId="8" xfId="0" applyNumberFormat="1" applyFont="1" applyFill="1" applyBorder="1" applyAlignment="1">
      <alignment horizontal="center" vertical="center"/>
    </xf>
    <xf numFmtId="169" fontId="23" fillId="23" borderId="8" xfId="0" applyNumberFormat="1" applyFont="1" applyFill="1" applyBorder="1" applyAlignment="1">
      <alignment horizontal="center" vertical="center" wrapText="1"/>
    </xf>
    <xf numFmtId="169" fontId="23" fillId="22" borderId="8" xfId="0" applyNumberFormat="1" applyFont="1" applyFill="1" applyBorder="1" applyAlignment="1">
      <alignment horizontal="center" vertical="center"/>
    </xf>
    <xf numFmtId="169" fontId="0" fillId="0" borderId="0" xfId="0" applyNumberFormat="1" applyAlignment="1">
      <alignment horizontal="center" vertical="center" wrapText="1"/>
    </xf>
    <xf numFmtId="0" fontId="1" fillId="0" borderId="2" xfId="0" applyFont="1" applyBorder="1" applyAlignment="1">
      <alignment horizontal="center" vertical="center"/>
    </xf>
    <xf numFmtId="49" fontId="0" fillId="4" borderId="0" xfId="0" applyNumberFormat="1" applyFill="1" applyAlignment="1">
      <alignment horizontal="center" vertical="center"/>
    </xf>
    <xf numFmtId="168" fontId="1" fillId="0" borderId="2" xfId="0" applyNumberFormat="1" applyFont="1" applyBorder="1" applyAlignment="1">
      <alignment horizontal="center" vertical="center"/>
    </xf>
    <xf numFmtId="168" fontId="0" fillId="4" borderId="41" xfId="0" applyNumberFormat="1" applyFill="1" applyBorder="1" applyAlignment="1">
      <alignment horizontal="center" vertical="center"/>
    </xf>
    <xf numFmtId="168" fontId="0" fillId="0" borderId="0" xfId="0" applyNumberFormat="1" applyAlignment="1">
      <alignment horizontal="center" vertical="center"/>
    </xf>
    <xf numFmtId="169" fontId="0" fillId="4" borderId="0" xfId="0" applyNumberFormat="1" applyFill="1" applyAlignment="1">
      <alignment horizontal="center" vertical="center" wrapText="1"/>
    </xf>
    <xf numFmtId="49" fontId="23" fillId="4" borderId="0" xfId="0" applyNumberFormat="1" applyFont="1" applyFill="1" applyAlignment="1">
      <alignment horizontal="center" vertical="center" wrapText="1"/>
    </xf>
    <xf numFmtId="171" fontId="12" fillId="5" borderId="68" xfId="0" applyNumberFormat="1" applyFont="1" applyFill="1" applyBorder="1" applyAlignment="1">
      <alignment horizontal="center"/>
    </xf>
    <xf numFmtId="171" fontId="12" fillId="5" borderId="69" xfId="0" applyNumberFormat="1" applyFont="1" applyFill="1" applyBorder="1" applyAlignment="1">
      <alignment horizontal="center"/>
    </xf>
    <xf numFmtId="171" fontId="12" fillId="5" borderId="69" xfId="0" quotePrefix="1" applyNumberFormat="1" applyFont="1" applyFill="1" applyBorder="1" applyAlignment="1">
      <alignment horizontal="center"/>
    </xf>
    <xf numFmtId="170" fontId="11" fillId="0" borderId="60" xfId="2" applyNumberFormat="1" applyFont="1" applyBorder="1" applyAlignment="1">
      <alignment horizontal="center"/>
    </xf>
    <xf numFmtId="170" fontId="11" fillId="0" borderId="60" xfId="2" quotePrefix="1" applyNumberFormat="1" applyFont="1" applyBorder="1" applyAlignment="1">
      <alignment horizontal="center"/>
    </xf>
    <xf numFmtId="173" fontId="11" fillId="0" borderId="57" xfId="2" applyNumberFormat="1" applyFont="1" applyBorder="1" applyAlignment="1">
      <alignment horizontal="left" vertical="center" wrapText="1"/>
    </xf>
    <xf numFmtId="0" fontId="15" fillId="0" borderId="1" xfId="0" applyFont="1" applyBorder="1"/>
    <xf numFmtId="0" fontId="11" fillId="0" borderId="1" xfId="0" applyFont="1" applyBorder="1" applyAlignment="1">
      <alignment wrapText="1"/>
    </xf>
    <xf numFmtId="173" fontId="11" fillId="24" borderId="1" xfId="2" applyNumberFormat="1" applyFont="1" applyFill="1" applyBorder="1" applyAlignment="1">
      <alignment horizontal="center" vertical="center" wrapText="1"/>
    </xf>
    <xf numFmtId="170" fontId="11" fillId="24" borderId="1" xfId="2" applyNumberFormat="1" applyFont="1" applyFill="1" applyBorder="1" applyAlignment="1">
      <alignment horizontal="center"/>
    </xf>
    <xf numFmtId="165" fontId="11" fillId="0" borderId="1" xfId="0" applyNumberFormat="1" applyFont="1" applyBorder="1" applyAlignment="1">
      <alignment horizontal="left"/>
    </xf>
    <xf numFmtId="173" fontId="11" fillId="0" borderId="1" xfId="0" applyNumberFormat="1" applyFont="1" applyBorder="1" applyAlignment="1">
      <alignment horizontal="left"/>
    </xf>
    <xf numFmtId="171" fontId="12" fillId="24" borderId="1" xfId="0" quotePrefix="1" applyNumberFormat="1" applyFont="1" applyFill="1" applyBorder="1" applyAlignment="1">
      <alignment horizontal="center"/>
    </xf>
    <xf numFmtId="171" fontId="12" fillId="4" borderId="1" xfId="0" applyNumberFormat="1" applyFont="1" applyFill="1" applyBorder="1" applyAlignment="1">
      <alignment horizontal="center"/>
    </xf>
    <xf numFmtId="0" fontId="13" fillId="6" borderId="1" xfId="2" applyFont="1" applyFill="1" applyBorder="1" applyAlignment="1">
      <alignment vertical="center" wrapText="1"/>
    </xf>
    <xf numFmtId="170" fontId="11" fillId="0" borderId="3" xfId="2" applyNumberFormat="1" applyFont="1" applyBorder="1" applyAlignment="1">
      <alignment horizontal="center"/>
    </xf>
    <xf numFmtId="173" fontId="11" fillId="0" borderId="4" xfId="2" applyNumberFormat="1" applyFont="1" applyBorder="1" applyAlignment="1">
      <alignment horizontal="center" vertical="center" wrapText="1"/>
    </xf>
    <xf numFmtId="170" fontId="11" fillId="0" borderId="4" xfId="2" applyNumberFormat="1" applyFont="1" applyBorder="1" applyAlignment="1">
      <alignment horizontal="center"/>
    </xf>
    <xf numFmtId="170" fontId="11" fillId="0" borderId="1" xfId="2" applyNumberFormat="1" applyFont="1" applyBorder="1" applyAlignment="1">
      <alignment horizontal="center" vertical="center" wrapText="1"/>
    </xf>
    <xf numFmtId="0" fontId="5" fillId="0" borderId="1" xfId="2" applyFont="1" applyBorder="1" applyAlignment="1">
      <alignment vertical="center" wrapText="1"/>
    </xf>
    <xf numFmtId="0" fontId="47" fillId="8" borderId="1" xfId="0" applyFont="1" applyFill="1" applyBorder="1" applyAlignment="1">
      <alignment vertical="center" wrapText="1"/>
    </xf>
    <xf numFmtId="0" fontId="47" fillId="0" borderId="1" xfId="2" applyFont="1" applyBorder="1" applyAlignment="1">
      <alignment vertical="center" wrapText="1"/>
    </xf>
    <xf numFmtId="0" fontId="0" fillId="4" borderId="66" xfId="0" applyFill="1" applyBorder="1" applyAlignment="1">
      <alignment horizontal="center" vertical="center" wrapText="1"/>
    </xf>
    <xf numFmtId="175" fontId="0" fillId="0" borderId="11" xfId="0" applyNumberFormat="1" applyBorder="1"/>
    <xf numFmtId="175" fontId="48" fillId="0" borderId="11" xfId="0" applyNumberFormat="1" applyFont="1" applyBorder="1"/>
    <xf numFmtId="175" fontId="13" fillId="6" borderId="11" xfId="2" applyNumberFormat="1" applyFont="1" applyFill="1" applyBorder="1" applyAlignment="1">
      <alignment horizontal="left" vertical="center" wrapText="1"/>
    </xf>
    <xf numFmtId="0" fontId="5" fillId="8" borderId="11" xfId="0" applyFont="1" applyFill="1" applyBorder="1" applyAlignment="1">
      <alignment vertical="center" wrapText="1"/>
    </xf>
    <xf numFmtId="175" fontId="11" fillId="2" borderId="1" xfId="0" applyNumberFormat="1" applyFont="1" applyFill="1" applyBorder="1"/>
    <xf numFmtId="0" fontId="35" fillId="6" borderId="1" xfId="0" applyFont="1" applyFill="1" applyBorder="1" applyAlignment="1">
      <alignment horizontal="center" vertical="center" wrapText="1"/>
    </xf>
    <xf numFmtId="175" fontId="5" fillId="8" borderId="1" xfId="2" applyNumberFormat="1" applyFont="1" applyFill="1" applyBorder="1" applyAlignment="1">
      <alignment horizontal="left" vertical="top" wrapText="1"/>
    </xf>
    <xf numFmtId="169" fontId="23" fillId="22" borderId="66" xfId="0" applyNumberFormat="1" applyFont="1" applyFill="1" applyBorder="1" applyAlignment="1">
      <alignment horizontal="center" vertical="center"/>
    </xf>
    <xf numFmtId="169" fontId="23" fillId="21" borderId="66" xfId="0" applyNumberFormat="1" applyFont="1" applyFill="1" applyBorder="1" applyAlignment="1">
      <alignment horizontal="center" vertical="center"/>
    </xf>
    <xf numFmtId="49" fontId="0" fillId="4" borderId="66" xfId="0" applyNumberFormat="1" applyFill="1" applyBorder="1" applyAlignment="1">
      <alignment horizontal="center" vertical="center" wrapText="1"/>
    </xf>
    <xf numFmtId="169" fontId="0" fillId="4" borderId="66" xfId="0" applyNumberFormat="1" applyFill="1" applyBorder="1" applyAlignment="1">
      <alignment horizontal="center" vertical="center" wrapText="1"/>
    </xf>
    <xf numFmtId="49" fontId="23" fillId="4" borderId="66" xfId="0" applyNumberFormat="1" applyFont="1" applyFill="1" applyBorder="1" applyAlignment="1">
      <alignment horizontal="center" vertical="center" wrapText="1"/>
    </xf>
    <xf numFmtId="0" fontId="0" fillId="0" borderId="15" xfId="0" applyBorder="1" applyAlignment="1">
      <alignment horizontal="left" vertical="top"/>
    </xf>
    <xf numFmtId="175" fontId="36" fillId="2" borderId="4" xfId="2" applyNumberFormat="1" applyFont="1" applyFill="1" applyBorder="1" applyAlignment="1">
      <alignment horizontal="left" vertical="top"/>
    </xf>
    <xf numFmtId="175" fontId="36" fillId="2" borderId="0" xfId="2" applyNumberFormat="1" applyFont="1" applyFill="1" applyAlignment="1">
      <alignment horizontal="left" vertical="top"/>
    </xf>
    <xf numFmtId="175" fontId="34" fillId="0" borderId="1" xfId="2" applyNumberFormat="1" applyFont="1" applyBorder="1" applyAlignment="1">
      <alignment horizontal="center" vertical="center" wrapText="1"/>
    </xf>
    <xf numFmtId="0" fontId="11" fillId="0" borderId="3" xfId="0" applyFont="1" applyBorder="1"/>
    <xf numFmtId="171" fontId="12" fillId="5" borderId="4" xfId="0" applyNumberFormat="1" applyFont="1" applyFill="1" applyBorder="1" applyAlignment="1">
      <alignment horizontal="center"/>
    </xf>
    <xf numFmtId="0" fontId="11" fillId="0" borderId="4" xfId="0" applyFont="1" applyBorder="1"/>
    <xf numFmtId="0" fontId="11" fillId="0" borderId="4" xfId="2" applyFont="1" applyBorder="1"/>
    <xf numFmtId="173" fontId="11" fillId="33" borderId="70" xfId="2" applyNumberFormat="1" applyFont="1" applyFill="1" applyBorder="1" applyAlignment="1">
      <alignment horizontal="center" vertical="center" wrapText="1"/>
    </xf>
    <xf numFmtId="170" fontId="11" fillId="33" borderId="71" xfId="2" applyNumberFormat="1" applyFont="1" applyFill="1" applyBorder="1" applyAlignment="1">
      <alignment horizontal="center"/>
    </xf>
    <xf numFmtId="171" fontId="12" fillId="33" borderId="71" xfId="0" applyNumberFormat="1" applyFont="1" applyFill="1" applyBorder="1" applyAlignment="1">
      <alignment horizontal="center"/>
    </xf>
    <xf numFmtId="171" fontId="12" fillId="33" borderId="71" xfId="2" applyNumberFormat="1" applyFont="1" applyFill="1" applyBorder="1" applyAlignment="1">
      <alignment horizontal="center"/>
    </xf>
    <xf numFmtId="0" fontId="11" fillId="33" borderId="71" xfId="0" applyFont="1" applyFill="1" applyBorder="1"/>
    <xf numFmtId="0" fontId="11" fillId="33" borderId="71" xfId="2" applyFont="1" applyFill="1" applyBorder="1"/>
    <xf numFmtId="49" fontId="0" fillId="4" borderId="66" xfId="0" applyNumberFormat="1" applyFill="1" applyBorder="1" applyAlignment="1">
      <alignment horizontal="left" wrapText="1"/>
    </xf>
    <xf numFmtId="168" fontId="0" fillId="0" borderId="1" xfId="0" applyNumberFormat="1" applyBorder="1" applyAlignment="1">
      <alignment horizontal="center" vertical="center"/>
    </xf>
    <xf numFmtId="0" fontId="0" fillId="0" borderId="1" xfId="0" applyBorder="1" applyAlignment="1">
      <alignment horizontal="left" vertical="center"/>
    </xf>
    <xf numFmtId="0" fontId="1" fillId="7" borderId="1" xfId="0" applyFont="1" applyFill="1" applyBorder="1" applyAlignment="1">
      <alignment horizontal="center" vertical="center" wrapText="1"/>
    </xf>
    <xf numFmtId="168" fontId="1" fillId="7" borderId="1" xfId="0" applyNumberFormat="1" applyFont="1" applyFill="1" applyBorder="1" applyAlignment="1">
      <alignment horizontal="center" vertical="center" wrapText="1"/>
    </xf>
    <xf numFmtId="0" fontId="0" fillId="0" borderId="0" xfId="0" applyAlignment="1">
      <alignment horizontal="center" vertical="center" wrapText="1"/>
    </xf>
    <xf numFmtId="0" fontId="0" fillId="0" borderId="1" xfId="0" applyBorder="1" applyAlignment="1">
      <alignment horizontal="left" vertical="center" wrapText="1"/>
    </xf>
    <xf numFmtId="0" fontId="11" fillId="31" borderId="1" xfId="0" applyFont="1" applyFill="1" applyBorder="1"/>
    <xf numFmtId="166" fontId="11" fillId="0" borderId="1" xfId="2" applyNumberFormat="1" applyFont="1" applyBorder="1" applyAlignment="1">
      <alignment horizontal="center"/>
    </xf>
    <xf numFmtId="0" fontId="13" fillId="6" borderId="3" xfId="2" applyFont="1" applyFill="1" applyBorder="1" applyAlignment="1">
      <alignment horizontal="center" vertical="center" wrapText="1"/>
    </xf>
    <xf numFmtId="0" fontId="45" fillId="6" borderId="3" xfId="2" applyFont="1" applyFill="1" applyBorder="1" applyAlignment="1">
      <alignment horizontal="center" vertical="center" wrapText="1"/>
    </xf>
    <xf numFmtId="0" fontId="13" fillId="6" borderId="4" xfId="2" applyFont="1" applyFill="1" applyBorder="1" applyAlignment="1">
      <alignment vertical="center" wrapText="1"/>
    </xf>
    <xf numFmtId="0" fontId="45" fillId="6" borderId="4" xfId="2" applyFont="1" applyFill="1" applyBorder="1" applyAlignment="1">
      <alignment vertical="center" wrapText="1"/>
    </xf>
    <xf numFmtId="175" fontId="44" fillId="0" borderId="1" xfId="2" applyNumberFormat="1" applyFont="1" applyBorder="1" applyAlignment="1">
      <alignment horizontal="left" vertical="top" wrapText="1"/>
    </xf>
    <xf numFmtId="175" fontId="42" fillId="0" borderId="1" xfId="2" applyNumberFormat="1" applyFont="1" applyBorder="1" applyAlignment="1">
      <alignment horizontal="left" vertical="top" wrapText="1"/>
    </xf>
    <xf numFmtId="175" fontId="0" fillId="0" borderId="1" xfId="0" applyNumberFormat="1" applyBorder="1" applyAlignment="1">
      <alignment horizontal="left" vertical="top"/>
    </xf>
    <xf numFmtId="0" fontId="0" fillId="0" borderId="1" xfId="0" quotePrefix="1" applyBorder="1" applyAlignment="1">
      <alignment horizontal="left" vertical="top"/>
    </xf>
    <xf numFmtId="0" fontId="0" fillId="0" borderId="0" xfId="0" quotePrefix="1" applyAlignment="1">
      <alignment horizontal="left" vertical="top"/>
    </xf>
    <xf numFmtId="175" fontId="35" fillId="2" borderId="1" xfId="0" applyNumberFormat="1" applyFont="1" applyFill="1" applyBorder="1" applyAlignment="1">
      <alignment horizontal="left" vertical="top" wrapText="1"/>
    </xf>
    <xf numFmtId="0" fontId="0" fillId="0" borderId="1" xfId="0" applyBorder="1" applyAlignment="1">
      <alignment horizontal="left" vertical="top"/>
    </xf>
    <xf numFmtId="175" fontId="13" fillId="6" borderId="1" xfId="2" applyNumberFormat="1" applyFont="1" applyFill="1" applyBorder="1" applyAlignment="1">
      <alignment horizontal="left" vertical="top" wrapText="1"/>
    </xf>
    <xf numFmtId="175" fontId="5" fillId="8" borderId="3" xfId="2" applyNumberFormat="1" applyFont="1" applyFill="1" applyBorder="1" applyAlignment="1">
      <alignment horizontal="left" vertical="top" wrapText="1"/>
    </xf>
    <xf numFmtId="0" fontId="5" fillId="8" borderId="1" xfId="0" applyFont="1" applyFill="1" applyBorder="1" applyAlignment="1">
      <alignment horizontal="left" vertical="top" wrapText="1"/>
    </xf>
    <xf numFmtId="0" fontId="45" fillId="6" borderId="0" xfId="2" applyFont="1" applyFill="1" applyAlignment="1">
      <alignment horizontal="center" vertical="center" wrapText="1"/>
    </xf>
    <xf numFmtId="0" fontId="45" fillId="6" borderId="0" xfId="2" applyFont="1" applyFill="1" applyAlignment="1">
      <alignment vertical="center" wrapText="1"/>
    </xf>
    <xf numFmtId="175" fontId="0" fillId="0" borderId="11" xfId="0" applyNumberFormat="1" applyBorder="1" applyAlignment="1">
      <alignment horizontal="left" vertical="top"/>
    </xf>
    <xf numFmtId="175" fontId="13" fillId="6" borderId="11" xfId="2" applyNumberFormat="1" applyFont="1" applyFill="1" applyBorder="1" applyAlignment="1">
      <alignment horizontal="left" vertical="top" wrapText="1"/>
    </xf>
    <xf numFmtId="0" fontId="5" fillId="8" borderId="7" xfId="2" applyFont="1" applyFill="1" applyBorder="1" applyAlignment="1">
      <alignment horizontal="left" vertical="top" wrapText="1"/>
    </xf>
    <xf numFmtId="175" fontId="11" fillId="2" borderId="1" xfId="0" applyNumberFormat="1" applyFont="1" applyFill="1" applyBorder="1" applyAlignment="1">
      <alignment horizontal="left" vertical="top"/>
    </xf>
    <xf numFmtId="175" fontId="34" fillId="24" borderId="1" xfId="2" applyNumberFormat="1" applyFont="1" applyFill="1" applyBorder="1" applyAlignment="1">
      <alignment horizontal="left" vertical="top"/>
    </xf>
    <xf numFmtId="175" fontId="34" fillId="0" borderId="1" xfId="0" applyNumberFormat="1" applyFont="1" applyBorder="1" applyAlignment="1">
      <alignment horizontal="left" vertical="top"/>
    </xf>
    <xf numFmtId="175" fontId="34" fillId="0" borderId="6" xfId="2" applyNumberFormat="1" applyFont="1" applyBorder="1" applyAlignment="1">
      <alignment horizontal="left" vertical="top"/>
    </xf>
    <xf numFmtId="175" fontId="34" fillId="33" borderId="71" xfId="2" applyNumberFormat="1" applyFont="1" applyFill="1" applyBorder="1" applyAlignment="1">
      <alignment horizontal="left" vertical="top"/>
    </xf>
    <xf numFmtId="175" fontId="34" fillId="33" borderId="73" xfId="2" applyNumberFormat="1" applyFont="1" applyFill="1" applyBorder="1" applyAlignment="1">
      <alignment horizontal="left" vertical="top"/>
    </xf>
    <xf numFmtId="175" fontId="15" fillId="0" borderId="1" xfId="2" applyNumberFormat="1" applyFont="1" applyBorder="1" applyAlignment="1">
      <alignment horizontal="left" vertical="top"/>
    </xf>
    <xf numFmtId="171" fontId="12" fillId="5" borderId="1" xfId="0" applyNumberFormat="1" applyFont="1" applyFill="1" applyBorder="1" applyAlignment="1">
      <alignment horizontal="center" vertical="center"/>
    </xf>
    <xf numFmtId="0" fontId="50" fillId="5" borderId="0" xfId="2" applyFont="1" applyFill="1"/>
    <xf numFmtId="171" fontId="12" fillId="24" borderId="1" xfId="0" applyNumberFormat="1" applyFont="1" applyFill="1" applyBorder="1" applyAlignment="1">
      <alignment horizontal="center"/>
    </xf>
    <xf numFmtId="0" fontId="0" fillId="24" borderId="1" xfId="0" applyFill="1" applyBorder="1" applyAlignment="1">
      <alignment horizontal="center" vertical="center"/>
    </xf>
    <xf numFmtId="168" fontId="0" fillId="24" borderId="1" xfId="0" applyNumberFormat="1" applyFill="1" applyBorder="1" applyAlignment="1">
      <alignment horizontal="center" vertical="center"/>
    </xf>
    <xf numFmtId="0" fontId="0" fillId="24" borderId="1" xfId="0" applyFill="1" applyBorder="1" applyAlignment="1">
      <alignment horizontal="left" vertical="center" wrapText="1"/>
    </xf>
    <xf numFmtId="0" fontId="0" fillId="24" borderId="1" xfId="0" applyFill="1" applyBorder="1" applyAlignment="1">
      <alignment horizontal="left" vertical="center"/>
    </xf>
    <xf numFmtId="0" fontId="12" fillId="0" borderId="1" xfId="0" applyFont="1" applyBorder="1" applyAlignment="1">
      <alignment horizontal="center"/>
    </xf>
    <xf numFmtId="170" fontId="12" fillId="0" borderId="13" xfId="2" applyNumberFormat="1" applyFont="1" applyBorder="1" applyAlignment="1">
      <alignment horizontal="center"/>
    </xf>
    <xf numFmtId="16" fontId="12" fillId="0" borderId="15" xfId="3" applyNumberFormat="1" applyFont="1" applyBorder="1" applyAlignment="1">
      <alignment horizontal="center"/>
    </xf>
    <xf numFmtId="170" fontId="12" fillId="0" borderId="13" xfId="3" applyNumberFormat="1" applyFont="1" applyBorder="1" applyAlignment="1">
      <alignment horizontal="center"/>
    </xf>
    <xf numFmtId="175" fontId="11" fillId="5" borderId="0" xfId="0" applyNumberFormat="1" applyFont="1" applyFill="1"/>
    <xf numFmtId="173" fontId="11" fillId="0" borderId="3" xfId="2" applyNumberFormat="1" applyFont="1" applyBorder="1" applyAlignment="1">
      <alignment horizontal="center" vertical="center" wrapText="1"/>
    </xf>
    <xf numFmtId="175" fontId="0" fillId="0" borderId="3" xfId="0" applyNumberFormat="1" applyBorder="1" applyAlignment="1">
      <alignment horizontal="left" vertical="top"/>
    </xf>
    <xf numFmtId="175" fontId="0" fillId="0" borderId="5" xfId="0" applyNumberFormat="1" applyBorder="1" applyAlignment="1">
      <alignment horizontal="left" vertical="top"/>
    </xf>
    <xf numFmtId="2" fontId="5" fillId="8" borderId="5" xfId="2" applyNumberFormat="1" applyFont="1" applyFill="1" applyBorder="1" applyAlignment="1">
      <alignment vertical="center" wrapText="1"/>
    </xf>
    <xf numFmtId="2" fontId="5" fillId="8" borderId="1" xfId="2" applyNumberFormat="1" applyFont="1" applyFill="1" applyBorder="1" applyAlignment="1">
      <alignment vertical="center" wrapText="1"/>
    </xf>
    <xf numFmtId="0" fontId="5" fillId="34" borderId="71" xfId="2" applyFont="1" applyFill="1" applyBorder="1" applyAlignment="1">
      <alignment vertical="center" wrapText="1"/>
    </xf>
    <xf numFmtId="2" fontId="5" fillId="34" borderId="72" xfId="2" applyNumberFormat="1" applyFont="1" applyFill="1" applyBorder="1" applyAlignment="1">
      <alignment vertical="center" wrapText="1"/>
    </xf>
    <xf numFmtId="175" fontId="5" fillId="34" borderId="71" xfId="2" applyNumberFormat="1" applyFont="1" applyFill="1" applyBorder="1" applyAlignment="1">
      <alignment horizontal="left" vertical="top" wrapText="1"/>
    </xf>
    <xf numFmtId="175" fontId="0" fillId="34" borderId="72" xfId="0" applyNumberFormat="1" applyFill="1" applyBorder="1" applyAlignment="1">
      <alignment horizontal="left" vertical="top"/>
    </xf>
    <xf numFmtId="175" fontId="0" fillId="34" borderId="73" xfId="0" applyNumberFormat="1" applyFill="1" applyBorder="1" applyAlignment="1">
      <alignment horizontal="left" vertical="top"/>
    </xf>
    <xf numFmtId="171" fontId="12" fillId="4" borderId="1" xfId="0" applyNumberFormat="1" applyFont="1" applyFill="1" applyBorder="1" applyAlignment="1">
      <alignment horizontal="center" vertical="center"/>
    </xf>
    <xf numFmtId="170" fontId="11" fillId="0" borderId="1" xfId="2" applyNumberFormat="1" applyFont="1" applyBorder="1" applyAlignment="1">
      <alignment horizontal="center" vertical="center"/>
    </xf>
    <xf numFmtId="0" fontId="44" fillId="0" borderId="1" xfId="0" applyFont="1" applyBorder="1" applyAlignment="1">
      <alignment horizontal="left" vertical="center" wrapText="1"/>
    </xf>
    <xf numFmtId="171" fontId="12" fillId="5" borderId="1" xfId="0" quotePrefix="1" applyNumberFormat="1" applyFont="1" applyFill="1" applyBorder="1" applyAlignment="1">
      <alignment horizontal="center" vertical="center"/>
    </xf>
    <xf numFmtId="0" fontId="44" fillId="0" borderId="3" xfId="0" applyFont="1" applyBorder="1" applyAlignment="1">
      <alignment horizontal="left" vertical="center" wrapText="1"/>
    </xf>
    <xf numFmtId="171" fontId="12" fillId="5" borderId="4" xfId="0" applyNumberFormat="1" applyFont="1" applyFill="1" applyBorder="1" applyAlignment="1">
      <alignment horizontal="center" vertical="center"/>
    </xf>
    <xf numFmtId="171" fontId="12" fillId="4" borderId="4" xfId="0" applyNumberFormat="1" applyFont="1" applyFill="1" applyBorder="1" applyAlignment="1">
      <alignment horizontal="center" vertical="center"/>
    </xf>
    <xf numFmtId="0" fontId="47" fillId="0" borderId="1" xfId="0" applyFont="1" applyBorder="1" applyAlignment="1">
      <alignment horizontal="left" vertical="center" wrapText="1"/>
    </xf>
    <xf numFmtId="0" fontId="40" fillId="0" borderId="1" xfId="0" applyFont="1" applyBorder="1" applyAlignment="1">
      <alignment horizontal="left" vertical="center" wrapText="1"/>
    </xf>
    <xf numFmtId="0" fontId="44" fillId="8" borderId="1" xfId="0" applyFont="1" applyFill="1" applyBorder="1" applyAlignment="1">
      <alignment horizontal="left" vertical="center" wrapText="1"/>
    </xf>
    <xf numFmtId="0" fontId="47" fillId="8" borderId="1" xfId="0" applyFont="1" applyFill="1" applyBorder="1" applyAlignment="1">
      <alignment horizontal="left" vertical="center" wrapText="1"/>
    </xf>
    <xf numFmtId="171" fontId="12" fillId="5" borderId="1" xfId="2" quotePrefix="1" applyNumberFormat="1" applyFont="1" applyFill="1" applyBorder="1" applyAlignment="1">
      <alignment horizontal="center" vertical="center"/>
    </xf>
    <xf numFmtId="171" fontId="12" fillId="5" borderId="1" xfId="2" applyNumberFormat="1" applyFont="1" applyFill="1" applyBorder="1" applyAlignment="1">
      <alignment horizontal="center" vertical="center"/>
    </xf>
    <xf numFmtId="171" fontId="12" fillId="5" borderId="3" xfId="2" applyNumberFormat="1" applyFont="1" applyFill="1" applyBorder="1" applyAlignment="1">
      <alignment horizontal="center" vertical="center"/>
    </xf>
    <xf numFmtId="170" fontId="11" fillId="34" borderId="71" xfId="2" applyNumberFormat="1" applyFont="1" applyFill="1" applyBorder="1" applyAlignment="1">
      <alignment horizontal="center" vertical="center"/>
    </xf>
    <xf numFmtId="171" fontId="12" fillId="34" borderId="71" xfId="2" applyNumberFormat="1" applyFont="1" applyFill="1" applyBorder="1" applyAlignment="1">
      <alignment horizontal="center" vertical="center"/>
    </xf>
    <xf numFmtId="171" fontId="12" fillId="34" borderId="71" xfId="0" applyNumberFormat="1" applyFont="1" applyFill="1" applyBorder="1" applyAlignment="1">
      <alignment horizontal="center" vertical="center"/>
    </xf>
    <xf numFmtId="171" fontId="12" fillId="15" borderId="1" xfId="2" applyNumberFormat="1" applyFont="1" applyFill="1" applyBorder="1" applyAlignment="1">
      <alignment horizontal="center" vertical="center"/>
    </xf>
    <xf numFmtId="2" fontId="44" fillId="0" borderId="1" xfId="0" applyNumberFormat="1" applyFont="1" applyBorder="1" applyAlignment="1">
      <alignment vertical="center"/>
    </xf>
    <xf numFmtId="0" fontId="52" fillId="0" borderId="1" xfId="2" applyFont="1" applyBorder="1" applyAlignment="1">
      <alignment vertical="center" wrapText="1"/>
    </xf>
    <xf numFmtId="0" fontId="23" fillId="24" borderId="1" xfId="0" applyFont="1" applyFill="1" applyBorder="1" applyAlignment="1">
      <alignment horizontal="left" vertical="center" wrapText="1"/>
    </xf>
    <xf numFmtId="0" fontId="5" fillId="5" borderId="0" xfId="2" applyFont="1" applyFill="1" applyAlignment="1">
      <alignment horizontal="left" vertical="top" wrapText="1"/>
    </xf>
    <xf numFmtId="175" fontId="5" fillId="5" borderId="0" xfId="2" applyNumberFormat="1" applyFont="1" applyFill="1" applyAlignment="1">
      <alignment horizontal="left" vertical="top" wrapText="1"/>
    </xf>
    <xf numFmtId="173" fontId="19" fillId="0" borderId="1" xfId="2" applyNumberFormat="1" applyFont="1" applyBorder="1" applyAlignment="1">
      <alignment horizontal="center" vertical="center" wrapText="1"/>
    </xf>
    <xf numFmtId="170" fontId="19" fillId="0" borderId="1" xfId="2" applyNumberFormat="1" applyFont="1" applyBorder="1" applyAlignment="1">
      <alignment horizontal="center" vertical="center"/>
    </xf>
    <xf numFmtId="171" fontId="53" fillId="4" borderId="1" xfId="0" applyNumberFormat="1" applyFont="1" applyFill="1" applyBorder="1" applyAlignment="1">
      <alignment horizontal="center" vertical="center"/>
    </xf>
    <xf numFmtId="0" fontId="54" fillId="8" borderId="1" xfId="0" applyFont="1" applyFill="1" applyBorder="1" applyAlignment="1">
      <alignment vertical="center" wrapText="1"/>
    </xf>
    <xf numFmtId="0" fontId="0" fillId="24" borderId="1" xfId="0" applyFill="1" applyBorder="1" applyAlignment="1">
      <alignment horizontal="center" vertical="center" wrapText="1"/>
    </xf>
    <xf numFmtId="0" fontId="55" fillId="35" borderId="37" xfId="0" applyFont="1" applyFill="1" applyBorder="1" applyAlignment="1">
      <alignment horizontal="center" vertical="center"/>
    </xf>
    <xf numFmtId="0" fontId="55" fillId="35" borderId="37" xfId="0" applyFont="1" applyFill="1" applyBorder="1" applyAlignment="1">
      <alignment horizontal="center" vertical="center" wrapText="1"/>
    </xf>
    <xf numFmtId="0" fontId="0" fillId="4" borderId="35" xfId="0" applyFill="1" applyBorder="1" applyAlignment="1">
      <alignment horizontal="center" vertical="center"/>
    </xf>
    <xf numFmtId="0" fontId="55" fillId="35" borderId="66" xfId="0" applyFont="1" applyFill="1" applyBorder="1" applyAlignment="1">
      <alignment horizontal="center" vertical="center"/>
    </xf>
    <xf numFmtId="0" fontId="0" fillId="4" borderId="37" xfId="0" applyFill="1" applyBorder="1" applyAlignment="1">
      <alignment horizontal="center" vertical="center"/>
    </xf>
    <xf numFmtId="22" fontId="11" fillId="5" borderId="0" xfId="2" applyNumberFormat="1" applyFont="1" applyFill="1"/>
    <xf numFmtId="174" fontId="12" fillId="0" borderId="12" xfId="2" applyNumberFormat="1" applyFont="1" applyBorder="1" applyAlignment="1">
      <alignment horizontal="center" vertical="center"/>
    </xf>
    <xf numFmtId="173" fontId="11" fillId="0" borderId="1" xfId="2" applyNumberFormat="1" applyFont="1" applyBorder="1" applyAlignment="1">
      <alignment horizontal="center"/>
    </xf>
    <xf numFmtId="171" fontId="12" fillId="4" borderId="7" xfId="0" applyNumberFormat="1" applyFont="1" applyFill="1" applyBorder="1" applyAlignment="1">
      <alignment horizontal="center"/>
    </xf>
    <xf numFmtId="0" fontId="55" fillId="35" borderId="0" xfId="0" applyFont="1" applyFill="1" applyAlignment="1">
      <alignment horizontal="center" vertical="center"/>
    </xf>
    <xf numFmtId="2" fontId="15" fillId="0" borderId="1" xfId="2" applyNumberFormat="1" applyFont="1" applyBorder="1" applyAlignment="1">
      <alignment horizontal="center" vertical="center"/>
    </xf>
    <xf numFmtId="2" fontId="11" fillId="27" borderId="1" xfId="2" applyNumberFormat="1" applyFont="1" applyFill="1" applyBorder="1" applyAlignment="1">
      <alignment horizontal="center" vertical="center"/>
    </xf>
    <xf numFmtId="2" fontId="36" fillId="2" borderId="0" xfId="2" applyNumberFormat="1" applyFont="1" applyFill="1" applyAlignment="1">
      <alignment horizontal="center"/>
    </xf>
    <xf numFmtId="170" fontId="11" fillId="0" borderId="1" xfId="3" applyNumberFormat="1" applyFont="1" applyBorder="1" applyAlignment="1">
      <alignment horizontal="center" vertical="center" wrapText="1"/>
    </xf>
    <xf numFmtId="0" fontId="55" fillId="35" borderId="35" xfId="0" applyFont="1" applyFill="1" applyBorder="1" applyAlignment="1">
      <alignment horizontal="center" vertical="center"/>
    </xf>
    <xf numFmtId="0" fontId="43" fillId="0" borderId="1" xfId="2" applyFont="1" applyBorder="1"/>
    <xf numFmtId="166" fontId="12" fillId="0" borderId="1" xfId="3" applyNumberFormat="1" applyFont="1" applyBorder="1" applyAlignment="1">
      <alignment horizontal="center"/>
    </xf>
    <xf numFmtId="16" fontId="12" fillId="0" borderId="15" xfId="2" applyNumberFormat="1" applyFont="1" applyBorder="1" applyAlignment="1">
      <alignment horizontal="center" vertical="center"/>
    </xf>
    <xf numFmtId="170" fontId="12" fillId="0" borderId="15" xfId="2" applyNumberFormat="1" applyFont="1" applyBorder="1" applyAlignment="1">
      <alignment horizontal="center" vertical="center"/>
    </xf>
    <xf numFmtId="170" fontId="11" fillId="27" borderId="1" xfId="2" applyNumberFormat="1" applyFont="1" applyFill="1" applyBorder="1" applyAlignment="1">
      <alignment horizontal="center"/>
    </xf>
    <xf numFmtId="171" fontId="12" fillId="4" borderId="3" xfId="0" applyNumberFormat="1" applyFont="1" applyFill="1" applyBorder="1" applyAlignment="1">
      <alignment horizontal="center"/>
    </xf>
    <xf numFmtId="171" fontId="12" fillId="5" borderId="4" xfId="2" quotePrefix="1" applyNumberFormat="1" applyFont="1" applyFill="1" applyBorder="1" applyAlignment="1">
      <alignment horizontal="center"/>
    </xf>
    <xf numFmtId="171" fontId="12" fillId="4" borderId="4" xfId="0" applyNumberFormat="1" applyFont="1" applyFill="1" applyBorder="1" applyAlignment="1">
      <alignment horizontal="center"/>
    </xf>
    <xf numFmtId="0" fontId="44" fillId="0" borderId="4" xfId="0" applyFont="1" applyBorder="1" applyAlignment="1">
      <alignment horizontal="left" vertical="top" wrapText="1"/>
    </xf>
    <xf numFmtId="175" fontId="5" fillId="8" borderId="4" xfId="2" applyNumberFormat="1" applyFont="1" applyFill="1" applyBorder="1" applyAlignment="1">
      <alignment vertical="center" wrapText="1"/>
    </xf>
    <xf numFmtId="175" fontId="0" fillId="0" borderId="67" xfId="0" applyNumberFormat="1" applyBorder="1"/>
    <xf numFmtId="175" fontId="0" fillId="0" borderId="4" xfId="0" applyNumberFormat="1" applyBorder="1"/>
    <xf numFmtId="10" fontId="11" fillId="0" borderId="1" xfId="2" applyNumberFormat="1" applyFont="1" applyBorder="1" applyAlignment="1">
      <alignment horizontal="center"/>
    </xf>
    <xf numFmtId="0" fontId="41" fillId="8" borderId="1" xfId="0" applyFont="1" applyFill="1" applyBorder="1" applyAlignment="1">
      <alignment vertical="center" wrapText="1"/>
    </xf>
    <xf numFmtId="2" fontId="53" fillId="0" borderId="11" xfId="2" applyNumberFormat="1" applyFont="1" applyBorder="1" applyAlignment="1">
      <alignment vertical="center" wrapText="1"/>
    </xf>
    <xf numFmtId="175" fontId="34" fillId="0" borderId="1" xfId="0" applyNumberFormat="1" applyFont="1" applyBorder="1"/>
    <xf numFmtId="175" fontId="34" fillId="0" borderId="11" xfId="0" applyNumberFormat="1" applyFont="1" applyBorder="1"/>
    <xf numFmtId="2" fontId="41" fillId="8" borderId="11" xfId="2" applyNumberFormat="1" applyFont="1" applyFill="1" applyBorder="1" applyAlignment="1">
      <alignment vertical="center" wrapText="1"/>
    </xf>
    <xf numFmtId="175" fontId="41" fillId="8" borderId="1" xfId="2" applyNumberFormat="1" applyFont="1" applyFill="1" applyBorder="1" applyAlignment="1">
      <alignment vertical="center" wrapText="1"/>
    </xf>
    <xf numFmtId="0" fontId="41" fillId="8" borderId="1" xfId="2" applyFont="1" applyFill="1" applyBorder="1" applyAlignment="1">
      <alignment horizontal="left" vertical="top" wrapText="1"/>
    </xf>
    <xf numFmtId="2" fontId="11" fillId="0" borderId="1" xfId="0" applyNumberFormat="1" applyFont="1" applyBorder="1"/>
    <xf numFmtId="0" fontId="43" fillId="8" borderId="1" xfId="0" applyFont="1" applyFill="1" applyBorder="1" applyAlignment="1">
      <alignment vertical="center" wrapText="1"/>
    </xf>
    <xf numFmtId="0" fontId="56" fillId="5" borderId="0" xfId="2" applyFont="1" applyFill="1"/>
    <xf numFmtId="175" fontId="12" fillId="0" borderId="1" xfId="2" applyNumberFormat="1" applyFont="1" applyBorder="1" applyAlignment="1">
      <alignment vertical="center" wrapText="1"/>
    </xf>
    <xf numFmtId="175" fontId="11" fillId="0" borderId="1" xfId="0" applyNumberFormat="1" applyFont="1" applyBorder="1"/>
    <xf numFmtId="175" fontId="11" fillId="0" borderId="11" xfId="0" applyNumberFormat="1" applyFont="1" applyBorder="1"/>
    <xf numFmtId="175" fontId="11" fillId="8" borderId="1" xfId="2" applyNumberFormat="1" applyFont="1" applyFill="1" applyBorder="1" applyAlignment="1">
      <alignment vertical="center" wrapText="1"/>
    </xf>
    <xf numFmtId="0" fontId="34" fillId="0" borderId="1" xfId="0" applyFont="1" applyBorder="1"/>
    <xf numFmtId="0" fontId="11" fillId="8" borderId="1" xfId="0" applyFont="1" applyFill="1" applyBorder="1" applyAlignment="1">
      <alignment vertical="center" wrapText="1"/>
    </xf>
    <xf numFmtId="0" fontId="11" fillId="36" borderId="1" xfId="2" applyFont="1" applyFill="1" applyBorder="1"/>
    <xf numFmtId="170" fontId="11" fillId="36" borderId="1" xfId="2" applyNumberFormat="1" applyFont="1" applyFill="1" applyBorder="1" applyAlignment="1">
      <alignment horizontal="center"/>
    </xf>
    <xf numFmtId="173" fontId="11" fillId="36" borderId="1" xfId="2" applyNumberFormat="1" applyFont="1" applyFill="1" applyBorder="1" applyAlignment="1">
      <alignment horizontal="center" vertical="center" wrapText="1"/>
    </xf>
    <xf numFmtId="0" fontId="15" fillId="36" borderId="1" xfId="0" applyFont="1" applyFill="1" applyBorder="1" applyAlignment="1">
      <alignment horizontal="left"/>
    </xf>
    <xf numFmtId="2" fontId="36" fillId="2" borderId="4" xfId="2" applyNumberFormat="1" applyFont="1" applyFill="1" applyBorder="1" applyAlignment="1">
      <alignment vertical="top"/>
    </xf>
    <xf numFmtId="0" fontId="15" fillId="0" borderId="1" xfId="0" applyFont="1" applyBorder="1" applyAlignment="1">
      <alignment horizontal="left"/>
    </xf>
    <xf numFmtId="171" fontId="12" fillId="36" borderId="1" xfId="0" applyNumberFormat="1" applyFont="1" applyFill="1" applyBorder="1" applyAlignment="1">
      <alignment horizontal="center"/>
    </xf>
    <xf numFmtId="0" fontId="36" fillId="2" borderId="67" xfId="2" applyFont="1" applyFill="1" applyBorder="1" applyAlignment="1">
      <alignment horizontal="left" vertical="top"/>
    </xf>
    <xf numFmtId="0" fontId="13" fillId="13" borderId="1" xfId="2" applyFont="1" applyFill="1" applyBorder="1" applyAlignment="1">
      <alignment horizontal="center" vertical="center" wrapText="1"/>
    </xf>
    <xf numFmtId="0" fontId="35" fillId="6" borderId="1" xfId="2" applyFont="1" applyFill="1" applyBorder="1" applyAlignment="1">
      <alignment horizontal="center" vertical="center" wrapText="1"/>
    </xf>
    <xf numFmtId="18" fontId="11" fillId="5" borderId="0" xfId="2" applyNumberFormat="1" applyFont="1" applyFill="1"/>
    <xf numFmtId="173" fontId="57" fillId="36" borderId="1" xfId="2" applyNumberFormat="1" applyFont="1" applyFill="1" applyBorder="1" applyAlignment="1">
      <alignment horizontal="center" vertical="center" wrapText="1"/>
    </xf>
    <xf numFmtId="170" fontId="57" fillId="36" borderId="1" xfId="2" applyNumberFormat="1" applyFont="1" applyFill="1" applyBorder="1" applyAlignment="1">
      <alignment horizontal="center"/>
    </xf>
    <xf numFmtId="171" fontId="58" fillId="36" borderId="1" xfId="0" applyNumberFormat="1" applyFont="1" applyFill="1" applyBorder="1" applyAlignment="1">
      <alignment horizontal="center"/>
    </xf>
    <xf numFmtId="0" fontId="57" fillId="36" borderId="1" xfId="0" applyFont="1" applyFill="1" applyBorder="1"/>
    <xf numFmtId="0" fontId="57" fillId="36" borderId="1" xfId="2" applyFont="1" applyFill="1" applyBorder="1"/>
    <xf numFmtId="171" fontId="12" fillId="27" borderId="4" xfId="0" applyNumberFormat="1" applyFont="1" applyFill="1" applyBorder="1" applyAlignment="1">
      <alignment horizontal="center"/>
    </xf>
    <xf numFmtId="174" fontId="12" fillId="5" borderId="1" xfId="0" quotePrefix="1" applyNumberFormat="1" applyFont="1" applyFill="1" applyBorder="1" applyAlignment="1">
      <alignment horizontal="center"/>
    </xf>
    <xf numFmtId="171" fontId="12" fillId="27" borderId="1" xfId="0" applyNumberFormat="1" applyFont="1" applyFill="1" applyBorder="1" applyAlignment="1">
      <alignment horizontal="center"/>
    </xf>
    <xf numFmtId="0" fontId="15" fillId="0" borderId="11" xfId="0" applyFont="1" applyBorder="1" applyAlignment="1">
      <alignment horizontal="left"/>
    </xf>
    <xf numFmtId="0" fontId="15" fillId="0" borderId="3" xfId="0" applyFont="1" applyBorder="1" applyAlignment="1">
      <alignment horizontal="left"/>
    </xf>
    <xf numFmtId="165" fontId="11" fillId="0" borderId="0" xfId="2" applyNumberFormat="1" applyFont="1" applyAlignment="1">
      <alignment horizontal="left"/>
    </xf>
    <xf numFmtId="166" fontId="12" fillId="0" borderId="0" xfId="2" applyNumberFormat="1" applyFont="1" applyAlignment="1">
      <alignment horizontal="center"/>
    </xf>
    <xf numFmtId="170" fontId="57" fillId="36" borderId="11" xfId="2" applyNumberFormat="1" applyFont="1" applyFill="1" applyBorder="1" applyAlignment="1">
      <alignment horizontal="center"/>
    </xf>
    <xf numFmtId="0" fontId="11" fillId="36" borderId="7" xfId="2" applyFont="1" applyFill="1" applyBorder="1" applyAlignment="1">
      <alignment vertical="top"/>
    </xf>
    <xf numFmtId="0" fontId="15" fillId="36" borderId="7" xfId="0" applyFont="1" applyFill="1" applyBorder="1" applyAlignment="1">
      <alignment horizontal="left"/>
    </xf>
    <xf numFmtId="2" fontId="5" fillId="8" borderId="4" xfId="2" applyNumberFormat="1" applyFont="1" applyFill="1" applyBorder="1" applyAlignment="1">
      <alignment vertical="center" wrapText="1"/>
    </xf>
    <xf numFmtId="170" fontId="11" fillId="26" borderId="61" xfId="2" applyNumberFormat="1" applyFont="1" applyFill="1" applyBorder="1" applyAlignment="1">
      <alignment horizontal="center"/>
    </xf>
    <xf numFmtId="171" fontId="12" fillId="26" borderId="61" xfId="0" applyNumberFormat="1" applyFont="1" applyFill="1" applyBorder="1" applyAlignment="1">
      <alignment horizontal="center"/>
    </xf>
    <xf numFmtId="173" fontId="11" fillId="26" borderId="74" xfId="2" applyNumberFormat="1" applyFont="1" applyFill="1" applyBorder="1" applyAlignment="1">
      <alignment horizontal="center" vertical="center" wrapText="1"/>
    </xf>
    <xf numFmtId="0" fontId="44" fillId="26" borderId="61" xfId="0" applyFont="1" applyFill="1" applyBorder="1" applyAlignment="1">
      <alignment horizontal="left" vertical="top" wrapText="1"/>
    </xf>
    <xf numFmtId="2" fontId="5" fillId="26" borderId="61" xfId="2" applyNumberFormat="1" applyFont="1" applyFill="1" applyBorder="1" applyAlignment="1">
      <alignment vertical="center" wrapText="1"/>
    </xf>
    <xf numFmtId="175" fontId="5" fillId="26" borderId="61" xfId="2" applyNumberFormat="1" applyFont="1" applyFill="1" applyBorder="1" applyAlignment="1">
      <alignment vertical="center" wrapText="1"/>
    </xf>
    <xf numFmtId="175" fontId="0" fillId="26" borderId="75" xfId="0" applyNumberFormat="1" applyFill="1" applyBorder="1"/>
    <xf numFmtId="175" fontId="0" fillId="26" borderId="61" xfId="0" applyNumberFormat="1" applyFill="1" applyBorder="1"/>
    <xf numFmtId="175" fontId="36" fillId="2" borderId="44" xfId="2" applyNumberFormat="1" applyFont="1" applyFill="1" applyBorder="1"/>
    <xf numFmtId="173" fontId="11" fillId="27" borderId="1" xfId="2" applyNumberFormat="1" applyFont="1" applyFill="1" applyBorder="1" applyAlignment="1">
      <alignment horizontal="left"/>
    </xf>
    <xf numFmtId="165" fontId="11" fillId="27" borderId="1" xfId="2" applyNumberFormat="1" applyFont="1" applyFill="1" applyBorder="1" applyAlignment="1">
      <alignment horizontal="left"/>
    </xf>
    <xf numFmtId="175" fontId="11" fillId="5" borderId="0" xfId="2" applyNumberFormat="1" applyFont="1" applyFill="1"/>
    <xf numFmtId="0" fontId="11" fillId="24" borderId="1" xfId="0" applyFont="1" applyFill="1" applyBorder="1"/>
    <xf numFmtId="173" fontId="12" fillId="37" borderId="1" xfId="2" applyNumberFormat="1" applyFont="1" applyFill="1" applyBorder="1" applyAlignment="1">
      <alignment horizontal="center" vertical="center" wrapText="1"/>
    </xf>
    <xf numFmtId="0" fontId="11" fillId="24" borderId="1" xfId="2" applyFont="1" applyFill="1" applyBorder="1"/>
    <xf numFmtId="173" fontId="11" fillId="33" borderId="1" xfId="2" applyNumberFormat="1" applyFont="1" applyFill="1" applyBorder="1" applyAlignment="1">
      <alignment horizontal="center" vertical="center" wrapText="1"/>
    </xf>
    <xf numFmtId="170" fontId="11" fillId="33" borderId="1" xfId="2" applyNumberFormat="1" applyFont="1" applyFill="1" applyBorder="1" applyAlignment="1">
      <alignment horizontal="center"/>
    </xf>
    <xf numFmtId="171" fontId="12" fillId="33" borderId="1" xfId="0" applyNumberFormat="1" applyFont="1" applyFill="1" applyBorder="1" applyAlignment="1">
      <alignment horizontal="center"/>
    </xf>
    <xf numFmtId="171" fontId="12" fillId="33" borderId="1" xfId="2" applyNumberFormat="1" applyFont="1" applyFill="1" applyBorder="1" applyAlignment="1">
      <alignment horizontal="center"/>
    </xf>
    <xf numFmtId="0" fontId="12" fillId="33" borderId="1" xfId="0" applyFont="1" applyFill="1" applyBorder="1"/>
    <xf numFmtId="0" fontId="11" fillId="33" borderId="1" xfId="2" applyFont="1" applyFill="1" applyBorder="1"/>
    <xf numFmtId="175" fontId="34" fillId="33" borderId="1" xfId="2" applyNumberFormat="1" applyFont="1" applyFill="1" applyBorder="1" applyAlignment="1">
      <alignment horizontal="left" vertical="top"/>
    </xf>
    <xf numFmtId="170" fontId="12" fillId="0" borderId="1" xfId="2" applyNumberFormat="1" applyFont="1" applyBorder="1" applyAlignment="1">
      <alignment horizontal="center"/>
    </xf>
    <xf numFmtId="170" fontId="11" fillId="27" borderId="7" xfId="2" applyNumberFormat="1" applyFont="1" applyFill="1" applyBorder="1" applyAlignment="1">
      <alignment horizontal="center"/>
    </xf>
    <xf numFmtId="175" fontId="11" fillId="0" borderId="0" xfId="0" applyNumberFormat="1" applyFont="1"/>
    <xf numFmtId="2" fontId="53" fillId="0" borderId="1" xfId="2" applyNumberFormat="1" applyFont="1" applyBorder="1" applyAlignment="1">
      <alignment vertical="center" wrapText="1"/>
    </xf>
    <xf numFmtId="165" fontId="11" fillId="0" borderId="1" xfId="2" applyNumberFormat="1" applyFont="1" applyBorder="1" applyAlignment="1">
      <alignment horizontal="left" wrapText="1"/>
    </xf>
    <xf numFmtId="0" fontId="11" fillId="36" borderId="1" xfId="0" applyFont="1" applyFill="1" applyBorder="1" applyAlignment="1">
      <alignment vertical="center" wrapText="1"/>
    </xf>
    <xf numFmtId="2" fontId="41" fillId="36" borderId="11" xfId="2" applyNumberFormat="1" applyFont="1" applyFill="1" applyBorder="1" applyAlignment="1">
      <alignment vertical="center" wrapText="1"/>
    </xf>
    <xf numFmtId="175" fontId="41" fillId="36" borderId="1" xfId="2" applyNumberFormat="1" applyFont="1" applyFill="1" applyBorder="1" applyAlignment="1">
      <alignment vertical="center" wrapText="1"/>
    </xf>
    <xf numFmtId="175" fontId="34" fillId="36" borderId="11" xfId="0" applyNumberFormat="1" applyFont="1" applyFill="1" applyBorder="1"/>
    <xf numFmtId="175" fontId="41" fillId="23" borderId="1" xfId="2" applyNumberFormat="1" applyFont="1" applyFill="1" applyBorder="1" applyAlignment="1">
      <alignment vertical="center" wrapText="1"/>
    </xf>
    <xf numFmtId="175" fontId="11" fillId="0" borderId="1" xfId="2" applyNumberFormat="1" applyFont="1" applyBorder="1" applyAlignment="1">
      <alignment vertical="center" wrapText="1"/>
    </xf>
    <xf numFmtId="175" fontId="34" fillId="23" borderId="1" xfId="0" applyNumberFormat="1" applyFont="1" applyFill="1" applyBorder="1"/>
    <xf numFmtId="0" fontId="35" fillId="5" borderId="11" xfId="0" applyFont="1" applyFill="1" applyBorder="1" applyAlignment="1">
      <alignment vertical="center" wrapText="1"/>
    </xf>
    <xf numFmtId="0" fontId="35" fillId="5" borderId="18" xfId="0" applyFont="1" applyFill="1" applyBorder="1" applyAlignment="1">
      <alignment vertical="center" wrapText="1"/>
    </xf>
    <xf numFmtId="0" fontId="35" fillId="5" borderId="7" xfId="0" applyFont="1" applyFill="1" applyBorder="1" applyAlignment="1">
      <alignment vertical="center" wrapText="1"/>
    </xf>
    <xf numFmtId="171" fontId="12" fillId="37" borderId="1" xfId="0" applyNumberFormat="1" applyFont="1" applyFill="1" applyBorder="1" applyAlignment="1">
      <alignment horizontal="center"/>
    </xf>
    <xf numFmtId="2" fontId="41" fillId="37" borderId="11" xfId="2" applyNumberFormat="1" applyFont="1" applyFill="1" applyBorder="1" applyAlignment="1">
      <alignment vertical="center" wrapText="1"/>
    </xf>
    <xf numFmtId="175" fontId="41" fillId="37" borderId="1" xfId="2" applyNumberFormat="1" applyFont="1" applyFill="1" applyBorder="1" applyAlignment="1">
      <alignment vertical="center" wrapText="1"/>
    </xf>
    <xf numFmtId="175" fontId="34" fillId="37" borderId="1" xfId="0" applyNumberFormat="1" applyFont="1" applyFill="1" applyBorder="1"/>
    <xf numFmtId="0" fontId="60" fillId="37" borderId="1" xfId="0" applyFont="1" applyFill="1" applyBorder="1" applyAlignment="1">
      <alignment vertical="center" wrapText="1"/>
    </xf>
    <xf numFmtId="170" fontId="12" fillId="37" borderId="1" xfId="2" applyNumberFormat="1" applyFont="1" applyFill="1" applyBorder="1" applyAlignment="1">
      <alignment horizontal="center"/>
    </xf>
    <xf numFmtId="171" fontId="12" fillId="38" borderId="1" xfId="0" applyNumberFormat="1" applyFont="1" applyFill="1" applyBorder="1" applyAlignment="1">
      <alignment horizontal="center"/>
    </xf>
    <xf numFmtId="173" fontId="12" fillId="38" borderId="1" xfId="2" applyNumberFormat="1" applyFont="1" applyFill="1" applyBorder="1" applyAlignment="1">
      <alignment horizontal="center" vertical="center" wrapText="1"/>
    </xf>
    <xf numFmtId="170" fontId="12" fillId="38" borderId="1" xfId="2" applyNumberFormat="1" applyFont="1" applyFill="1" applyBorder="1" applyAlignment="1">
      <alignment horizontal="center"/>
    </xf>
    <xf numFmtId="0" fontId="60" fillId="38" borderId="1" xfId="0" applyFont="1" applyFill="1" applyBorder="1" applyAlignment="1">
      <alignment vertical="center" wrapText="1"/>
    </xf>
    <xf numFmtId="171" fontId="12" fillId="38" borderId="7" xfId="0" applyNumberFormat="1" applyFont="1" applyFill="1" applyBorder="1" applyAlignment="1">
      <alignment horizontal="center"/>
    </xf>
    <xf numFmtId="0" fontId="12" fillId="38" borderId="1" xfId="0" applyFont="1" applyFill="1" applyBorder="1"/>
    <xf numFmtId="0" fontId="41" fillId="0" borderId="1" xfId="0" applyFont="1" applyBorder="1" applyAlignment="1">
      <alignment vertical="center" wrapText="1"/>
    </xf>
    <xf numFmtId="0" fontId="43" fillId="0" borderId="1" xfId="0" applyFont="1" applyBorder="1" applyAlignment="1">
      <alignment vertical="center" wrapText="1"/>
    </xf>
    <xf numFmtId="0" fontId="41" fillId="8" borderId="1" xfId="2" applyFont="1" applyFill="1" applyBorder="1" applyAlignment="1">
      <alignment vertical="center" wrapText="1"/>
    </xf>
    <xf numFmtId="0" fontId="53" fillId="0" borderId="11" xfId="2" applyFont="1" applyBorder="1" applyAlignment="1">
      <alignment vertical="center" wrapText="1"/>
    </xf>
    <xf numFmtId="0" fontId="53" fillId="0" borderId="1" xfId="2" applyFont="1" applyBorder="1" applyAlignment="1">
      <alignment vertical="center" wrapText="1"/>
    </xf>
    <xf numFmtId="0" fontId="41" fillId="8" borderId="11" xfId="2" applyFont="1" applyFill="1" applyBorder="1" applyAlignment="1">
      <alignment vertical="center" wrapText="1"/>
    </xf>
    <xf numFmtId="0" fontId="41" fillId="8" borderId="4" xfId="2" applyFont="1" applyFill="1" applyBorder="1" applyAlignment="1">
      <alignment vertical="center" wrapText="1"/>
    </xf>
    <xf numFmtId="0" fontId="41" fillId="8" borderId="67" xfId="2" applyFont="1" applyFill="1" applyBorder="1" applyAlignment="1">
      <alignment vertical="center" wrapText="1"/>
    </xf>
    <xf numFmtId="0" fontId="61" fillId="8" borderId="1" xfId="2" applyFont="1" applyFill="1" applyBorder="1" applyAlignment="1">
      <alignment vertical="center" wrapText="1"/>
    </xf>
    <xf numFmtId="0" fontId="11" fillId="8" borderId="1" xfId="2" applyFont="1" applyFill="1" applyBorder="1" applyAlignment="1">
      <alignment vertical="center" wrapText="1"/>
    </xf>
    <xf numFmtId="0" fontId="41" fillId="0" borderId="1" xfId="2" applyFont="1" applyBorder="1" applyAlignment="1">
      <alignment vertical="center" wrapText="1"/>
    </xf>
    <xf numFmtId="173" fontId="11" fillId="37" borderId="1" xfId="2" applyNumberFormat="1" applyFont="1" applyFill="1" applyBorder="1" applyAlignment="1">
      <alignment horizontal="center" vertical="center" wrapText="1"/>
    </xf>
    <xf numFmtId="170" fontId="11" fillId="37" borderId="1" xfId="2" applyNumberFormat="1" applyFont="1" applyFill="1" applyBorder="1" applyAlignment="1">
      <alignment horizontal="center"/>
    </xf>
    <xf numFmtId="171" fontId="12" fillId="37" borderId="1" xfId="2" applyNumberFormat="1" applyFont="1" applyFill="1" applyBorder="1" applyAlignment="1">
      <alignment horizontal="center"/>
    </xf>
    <xf numFmtId="0" fontId="41" fillId="37" borderId="11" xfId="2" applyFont="1" applyFill="1" applyBorder="1" applyAlignment="1">
      <alignment vertical="center" wrapText="1"/>
    </xf>
    <xf numFmtId="0" fontId="60" fillId="37" borderId="1" xfId="2" applyFont="1" applyFill="1" applyBorder="1" applyAlignment="1">
      <alignment vertical="center" wrapText="1"/>
    </xf>
    <xf numFmtId="0" fontId="11" fillId="0" borderId="1" xfId="0" applyFont="1" applyBorder="1" applyAlignment="1">
      <alignment horizontal="left" vertical="top" wrapText="1"/>
    </xf>
    <xf numFmtId="175" fontId="53" fillId="0" borderId="1" xfId="2" applyNumberFormat="1" applyFont="1" applyBorder="1" applyAlignment="1">
      <alignment vertical="center" wrapText="1"/>
    </xf>
    <xf numFmtId="0" fontId="41" fillId="5" borderId="0" xfId="2" applyFont="1" applyFill="1" applyAlignment="1">
      <alignment horizontal="left" vertical="top" wrapText="1"/>
    </xf>
    <xf numFmtId="175" fontId="41" fillId="5" borderId="0" xfId="2" applyNumberFormat="1" applyFont="1" applyFill="1" applyAlignment="1">
      <alignment horizontal="left" vertical="top" wrapText="1"/>
    </xf>
    <xf numFmtId="175" fontId="19" fillId="0" borderId="11" xfId="0" applyNumberFormat="1" applyFont="1" applyBorder="1"/>
    <xf numFmtId="2" fontId="41" fillId="8" borderId="1" xfId="2" applyNumberFormat="1" applyFont="1" applyFill="1" applyBorder="1" applyAlignment="1">
      <alignment vertical="center" wrapText="1"/>
    </xf>
    <xf numFmtId="0" fontId="11" fillId="26" borderId="61" xfId="0" applyFont="1" applyFill="1" applyBorder="1" applyAlignment="1">
      <alignment horizontal="left" vertical="top" wrapText="1"/>
    </xf>
    <xf numFmtId="2" fontId="41" fillId="26" borderId="61" xfId="2" applyNumberFormat="1" applyFont="1" applyFill="1" applyBorder="1" applyAlignment="1">
      <alignment vertical="center" wrapText="1"/>
    </xf>
    <xf numFmtId="175" fontId="41" fillId="26" borderId="61" xfId="2" applyNumberFormat="1" applyFont="1" applyFill="1" applyBorder="1" applyAlignment="1">
      <alignment vertical="center" wrapText="1"/>
    </xf>
    <xf numFmtId="175" fontId="34" fillId="26" borderId="75" xfId="0" applyNumberFormat="1" applyFont="1" applyFill="1" applyBorder="1"/>
    <xf numFmtId="175" fontId="34" fillId="26" borderId="61" xfId="0" applyNumberFormat="1" applyFont="1" applyFill="1" applyBorder="1"/>
    <xf numFmtId="0" fontId="11" fillId="0" borderId="4" xfId="0" applyFont="1" applyBorder="1" applyAlignment="1">
      <alignment horizontal="left" vertical="top" wrapText="1"/>
    </xf>
    <xf numFmtId="2" fontId="41" fillId="8" borderId="4" xfId="2" applyNumberFormat="1" applyFont="1" applyFill="1" applyBorder="1" applyAlignment="1">
      <alignment vertical="center" wrapText="1"/>
    </xf>
    <xf numFmtId="175" fontId="41" fillId="8" borderId="4" xfId="2" applyNumberFormat="1" applyFont="1" applyFill="1" applyBorder="1" applyAlignment="1">
      <alignment vertical="center" wrapText="1"/>
    </xf>
    <xf numFmtId="175" fontId="34" fillId="0" borderId="67" xfId="0" applyNumberFormat="1" applyFont="1" applyBorder="1"/>
    <xf numFmtId="175" fontId="34" fillId="0" borderId="4" xfId="0" applyNumberFormat="1" applyFont="1" applyBorder="1"/>
    <xf numFmtId="0" fontId="43" fillId="0" borderId="1" xfId="0" applyFont="1" applyBorder="1" applyAlignment="1">
      <alignment horizontal="left" vertical="top" wrapText="1"/>
    </xf>
    <xf numFmtId="0" fontId="11" fillId="8" borderId="1" xfId="0" applyFont="1" applyFill="1" applyBorder="1" applyAlignment="1">
      <alignment horizontal="left" vertical="top" wrapText="1"/>
    </xf>
    <xf numFmtId="0" fontId="43" fillId="8" borderId="1" xfId="0" applyFont="1" applyFill="1" applyBorder="1" applyAlignment="1">
      <alignment horizontal="left" vertical="top" wrapText="1"/>
    </xf>
    <xf numFmtId="171" fontId="12" fillId="26" borderId="61" xfId="2" applyNumberFormat="1" applyFont="1" applyFill="1" applyBorder="1" applyAlignment="1">
      <alignment horizontal="center" vertical="center"/>
    </xf>
    <xf numFmtId="173" fontId="11" fillId="38" borderId="1" xfId="2" applyNumberFormat="1" applyFont="1" applyFill="1" applyBorder="1" applyAlignment="1">
      <alignment horizontal="center" vertical="center" wrapText="1"/>
    </xf>
    <xf numFmtId="170" fontId="11" fillId="38" borderId="1" xfId="2" applyNumberFormat="1" applyFont="1" applyFill="1" applyBorder="1" applyAlignment="1">
      <alignment horizontal="center"/>
    </xf>
    <xf numFmtId="0" fontId="12" fillId="38" borderId="1" xfId="0" applyFont="1" applyFill="1" applyBorder="1" applyAlignment="1">
      <alignment horizontal="left" vertical="top" wrapText="1"/>
    </xf>
    <xf numFmtId="170" fontId="12" fillId="38" borderId="1" xfId="2" applyNumberFormat="1" applyFont="1" applyFill="1" applyBorder="1" applyAlignment="1">
      <alignment horizontal="center" vertical="center"/>
    </xf>
    <xf numFmtId="171" fontId="12" fillId="38" borderId="1" xfId="0" quotePrefix="1" applyNumberFormat="1" applyFont="1" applyFill="1" applyBorder="1" applyAlignment="1">
      <alignment horizontal="center" vertical="center"/>
    </xf>
    <xf numFmtId="171" fontId="12" fillId="38" borderId="1" xfId="0" applyNumberFormat="1" applyFont="1" applyFill="1" applyBorder="1" applyAlignment="1">
      <alignment horizontal="center" vertical="center"/>
    </xf>
    <xf numFmtId="0" fontId="20" fillId="38" borderId="1" xfId="0" applyFont="1" applyFill="1" applyBorder="1" applyAlignment="1">
      <alignment vertical="center" wrapText="1"/>
    </xf>
    <xf numFmtId="2" fontId="5" fillId="38" borderId="11" xfId="2" applyNumberFormat="1" applyFont="1" applyFill="1" applyBorder="1" applyAlignment="1">
      <alignment vertical="center" wrapText="1"/>
    </xf>
    <xf numFmtId="175" fontId="5" fillId="38" borderId="1" xfId="2" applyNumberFormat="1" applyFont="1" applyFill="1" applyBorder="1" applyAlignment="1">
      <alignment horizontal="left" vertical="top" wrapText="1"/>
    </xf>
    <xf numFmtId="175" fontId="0" fillId="38" borderId="11" xfId="0" applyNumberFormat="1" applyFill="1" applyBorder="1" applyAlignment="1">
      <alignment horizontal="left" vertical="top"/>
    </xf>
    <xf numFmtId="175" fontId="0" fillId="38" borderId="1" xfId="0" applyNumberFormat="1" applyFill="1" applyBorder="1" applyAlignment="1">
      <alignment horizontal="left" vertical="top"/>
    </xf>
    <xf numFmtId="0" fontId="1" fillId="0" borderId="2" xfId="0" applyFont="1" applyBorder="1" applyAlignment="1">
      <alignment vertical="center" wrapText="1"/>
    </xf>
    <xf numFmtId="168" fontId="1" fillId="0" borderId="2" xfId="0" applyNumberFormat="1" applyFont="1" applyBorder="1" applyAlignment="1">
      <alignment horizontal="left" vertical="center" wrapText="1"/>
    </xf>
    <xf numFmtId="49" fontId="0" fillId="4" borderId="0" xfId="0" applyNumberFormat="1" applyFill="1" applyAlignment="1">
      <alignment horizontal="left" vertical="center" wrapText="1"/>
    </xf>
    <xf numFmtId="168" fontId="0" fillId="4" borderId="0" xfId="0" applyNumberFormat="1" applyFill="1" applyAlignment="1">
      <alignment horizontal="left" vertical="center" wrapText="1"/>
    </xf>
    <xf numFmtId="49" fontId="0" fillId="4" borderId="0" xfId="0" applyNumberFormat="1" applyFill="1" applyAlignment="1">
      <alignment vertical="center" wrapText="1"/>
    </xf>
    <xf numFmtId="49" fontId="23" fillId="4" borderId="0" xfId="0" applyNumberFormat="1" applyFont="1" applyFill="1" applyAlignment="1">
      <alignment vertical="center" wrapText="1"/>
    </xf>
    <xf numFmtId="168" fontId="23" fillId="4" borderId="0" xfId="0" applyNumberFormat="1" applyFont="1" applyFill="1" applyAlignment="1">
      <alignment horizontal="left" vertical="center" wrapText="1"/>
    </xf>
    <xf numFmtId="168" fontId="16" fillId="4" borderId="0" xfId="0" applyNumberFormat="1" applyFont="1" applyFill="1" applyAlignment="1">
      <alignment horizontal="left" vertical="center" wrapText="1"/>
    </xf>
    <xf numFmtId="49" fontId="23" fillId="4" borderId="0" xfId="0" applyNumberFormat="1" applyFont="1" applyFill="1" applyAlignment="1">
      <alignment horizontal="left" vertical="center" wrapText="1"/>
    </xf>
    <xf numFmtId="168" fontId="23" fillId="4" borderId="0" xfId="0" quotePrefix="1" applyNumberFormat="1" applyFont="1" applyFill="1" applyAlignment="1">
      <alignment horizontal="left" vertical="center" wrapText="1"/>
    </xf>
    <xf numFmtId="0" fontId="0" fillId="4" borderId="0" xfId="0" applyFill="1" applyAlignment="1">
      <alignment vertical="center" wrapText="1"/>
    </xf>
    <xf numFmtId="0" fontId="0" fillId="4" borderId="0" xfId="0" applyFill="1" applyAlignment="1">
      <alignment horizontal="left" vertical="center" wrapText="1"/>
    </xf>
    <xf numFmtId="0" fontId="0" fillId="4" borderId="0" xfId="0" applyFill="1" applyAlignment="1">
      <alignment vertical="center"/>
    </xf>
    <xf numFmtId="0" fontId="0" fillId="4" borderId="0" xfId="0" applyFill="1" applyAlignment="1">
      <alignment horizontal="left" vertical="center"/>
    </xf>
    <xf numFmtId="49" fontId="0" fillId="4" borderId="41" xfId="0" applyNumberFormat="1" applyFill="1" applyBorder="1" applyAlignment="1">
      <alignment horizontal="left" vertical="center" wrapText="1"/>
    </xf>
    <xf numFmtId="168" fontId="0" fillId="4" borderId="41" xfId="0" applyNumberFormat="1" applyFill="1" applyBorder="1" applyAlignment="1">
      <alignment horizontal="left" vertical="center" wrapText="1"/>
    </xf>
    <xf numFmtId="49" fontId="0" fillId="4" borderId="66" xfId="0" applyNumberFormat="1" applyFill="1" applyBorder="1" applyAlignment="1">
      <alignment horizontal="left" vertical="center" wrapText="1"/>
    </xf>
    <xf numFmtId="168" fontId="0" fillId="4" borderId="66" xfId="0" applyNumberFormat="1" applyFill="1" applyBorder="1" applyAlignment="1">
      <alignment horizontal="left" vertical="center" wrapText="1"/>
    </xf>
    <xf numFmtId="49" fontId="0" fillId="4" borderId="66" xfId="0" applyNumberFormat="1" applyFill="1" applyBorder="1" applyAlignment="1">
      <alignment vertical="center" wrapText="1"/>
    </xf>
    <xf numFmtId="49" fontId="0" fillId="30" borderId="66" xfId="0" applyNumberFormat="1" applyFill="1" applyBorder="1" applyAlignment="1">
      <alignment horizontal="left" vertical="center" wrapText="1"/>
    </xf>
    <xf numFmtId="49" fontId="1" fillId="4" borderId="66" xfId="0" applyNumberFormat="1" applyFont="1" applyFill="1" applyBorder="1" applyAlignment="1">
      <alignment horizontal="left" vertical="center" wrapText="1"/>
    </xf>
    <xf numFmtId="49" fontId="1" fillId="30" borderId="66" xfId="0" applyNumberFormat="1" applyFont="1" applyFill="1" applyBorder="1" applyAlignment="1">
      <alignment horizontal="left" vertical="center" wrapText="1"/>
    </xf>
    <xf numFmtId="168" fontId="23" fillId="4" borderId="66" xfId="0" applyNumberFormat="1" applyFont="1" applyFill="1" applyBorder="1" applyAlignment="1">
      <alignment horizontal="left" vertical="center" wrapText="1"/>
    </xf>
    <xf numFmtId="49" fontId="1" fillId="4" borderId="66" xfId="0" applyNumberFormat="1" applyFont="1" applyFill="1" applyBorder="1" applyAlignment="1">
      <alignment vertical="center" wrapText="1"/>
    </xf>
    <xf numFmtId="0" fontId="0" fillId="4" borderId="66" xfId="0" applyFill="1" applyBorder="1" applyAlignment="1">
      <alignment vertical="center"/>
    </xf>
    <xf numFmtId="49" fontId="40" fillId="4" borderId="66" xfId="0" applyNumberFormat="1" applyFont="1" applyFill="1" applyBorder="1" applyAlignment="1">
      <alignment vertical="center" wrapText="1"/>
    </xf>
    <xf numFmtId="49" fontId="40" fillId="4" borderId="0" xfId="0" applyNumberFormat="1" applyFont="1" applyFill="1" applyAlignment="1">
      <alignment vertical="center" wrapText="1"/>
    </xf>
    <xf numFmtId="0" fontId="23" fillId="4" borderId="0" xfId="0" applyFont="1" applyFill="1" applyAlignment="1">
      <alignment vertical="center"/>
    </xf>
    <xf numFmtId="0" fontId="0" fillId="4" borderId="66" xfId="0" applyFill="1" applyBorder="1" applyAlignment="1">
      <alignment vertical="center" wrapText="1"/>
    </xf>
    <xf numFmtId="0" fontId="0" fillId="4" borderId="66" xfId="0" applyFill="1" applyBorder="1" applyAlignment="1">
      <alignment horizontal="left" vertical="center" wrapText="1"/>
    </xf>
    <xf numFmtId="168" fontId="0" fillId="4" borderId="66" xfId="0" quotePrefix="1" applyNumberFormat="1" applyFill="1" applyBorder="1" applyAlignment="1">
      <alignment horizontal="left" vertical="center" wrapText="1"/>
    </xf>
    <xf numFmtId="49" fontId="23" fillId="4" borderId="66" xfId="0" applyNumberFormat="1" applyFont="1" applyFill="1" applyBorder="1" applyAlignment="1">
      <alignment vertical="center" wrapText="1"/>
    </xf>
    <xf numFmtId="0" fontId="23" fillId="4" borderId="66" xfId="0" applyFont="1" applyFill="1" applyBorder="1" applyAlignment="1">
      <alignment vertical="center"/>
    </xf>
    <xf numFmtId="0" fontId="0" fillId="0" borderId="0" xfId="0" applyAlignment="1">
      <alignment vertical="center" wrapText="1"/>
    </xf>
    <xf numFmtId="168" fontId="0" fillId="0" borderId="0" xfId="0" applyNumberFormat="1" applyAlignment="1">
      <alignment vertical="center" wrapText="1"/>
    </xf>
    <xf numFmtId="170" fontId="11" fillId="38" borderId="1" xfId="2" applyNumberFormat="1" applyFont="1" applyFill="1" applyBorder="1" applyAlignment="1">
      <alignment horizontal="center" vertical="center"/>
    </xf>
    <xf numFmtId="0" fontId="13" fillId="39" borderId="27" xfId="2" applyFont="1" applyFill="1" applyBorder="1" applyAlignment="1">
      <alignment horizontal="center" vertical="center" wrapText="1"/>
    </xf>
    <xf numFmtId="171" fontId="12" fillId="24" borderId="39" xfId="2" applyNumberFormat="1" applyFont="1" applyFill="1" applyBorder="1" applyAlignment="1">
      <alignment horizontal="center"/>
    </xf>
    <xf numFmtId="170" fontId="11" fillId="0" borderId="65" xfId="2" applyNumberFormat="1" applyFont="1" applyBorder="1" applyAlignment="1">
      <alignment horizontal="center"/>
    </xf>
    <xf numFmtId="0" fontId="13" fillId="12" borderId="27" xfId="2" applyFont="1" applyFill="1" applyBorder="1" applyAlignment="1">
      <alignment horizontal="center" vertical="center" wrapText="1"/>
    </xf>
    <xf numFmtId="171" fontId="12" fillId="4" borderId="39" xfId="2" applyNumberFormat="1" applyFont="1" applyFill="1" applyBorder="1" applyAlignment="1">
      <alignment horizontal="center"/>
    </xf>
    <xf numFmtId="0" fontId="23" fillId="4" borderId="0" xfId="0" applyFont="1" applyFill="1" applyAlignment="1">
      <alignment horizontal="left" vertical="top" wrapText="1"/>
    </xf>
    <xf numFmtId="0" fontId="41" fillId="8" borderId="1" xfId="2" applyFont="1" applyFill="1" applyBorder="1" applyAlignment="1">
      <alignment horizontal="left" wrapText="1"/>
    </xf>
    <xf numFmtId="0" fontId="43" fillId="8" borderId="1" xfId="2" applyFont="1" applyFill="1" applyBorder="1" applyAlignment="1">
      <alignment horizontal="left" wrapText="1"/>
    </xf>
    <xf numFmtId="0" fontId="41" fillId="8" borderId="1" xfId="2" applyFont="1" applyFill="1" applyBorder="1" applyAlignment="1">
      <alignment wrapText="1"/>
    </xf>
    <xf numFmtId="173" fontId="11" fillId="0" borderId="1" xfId="2" applyNumberFormat="1" applyFont="1" applyBorder="1" applyAlignment="1">
      <alignment horizontal="center" wrapText="1"/>
    </xf>
    <xf numFmtId="0" fontId="5" fillId="9" borderId="0" xfId="3" applyFont="1" applyFill="1" applyAlignment="1">
      <alignment wrapText="1"/>
    </xf>
    <xf numFmtId="0" fontId="5" fillId="9" borderId="17" xfId="3" applyFont="1" applyFill="1" applyBorder="1" applyAlignment="1">
      <alignment wrapText="1"/>
    </xf>
    <xf numFmtId="0" fontId="11" fillId="8" borderId="1" xfId="0" applyFont="1" applyFill="1" applyBorder="1" applyAlignment="1">
      <alignment horizontal="left" wrapText="1"/>
    </xf>
    <xf numFmtId="171" fontId="12" fillId="38" borderId="1" xfId="3" applyNumberFormat="1" applyFont="1" applyFill="1" applyBorder="1" applyAlignment="1">
      <alignment horizontal="center"/>
    </xf>
    <xf numFmtId="173" fontId="12" fillId="38" borderId="1" xfId="2" applyNumberFormat="1" applyFont="1" applyFill="1" applyBorder="1" applyAlignment="1">
      <alignment horizontal="center" wrapText="1"/>
    </xf>
    <xf numFmtId="170" fontId="12" fillId="38" borderId="1" xfId="3" applyNumberFormat="1" applyFont="1" applyFill="1" applyBorder="1" applyAlignment="1">
      <alignment horizontal="center"/>
    </xf>
    <xf numFmtId="0" fontId="12" fillId="38" borderId="1" xfId="3" applyFont="1" applyFill="1" applyBorder="1"/>
    <xf numFmtId="0" fontId="12" fillId="38" borderId="11" xfId="3" applyFont="1" applyFill="1" applyBorder="1" applyAlignment="1">
      <alignment horizontal="left"/>
    </xf>
    <xf numFmtId="0" fontId="12" fillId="38" borderId="1" xfId="3" applyFont="1" applyFill="1" applyBorder="1" applyAlignment="1">
      <alignment horizontal="left"/>
    </xf>
    <xf numFmtId="0" fontId="10" fillId="18" borderId="35" xfId="0" applyFont="1" applyFill="1" applyBorder="1" applyAlignment="1">
      <alignment horizontal="left" vertical="center" readingOrder="1"/>
    </xf>
    <xf numFmtId="0" fontId="0" fillId="4" borderId="0" xfId="0" applyFill="1" applyAlignment="1">
      <alignment wrapText="1"/>
    </xf>
    <xf numFmtId="22" fontId="0" fillId="0" borderId="27" xfId="0" applyNumberFormat="1" applyBorder="1"/>
    <xf numFmtId="22" fontId="0" fillId="0" borderId="20" xfId="0" applyNumberFormat="1" applyBorder="1"/>
    <xf numFmtId="0" fontId="0" fillId="0" borderId="21" xfId="0" applyBorder="1"/>
    <xf numFmtId="0" fontId="0" fillId="0" borderId="54" xfId="0" applyBorder="1"/>
    <xf numFmtId="0" fontId="26" fillId="0" borderId="0" xfId="0" applyFont="1" applyAlignment="1">
      <alignment horizontal="left" vertical="center" readingOrder="1"/>
    </xf>
    <xf numFmtId="0" fontId="24" fillId="0" borderId="0" xfId="0" applyFont="1" applyAlignment="1">
      <alignment horizontal="center"/>
    </xf>
    <xf numFmtId="0" fontId="30" fillId="0" borderId="0" xfId="0" applyFont="1"/>
    <xf numFmtId="169" fontId="1" fillId="0" borderId="0" xfId="0" applyNumberFormat="1" applyFont="1" applyAlignment="1">
      <alignment horizontal="left"/>
    </xf>
    <xf numFmtId="14" fontId="0" fillId="0" borderId="0" xfId="0" applyNumberFormat="1"/>
    <xf numFmtId="0" fontId="23" fillId="4" borderId="0" xfId="0" applyFont="1" applyFill="1"/>
    <xf numFmtId="0" fontId="43" fillId="0" borderId="1" xfId="3" applyFont="1" applyBorder="1"/>
    <xf numFmtId="171" fontId="12" fillId="0" borderId="1" xfId="0" applyNumberFormat="1" applyFont="1" applyBorder="1" applyAlignment="1">
      <alignment horizontal="center"/>
    </xf>
    <xf numFmtId="2" fontId="11" fillId="0" borderId="1" xfId="2" applyNumberFormat="1" applyFont="1" applyBorder="1" applyAlignment="1">
      <alignment horizontal="center" vertical="center"/>
    </xf>
    <xf numFmtId="170" fontId="11" fillId="4" borderId="1" xfId="2" applyNumberFormat="1" applyFont="1" applyFill="1" applyBorder="1" applyAlignment="1">
      <alignment horizontal="center"/>
    </xf>
    <xf numFmtId="170" fontId="11" fillId="37" borderId="1" xfId="2" applyNumberFormat="1" applyFont="1" applyFill="1" applyBorder="1" applyAlignment="1">
      <alignment horizontal="center" vertical="center" wrapText="1"/>
    </xf>
    <xf numFmtId="171" fontId="12" fillId="37" borderId="1" xfId="0" quotePrefix="1" applyNumberFormat="1" applyFont="1" applyFill="1" applyBorder="1" applyAlignment="1">
      <alignment horizontal="center" vertical="center"/>
    </xf>
    <xf numFmtId="168" fontId="23" fillId="40" borderId="0" xfId="0" applyNumberFormat="1" applyFont="1" applyFill="1" applyAlignment="1">
      <alignment horizontal="center" vertical="center"/>
    </xf>
    <xf numFmtId="170" fontId="11" fillId="38" borderId="11" xfId="2" applyNumberFormat="1" applyFont="1" applyFill="1" applyBorder="1" applyAlignment="1">
      <alignment horizontal="center"/>
    </xf>
    <xf numFmtId="0" fontId="11" fillId="38" borderId="3" xfId="2" applyFont="1" applyFill="1" applyBorder="1"/>
    <xf numFmtId="0" fontId="15" fillId="38" borderId="1" xfId="0" applyFont="1" applyFill="1" applyBorder="1" applyAlignment="1">
      <alignment horizontal="left"/>
    </xf>
    <xf numFmtId="0" fontId="15" fillId="38" borderId="11" xfId="0" applyFont="1" applyFill="1" applyBorder="1" applyAlignment="1">
      <alignment horizontal="left"/>
    </xf>
    <xf numFmtId="0" fontId="11" fillId="38" borderId="1" xfId="2" applyFont="1" applyFill="1" applyBorder="1"/>
    <xf numFmtId="0" fontId="0" fillId="4" borderId="0" xfId="0" applyFill="1" applyAlignment="1">
      <alignment horizontal="left" wrapText="1"/>
    </xf>
    <xf numFmtId="0" fontId="41" fillId="26" borderId="61" xfId="2" applyFont="1" applyFill="1" applyBorder="1" applyAlignment="1">
      <alignment vertical="center" wrapText="1"/>
    </xf>
    <xf numFmtId="0" fontId="41" fillId="26" borderId="75" xfId="2" applyFont="1" applyFill="1" applyBorder="1" applyAlignment="1">
      <alignment vertical="center" wrapText="1"/>
    </xf>
    <xf numFmtId="0" fontId="41" fillId="26" borderId="76" xfId="2" applyFont="1" applyFill="1" applyBorder="1" applyAlignment="1">
      <alignment vertical="center" wrapText="1"/>
    </xf>
    <xf numFmtId="0" fontId="0" fillId="24" borderId="0" xfId="0" applyFill="1" applyAlignment="1">
      <alignment wrapText="1"/>
    </xf>
    <xf numFmtId="169" fontId="23" fillId="24" borderId="0" xfId="0" applyNumberFormat="1" applyFont="1" applyFill="1" applyAlignment="1">
      <alignment horizontal="center" vertical="center" wrapText="1"/>
    </xf>
    <xf numFmtId="168" fontId="23" fillId="24" borderId="0" xfId="0" applyNumberFormat="1" applyFont="1" applyFill="1" applyAlignment="1">
      <alignment horizontal="center" vertical="center"/>
    </xf>
    <xf numFmtId="171" fontId="12" fillId="38" borderId="1" xfId="2" applyNumberFormat="1" applyFont="1" applyFill="1" applyBorder="1" applyAlignment="1">
      <alignment horizontal="center"/>
    </xf>
    <xf numFmtId="0" fontId="60" fillId="38" borderId="1" xfId="2" applyFont="1" applyFill="1" applyBorder="1" applyAlignment="1">
      <alignment vertical="center" wrapText="1"/>
    </xf>
    <xf numFmtId="0" fontId="41" fillId="38" borderId="11" xfId="2" applyFont="1" applyFill="1" applyBorder="1" applyAlignment="1">
      <alignment vertical="center" wrapText="1"/>
    </xf>
    <xf numFmtId="0" fontId="41" fillId="38" borderId="1" xfId="2" applyFont="1" applyFill="1" applyBorder="1" applyAlignment="1">
      <alignment vertical="center" wrapText="1"/>
    </xf>
    <xf numFmtId="171" fontId="12" fillId="5" borderId="55" xfId="0" applyNumberFormat="1" applyFont="1" applyFill="1" applyBorder="1" applyAlignment="1">
      <alignment horizontal="center"/>
    </xf>
    <xf numFmtId="173" fontId="11" fillId="4" borderId="1" xfId="2" applyNumberFormat="1" applyFont="1" applyFill="1" applyBorder="1" applyAlignment="1">
      <alignment horizontal="center" vertical="center" wrapText="1"/>
    </xf>
    <xf numFmtId="171" fontId="12" fillId="4" borderId="1" xfId="0" quotePrefix="1" applyNumberFormat="1" applyFont="1" applyFill="1" applyBorder="1" applyAlignment="1">
      <alignment horizontal="center"/>
    </xf>
    <xf numFmtId="0" fontId="11" fillId="4" borderId="1" xfId="0" applyFont="1" applyFill="1" applyBorder="1"/>
    <xf numFmtId="175" fontId="34" fillId="4" borderId="1" xfId="2" applyNumberFormat="1" applyFont="1" applyFill="1" applyBorder="1" applyAlignment="1">
      <alignment horizontal="left" vertical="top"/>
    </xf>
    <xf numFmtId="0" fontId="43" fillId="0" borderId="1" xfId="2" applyFont="1" applyBorder="1" applyAlignment="1">
      <alignment horizontal="left" vertical="top" wrapText="1"/>
    </xf>
    <xf numFmtId="0" fontId="11" fillId="0" borderId="0" xfId="2" applyFont="1"/>
    <xf numFmtId="0" fontId="11" fillId="0" borderId="0" xfId="0" applyFont="1"/>
    <xf numFmtId="171" fontId="12" fillId="38" borderId="1" xfId="2" applyNumberFormat="1" applyFont="1" applyFill="1" applyBorder="1" applyAlignment="1">
      <alignment horizontal="center" vertical="center"/>
    </xf>
    <xf numFmtId="0" fontId="20" fillId="38" borderId="1" xfId="2" applyFont="1" applyFill="1" applyBorder="1" applyAlignment="1" applyProtection="1">
      <alignment vertical="center" wrapText="1"/>
      <protection locked="0"/>
    </xf>
    <xf numFmtId="0" fontId="20" fillId="38" borderId="1" xfId="2" applyFont="1" applyFill="1" applyBorder="1" applyAlignment="1">
      <alignment vertical="center" wrapText="1"/>
    </xf>
    <xf numFmtId="2" fontId="5" fillId="38" borderId="1" xfId="2" applyNumberFormat="1" applyFont="1" applyFill="1" applyBorder="1" applyAlignment="1">
      <alignment vertical="center" wrapText="1"/>
    </xf>
    <xf numFmtId="173" fontId="19" fillId="0" borderId="1" xfId="0" applyNumberFormat="1" applyFont="1" applyBorder="1" applyAlignment="1">
      <alignment horizontal="left"/>
    </xf>
    <xf numFmtId="170" fontId="19" fillId="0" borderId="1" xfId="2" applyNumberFormat="1" applyFont="1" applyBorder="1" applyAlignment="1">
      <alignment horizontal="center"/>
    </xf>
    <xf numFmtId="0" fontId="19" fillId="5" borderId="0" xfId="2" applyFont="1" applyFill="1"/>
    <xf numFmtId="0" fontId="11" fillId="4" borderId="1" xfId="2" applyFont="1" applyFill="1" applyBorder="1"/>
    <xf numFmtId="170" fontId="11" fillId="4" borderId="11" xfId="2" applyNumberFormat="1" applyFont="1" applyFill="1" applyBorder="1" applyAlignment="1">
      <alignment horizontal="center"/>
    </xf>
    <xf numFmtId="170" fontId="11" fillId="4" borderId="10" xfId="2" applyNumberFormat="1" applyFont="1" applyFill="1" applyBorder="1" applyAlignment="1">
      <alignment horizontal="center"/>
    </xf>
    <xf numFmtId="2" fontId="5" fillId="4" borderId="11" xfId="2" applyNumberFormat="1" applyFont="1" applyFill="1" applyBorder="1" applyAlignment="1">
      <alignment vertical="center" wrapText="1"/>
    </xf>
    <xf numFmtId="0" fontId="63" fillId="38" borderId="1" xfId="0" applyFont="1" applyFill="1" applyBorder="1" applyAlignment="1">
      <alignment vertical="center" wrapText="1"/>
    </xf>
    <xf numFmtId="0" fontId="35" fillId="0" borderId="1" xfId="0" applyFont="1" applyBorder="1" applyAlignment="1">
      <alignment vertical="center" wrapText="1"/>
    </xf>
    <xf numFmtId="171" fontId="53" fillId="5" borderId="1" xfId="0" quotePrefix="1" applyNumberFormat="1" applyFont="1" applyFill="1" applyBorder="1" applyAlignment="1">
      <alignment horizontal="center" vertical="center"/>
    </xf>
    <xf numFmtId="3" fontId="0" fillId="0" borderId="0" xfId="0" applyNumberFormat="1"/>
    <xf numFmtId="0" fontId="23" fillId="4" borderId="0" xfId="0" applyFont="1" applyFill="1" applyAlignment="1">
      <alignment wrapText="1"/>
    </xf>
    <xf numFmtId="0" fontId="0" fillId="24" borderId="1" xfId="0" applyFill="1" applyBorder="1" applyAlignment="1">
      <alignment horizontal="left" vertical="top" wrapText="1"/>
    </xf>
    <xf numFmtId="171" fontId="12" fillId="27" borderId="1" xfId="4" applyNumberFormat="1" applyFont="1" applyFill="1" applyBorder="1" applyAlignment="1">
      <alignment horizontal="center"/>
    </xf>
    <xf numFmtId="170" fontId="11" fillId="27" borderId="1" xfId="4" applyNumberFormat="1" applyFont="1" applyFill="1" applyBorder="1" applyAlignment="1">
      <alignment horizontal="center"/>
    </xf>
    <xf numFmtId="0" fontId="43" fillId="27" borderId="1" xfId="0" applyFont="1" applyFill="1" applyBorder="1" applyAlignment="1">
      <alignment vertical="center" wrapText="1"/>
    </xf>
    <xf numFmtId="171" fontId="53" fillId="5" borderId="1" xfId="3" applyNumberFormat="1" applyFont="1" applyFill="1" applyBorder="1" applyAlignment="1">
      <alignment horizontal="center"/>
    </xf>
    <xf numFmtId="0" fontId="6" fillId="41" borderId="1" xfId="0" applyFont="1" applyFill="1" applyBorder="1" applyAlignment="1">
      <alignment horizontal="center" vertical="center" wrapText="1"/>
    </xf>
    <xf numFmtId="0" fontId="6" fillId="41" borderId="1" xfId="0" applyFont="1" applyFill="1" applyBorder="1" applyAlignment="1">
      <alignment horizontal="left" vertical="center" wrapText="1"/>
    </xf>
    <xf numFmtId="0" fontId="0" fillId="0" borderId="1" xfId="0" applyBorder="1" applyAlignment="1">
      <alignment horizontal="left"/>
    </xf>
    <xf numFmtId="0" fontId="0" fillId="0" borderId="0" xfId="0" applyAlignment="1">
      <alignment horizontal="left"/>
    </xf>
    <xf numFmtId="15" fontId="0" fillId="24" borderId="1" xfId="0" applyNumberFormat="1" applyFill="1" applyBorder="1" applyAlignment="1">
      <alignment horizontal="center" vertical="center"/>
    </xf>
    <xf numFmtId="0" fontId="59" fillId="0" borderId="1" xfId="2" applyFont="1" applyBorder="1"/>
    <xf numFmtId="15" fontId="0" fillId="24" borderId="1" xfId="0" applyNumberFormat="1" applyFill="1" applyBorder="1" applyAlignment="1">
      <alignment horizontal="left" vertical="center" wrapText="1"/>
    </xf>
    <xf numFmtId="0" fontId="64" fillId="5" borderId="0" xfId="2" applyFont="1" applyFill="1"/>
    <xf numFmtId="171" fontId="12" fillId="38" borderId="4" xfId="2" quotePrefix="1" applyNumberFormat="1" applyFont="1" applyFill="1" applyBorder="1" applyAlignment="1">
      <alignment horizontal="center"/>
    </xf>
    <xf numFmtId="171" fontId="12" fillId="38" borderId="4" xfId="0" applyNumberFormat="1" applyFont="1" applyFill="1" applyBorder="1" applyAlignment="1">
      <alignment horizontal="center"/>
    </xf>
    <xf numFmtId="170" fontId="11" fillId="38" borderId="4" xfId="2" applyNumberFormat="1" applyFont="1" applyFill="1" applyBorder="1" applyAlignment="1">
      <alignment horizontal="center"/>
    </xf>
    <xf numFmtId="0" fontId="60" fillId="38" borderId="4" xfId="2" applyFont="1" applyFill="1" applyBorder="1" applyAlignment="1">
      <alignment vertical="center" wrapText="1"/>
    </xf>
    <xf numFmtId="0" fontId="41" fillId="0" borderId="11" xfId="2" applyFont="1" applyBorder="1" applyAlignment="1">
      <alignment vertical="center" wrapText="1"/>
    </xf>
    <xf numFmtId="170" fontId="11" fillId="27" borderId="60" xfId="2" applyNumberFormat="1" applyFont="1" applyFill="1" applyBorder="1" applyAlignment="1">
      <alignment horizontal="center"/>
    </xf>
    <xf numFmtId="0" fontId="11" fillId="27" borderId="0" xfId="0" applyFont="1" applyFill="1"/>
    <xf numFmtId="0" fontId="13" fillId="6" borderId="0" xfId="2" applyFont="1" applyFill="1" applyAlignment="1">
      <alignment horizontal="center" vertical="center" wrapText="1"/>
    </xf>
    <xf numFmtId="0" fontId="63" fillId="38" borderId="1" xfId="0" applyFont="1" applyFill="1" applyBorder="1" applyAlignment="1">
      <alignment horizontal="left" vertical="top" wrapText="1"/>
    </xf>
    <xf numFmtId="2" fontId="20" fillId="38" borderId="11" xfId="2" applyNumberFormat="1" applyFont="1" applyFill="1" applyBorder="1" applyAlignment="1">
      <alignment vertical="center" wrapText="1"/>
    </xf>
    <xf numFmtId="175" fontId="20" fillId="38" borderId="1" xfId="2" applyNumberFormat="1" applyFont="1" applyFill="1" applyBorder="1" applyAlignment="1">
      <alignment vertical="center" wrapText="1"/>
    </xf>
    <xf numFmtId="175" fontId="1" fillId="38" borderId="11" xfId="0" applyNumberFormat="1" applyFont="1" applyFill="1" applyBorder="1"/>
    <xf numFmtId="175" fontId="1" fillId="38" borderId="1" xfId="0" applyNumberFormat="1" applyFont="1" applyFill="1" applyBorder="1"/>
    <xf numFmtId="15" fontId="0" fillId="4" borderId="0" xfId="0" applyNumberFormat="1" applyFill="1" applyAlignment="1">
      <alignment horizontal="center"/>
    </xf>
    <xf numFmtId="15" fontId="0" fillId="0" borderId="1" xfId="0" applyNumberFormat="1" applyBorder="1" applyAlignment="1">
      <alignment horizontal="center" vertical="center"/>
    </xf>
    <xf numFmtId="0" fontId="26" fillId="19" borderId="36" xfId="0" applyFont="1" applyFill="1" applyBorder="1" applyAlignment="1">
      <alignment horizontal="left" vertical="center" readingOrder="1"/>
    </xf>
    <xf numFmtId="0" fontId="26" fillId="19" borderId="37" xfId="0" applyFont="1" applyFill="1" applyBorder="1" applyAlignment="1">
      <alignment horizontal="left" vertical="center" readingOrder="1"/>
    </xf>
    <xf numFmtId="0" fontId="26" fillId="0" borderId="20" xfId="0" applyFont="1" applyBorder="1" applyAlignment="1">
      <alignment horizontal="center" vertical="center"/>
    </xf>
    <xf numFmtId="0" fontId="26" fillId="15" borderId="29" xfId="0" applyFont="1" applyFill="1" applyBorder="1" applyAlignment="1">
      <alignment horizontal="center" vertical="center"/>
    </xf>
    <xf numFmtId="0" fontId="26" fillId="14" borderId="20" xfId="0" applyFont="1" applyFill="1" applyBorder="1" applyAlignment="1">
      <alignment horizontal="center" vertical="center"/>
    </xf>
    <xf numFmtId="0" fontId="26" fillId="14" borderId="19" xfId="0" applyFont="1" applyFill="1" applyBorder="1" applyAlignment="1">
      <alignment horizontal="center" vertical="center"/>
    </xf>
    <xf numFmtId="0" fontId="26" fillId="15" borderId="20" xfId="0" applyFont="1" applyFill="1" applyBorder="1" applyAlignment="1">
      <alignment horizontal="center" vertical="center"/>
    </xf>
    <xf numFmtId="0" fontId="26" fillId="0" borderId="30" xfId="0" applyFont="1" applyBorder="1" applyAlignment="1">
      <alignment horizontal="center" vertical="center"/>
    </xf>
    <xf numFmtId="0" fontId="26" fillId="18" borderId="38" xfId="0" applyFont="1" applyFill="1" applyBorder="1" applyAlignment="1">
      <alignment horizontal="left" vertical="center" readingOrder="1"/>
    </xf>
    <xf numFmtId="0" fontId="26" fillId="18" borderId="37" xfId="0" applyFont="1" applyFill="1" applyBorder="1" applyAlignment="1">
      <alignment horizontal="left" vertical="center" readingOrder="1"/>
    </xf>
    <xf numFmtId="0" fontId="26" fillId="18" borderId="38" xfId="0" applyFont="1" applyFill="1" applyBorder="1" applyAlignment="1">
      <alignment horizontal="left" vertical="center" wrapText="1" readingOrder="1"/>
    </xf>
    <xf numFmtId="0" fontId="26" fillId="18" borderId="37" xfId="0" applyFont="1" applyFill="1" applyBorder="1" applyAlignment="1">
      <alignment horizontal="left" vertical="center" wrapText="1" readingOrder="1"/>
    </xf>
    <xf numFmtId="0" fontId="26" fillId="19" borderId="36" xfId="0" applyFont="1" applyFill="1" applyBorder="1" applyAlignment="1">
      <alignment horizontal="left" vertical="center" wrapText="1" readingOrder="1"/>
    </xf>
    <xf numFmtId="0" fontId="26" fillId="19" borderId="37" xfId="0" applyFont="1" applyFill="1" applyBorder="1" applyAlignment="1">
      <alignment horizontal="left" vertical="center" wrapText="1" readingOrder="1"/>
    </xf>
    <xf numFmtId="0" fontId="26" fillId="14" borderId="20" xfId="0" applyFont="1" applyFill="1" applyBorder="1" applyAlignment="1">
      <alignment horizontal="center" vertical="center" wrapText="1"/>
    </xf>
    <xf numFmtId="0" fontId="13" fillId="6" borderId="11" xfId="2" applyFont="1" applyFill="1" applyBorder="1" applyAlignment="1">
      <alignment horizontal="center" vertical="center" wrapText="1"/>
    </xf>
    <xf numFmtId="0" fontId="15" fillId="0" borderId="1" xfId="2" applyFont="1" applyBorder="1" applyAlignment="1">
      <alignment horizontal="left" vertical="top"/>
    </xf>
    <xf numFmtId="0" fontId="11" fillId="5" borderId="0" xfId="2" applyFont="1" applyFill="1" applyAlignment="1">
      <alignment horizontal="left"/>
    </xf>
    <xf numFmtId="0" fontId="35" fillId="6" borderId="9" xfId="0" applyFont="1" applyFill="1" applyBorder="1" applyAlignment="1">
      <alignment horizontal="center" vertical="center" wrapText="1"/>
    </xf>
    <xf numFmtId="0" fontId="35" fillId="6" borderId="0" xfId="0" applyFont="1" applyFill="1" applyAlignment="1">
      <alignment horizontal="center" vertical="center" wrapText="1"/>
    </xf>
    <xf numFmtId="0" fontId="13" fillId="6" borderId="1" xfId="2" applyFont="1" applyFill="1" applyBorder="1" applyAlignment="1">
      <alignment horizontal="left" vertical="center" wrapText="1"/>
    </xf>
    <xf numFmtId="175" fontId="34" fillId="0" borderId="1" xfId="2" applyNumberFormat="1" applyFont="1" applyBorder="1" applyAlignment="1">
      <alignment horizontal="left" vertical="top"/>
    </xf>
    <xf numFmtId="175" fontId="34" fillId="0" borderId="3" xfId="2" applyNumberFormat="1" applyFont="1" applyBorder="1" applyAlignment="1">
      <alignment horizontal="left" vertical="top"/>
    </xf>
    <xf numFmtId="175" fontId="34" fillId="0" borderId="4" xfId="2" applyNumberFormat="1" applyFont="1" applyBorder="1" applyAlignment="1">
      <alignment horizontal="left" vertical="top"/>
    </xf>
    <xf numFmtId="0" fontId="13" fillId="6" borderId="1" xfId="2" applyFont="1" applyFill="1" applyBorder="1" applyAlignment="1">
      <alignment horizontal="center" vertical="center" wrapText="1"/>
    </xf>
    <xf numFmtId="0" fontId="11" fillId="0" borderId="1" xfId="0" applyFont="1" applyBorder="1" applyAlignment="1">
      <alignment horizontal="left" vertical="center" wrapText="1"/>
    </xf>
    <xf numFmtId="175" fontId="41" fillId="8" borderId="1" xfId="2" applyNumberFormat="1" applyFont="1" applyFill="1" applyBorder="1" applyAlignment="1">
      <alignment horizontal="left" vertical="top" wrapText="1"/>
    </xf>
    <xf numFmtId="175" fontId="34" fillId="0" borderId="11" xfId="0" applyNumberFormat="1" applyFont="1" applyBorder="1" applyAlignment="1">
      <alignment horizontal="left" vertical="top"/>
    </xf>
    <xf numFmtId="0" fontId="34" fillId="0" borderId="0" xfId="0" applyFont="1" applyAlignment="1">
      <alignment horizontal="left" vertical="top"/>
    </xf>
    <xf numFmtId="0" fontId="34" fillId="0" borderId="1" xfId="0" applyFont="1" applyBorder="1" applyAlignment="1">
      <alignment horizontal="left" vertical="center" wrapText="1"/>
    </xf>
    <xf numFmtId="2" fontId="60" fillId="38" borderId="11" xfId="2" applyNumberFormat="1" applyFont="1" applyFill="1" applyBorder="1" applyAlignment="1">
      <alignment vertical="center" wrapText="1"/>
    </xf>
    <xf numFmtId="175" fontId="60" fillId="38" borderId="1" xfId="2" applyNumberFormat="1" applyFont="1" applyFill="1" applyBorder="1" applyAlignment="1">
      <alignment vertical="center" wrapText="1"/>
    </xf>
    <xf numFmtId="175" fontId="60" fillId="38" borderId="11" xfId="2" applyNumberFormat="1" applyFont="1" applyFill="1" applyBorder="1" applyAlignment="1">
      <alignment vertical="center" wrapText="1"/>
    </xf>
    <xf numFmtId="175" fontId="65" fillId="38" borderId="1" xfId="0" applyNumberFormat="1" applyFont="1" applyFill="1" applyBorder="1"/>
    <xf numFmtId="0" fontId="41" fillId="8" borderId="7" xfId="2" applyFont="1" applyFill="1" applyBorder="1" applyAlignment="1">
      <alignment horizontal="left" vertical="top" wrapText="1"/>
    </xf>
    <xf numFmtId="0" fontId="43" fillId="0" borderId="1" xfId="0" applyFont="1" applyBorder="1" applyAlignment="1">
      <alignment horizontal="left" vertical="center" wrapText="1"/>
    </xf>
    <xf numFmtId="175" fontId="41" fillId="8" borderId="0" xfId="2" applyNumberFormat="1" applyFont="1" applyFill="1" applyAlignment="1">
      <alignment vertical="center" wrapText="1"/>
    </xf>
    <xf numFmtId="175" fontId="34" fillId="0" borderId="0" xfId="0" applyNumberFormat="1" applyFont="1"/>
    <xf numFmtId="0" fontId="12" fillId="38" borderId="1" xfId="0" applyFont="1" applyFill="1" applyBorder="1" applyAlignment="1">
      <alignment horizontal="left" vertical="center" wrapText="1"/>
    </xf>
    <xf numFmtId="2" fontId="41" fillId="38" borderId="11" xfId="2" applyNumberFormat="1" applyFont="1" applyFill="1" applyBorder="1" applyAlignment="1">
      <alignment vertical="center" wrapText="1"/>
    </xf>
    <xf numFmtId="175" fontId="41" fillId="38" borderId="1" xfId="2" applyNumberFormat="1" applyFont="1" applyFill="1" applyBorder="1" applyAlignment="1">
      <alignment horizontal="left" vertical="top" wrapText="1"/>
    </xf>
    <xf numFmtId="175" fontId="34" fillId="38" borderId="11" xfId="0" applyNumberFormat="1" applyFont="1" applyFill="1" applyBorder="1" applyAlignment="1">
      <alignment horizontal="left" vertical="top"/>
    </xf>
    <xf numFmtId="175" fontId="34" fillId="38" borderId="1" xfId="0" applyNumberFormat="1" applyFont="1" applyFill="1" applyBorder="1" applyAlignment="1">
      <alignment horizontal="left" vertical="top"/>
    </xf>
    <xf numFmtId="175" fontId="41" fillId="38" borderId="1" xfId="2" applyNumberFormat="1" applyFont="1" applyFill="1" applyBorder="1" applyAlignment="1">
      <alignment vertical="center" wrapText="1"/>
    </xf>
    <xf numFmtId="0" fontId="0" fillId="4" borderId="0" xfId="0" quotePrefix="1" applyFill="1" applyAlignment="1">
      <alignment wrapText="1"/>
    </xf>
    <xf numFmtId="175" fontId="34" fillId="28" borderId="1" xfId="0" applyNumberFormat="1" applyFont="1" applyFill="1" applyBorder="1"/>
    <xf numFmtId="0" fontId="11" fillId="43" borderId="1" xfId="2" applyFont="1" applyFill="1" applyBorder="1"/>
    <xf numFmtId="175" fontId="34" fillId="43" borderId="1" xfId="0" applyNumberFormat="1" applyFont="1" applyFill="1" applyBorder="1"/>
    <xf numFmtId="171" fontId="12" fillId="38" borderId="1" xfId="2" quotePrefix="1" applyNumberFormat="1" applyFont="1" applyFill="1" applyBorder="1" applyAlignment="1">
      <alignment horizontal="center" vertical="center"/>
    </xf>
    <xf numFmtId="175" fontId="34" fillId="38" borderId="1" xfId="0" applyNumberFormat="1" applyFont="1" applyFill="1" applyBorder="1"/>
    <xf numFmtId="0" fontId="35" fillId="2" borderId="0" xfId="2" applyFont="1" applyFill="1"/>
    <xf numFmtId="0" fontId="11" fillId="27" borderId="1" xfId="2" applyFont="1" applyFill="1" applyBorder="1" applyAlignment="1">
      <alignment vertical="center" wrapText="1"/>
    </xf>
    <xf numFmtId="0" fontId="13" fillId="5" borderId="0" xfId="2" applyFont="1" applyFill="1" applyAlignment="1">
      <alignment vertical="center" wrapText="1"/>
    </xf>
    <xf numFmtId="0" fontId="13" fillId="5" borderId="0" xfId="2" applyFont="1" applyFill="1" applyAlignment="1">
      <alignment horizontal="center" vertical="center" wrapText="1"/>
    </xf>
    <xf numFmtId="166" fontId="11" fillId="5" borderId="0" xfId="2" applyNumberFormat="1" applyFont="1" applyFill="1" applyAlignment="1">
      <alignment horizontal="center"/>
    </xf>
    <xf numFmtId="0" fontId="35" fillId="32" borderId="67" xfId="2" applyFont="1" applyFill="1" applyBorder="1" applyAlignment="1">
      <alignment horizontal="center" vertical="top" wrapText="1"/>
    </xf>
    <xf numFmtId="0" fontId="35" fillId="32" borderId="2" xfId="2" applyFont="1" applyFill="1" applyBorder="1" applyAlignment="1">
      <alignment horizontal="center" vertical="top" wrapText="1"/>
    </xf>
    <xf numFmtId="15" fontId="23" fillId="4" borderId="0" xfId="0" applyNumberFormat="1" applyFont="1" applyFill="1" applyAlignment="1">
      <alignment horizontal="center"/>
    </xf>
    <xf numFmtId="49" fontId="23" fillId="4" borderId="0" xfId="0" quotePrefix="1" applyNumberFormat="1" applyFont="1" applyFill="1" applyAlignment="1">
      <alignment horizontal="left" vertical="top" wrapText="1"/>
    </xf>
    <xf numFmtId="0" fontId="23" fillId="0" borderId="0" xfId="0" applyFont="1"/>
    <xf numFmtId="49" fontId="23" fillId="4" borderId="0" xfId="0" quotePrefix="1" applyNumberFormat="1" applyFont="1" applyFill="1" applyAlignment="1">
      <alignment horizontal="left" wrapText="1"/>
    </xf>
    <xf numFmtId="0" fontId="23" fillId="40" borderId="0" xfId="0" applyFont="1" applyFill="1" applyAlignment="1">
      <alignment wrapText="1"/>
    </xf>
    <xf numFmtId="0" fontId="23" fillId="40" borderId="0" xfId="0" applyFont="1" applyFill="1" applyAlignment="1">
      <alignment horizontal="center" vertical="center"/>
    </xf>
    <xf numFmtId="168" fontId="23" fillId="40" borderId="0" xfId="0" applyNumberFormat="1" applyFont="1" applyFill="1" applyAlignment="1">
      <alignment horizontal="left" vertical="center" wrapText="1"/>
    </xf>
    <xf numFmtId="49" fontId="23" fillId="40" borderId="0" xfId="0" quotePrefix="1" applyNumberFormat="1" applyFont="1" applyFill="1" applyAlignment="1">
      <alignment horizontal="left" vertical="top" wrapText="1"/>
    </xf>
    <xf numFmtId="0" fontId="23" fillId="40" borderId="0" xfId="0" applyFont="1" applyFill="1" applyAlignment="1">
      <alignment vertical="top" wrapText="1"/>
    </xf>
    <xf numFmtId="0" fontId="23" fillId="24" borderId="0" xfId="0" applyFont="1" applyFill="1" applyAlignment="1">
      <alignment wrapText="1"/>
    </xf>
    <xf numFmtId="0" fontId="23" fillId="24" borderId="0" xfId="0" applyFont="1" applyFill="1" applyAlignment="1">
      <alignment horizontal="center" vertical="center"/>
    </xf>
    <xf numFmtId="168" fontId="23" fillId="24" borderId="0" xfId="0" applyNumberFormat="1" applyFont="1" applyFill="1" applyAlignment="1">
      <alignment horizontal="left" vertical="center" wrapText="1"/>
    </xf>
    <xf numFmtId="49" fontId="23" fillId="24" borderId="0" xfId="0" quotePrefix="1" applyNumberFormat="1" applyFont="1" applyFill="1" applyAlignment="1">
      <alignment horizontal="left" vertical="top" wrapText="1"/>
    </xf>
    <xf numFmtId="169" fontId="23" fillId="4" borderId="0" xfId="0" applyNumberFormat="1" applyFont="1" applyFill="1" applyAlignment="1">
      <alignment horizontal="center" vertical="center" wrapText="1"/>
    </xf>
    <xf numFmtId="1" fontId="0" fillId="0" borderId="0" xfId="0" applyNumberFormat="1" applyAlignment="1">
      <alignment horizontal="center"/>
    </xf>
    <xf numFmtId="1" fontId="0" fillId="0" borderId="55" xfId="0" applyNumberFormat="1" applyBorder="1" applyAlignment="1">
      <alignment horizontal="center"/>
    </xf>
    <xf numFmtId="1" fontId="0" fillId="0" borderId="1" xfId="0" applyNumberFormat="1" applyBorder="1" applyAlignment="1">
      <alignment horizontal="center"/>
    </xf>
    <xf numFmtId="1" fontId="0" fillId="0" borderId="58" xfId="0" applyNumberFormat="1" applyBorder="1" applyAlignment="1">
      <alignment horizontal="center"/>
    </xf>
    <xf numFmtId="1" fontId="0" fillId="0" borderId="55" xfId="0" applyNumberFormat="1" applyBorder="1" applyAlignment="1">
      <alignment horizontal="center" vertical="top"/>
    </xf>
    <xf numFmtId="1" fontId="0" fillId="0" borderId="11" xfId="0" applyNumberFormat="1" applyBorder="1" applyAlignment="1">
      <alignment horizontal="center" vertical="top"/>
    </xf>
    <xf numFmtId="1" fontId="0" fillId="0" borderId="58" xfId="0" applyNumberFormat="1" applyBorder="1" applyAlignment="1">
      <alignment horizontal="center" vertical="top"/>
    </xf>
    <xf numFmtId="1" fontId="0" fillId="0" borderId="1" xfId="0" applyNumberFormat="1" applyBorder="1" applyAlignment="1">
      <alignment horizontal="center" vertical="top"/>
    </xf>
    <xf numFmtId="1" fontId="0" fillId="0" borderId="15" xfId="0" applyNumberFormat="1" applyBorder="1" applyAlignment="1">
      <alignment horizontal="center"/>
    </xf>
    <xf numFmtId="1" fontId="0" fillId="0" borderId="57" xfId="0" applyNumberFormat="1" applyBorder="1" applyAlignment="1">
      <alignment horizontal="center"/>
    </xf>
    <xf numFmtId="1" fontId="0" fillId="0" borderId="13" xfId="0" applyNumberFormat="1" applyBorder="1" applyAlignment="1">
      <alignment horizontal="center"/>
    </xf>
    <xf numFmtId="1" fontId="0" fillId="0" borderId="32" xfId="0" applyNumberFormat="1" applyBorder="1" applyAlignment="1">
      <alignment horizontal="center"/>
    </xf>
    <xf numFmtId="1" fontId="0" fillId="0" borderId="60" xfId="0" applyNumberFormat="1" applyBorder="1" applyAlignment="1">
      <alignment horizontal="center" vertical="top"/>
    </xf>
    <xf numFmtId="1" fontId="0" fillId="0" borderId="13" xfId="0" applyNumberFormat="1" applyBorder="1" applyAlignment="1">
      <alignment horizontal="center" vertical="top"/>
    </xf>
    <xf numFmtId="1" fontId="0" fillId="0" borderId="57" xfId="0" applyNumberFormat="1" applyBorder="1" applyAlignment="1">
      <alignment horizontal="center" vertical="top"/>
    </xf>
    <xf numFmtId="0" fontId="23" fillId="0" borderId="0" xfId="0" applyFont="1" applyAlignment="1">
      <alignment vertical="center"/>
    </xf>
    <xf numFmtId="0" fontId="66" fillId="42" borderId="0" xfId="0" applyFont="1" applyFill="1" applyAlignment="1">
      <alignment wrapText="1"/>
    </xf>
    <xf numFmtId="169" fontId="66" fillId="42" borderId="0" xfId="0" applyNumberFormat="1" applyFont="1" applyFill="1" applyAlignment="1">
      <alignment horizontal="center" vertical="center" wrapText="1"/>
    </xf>
    <xf numFmtId="0" fontId="23" fillId="42" borderId="0" xfId="0" applyFont="1" applyFill="1" applyAlignment="1">
      <alignment horizontal="center" vertical="center"/>
    </xf>
    <xf numFmtId="168" fontId="23" fillId="42" borderId="0" xfId="0" applyNumberFormat="1" applyFont="1" applyFill="1" applyAlignment="1">
      <alignment horizontal="center" vertical="center"/>
    </xf>
    <xf numFmtId="168" fontId="23" fillId="42" borderId="0" xfId="0" applyNumberFormat="1" applyFont="1" applyFill="1" applyAlignment="1">
      <alignment horizontal="left" vertical="center" wrapText="1"/>
    </xf>
    <xf numFmtId="49" fontId="23" fillId="42" borderId="0" xfId="0" quotePrefix="1" applyNumberFormat="1" applyFont="1" applyFill="1" applyAlignment="1">
      <alignment horizontal="left" vertical="top" wrapText="1"/>
    </xf>
    <xf numFmtId="0" fontId="25" fillId="0" borderId="0" xfId="0" applyFont="1"/>
    <xf numFmtId="0" fontId="26" fillId="19" borderId="36" xfId="0" applyFont="1" applyFill="1" applyBorder="1" applyAlignment="1">
      <alignment vertical="center" readingOrder="1"/>
    </xf>
    <xf numFmtId="0" fontId="0" fillId="0" borderId="1" xfId="0" applyBorder="1" applyAlignment="1">
      <alignment horizontal="center" vertical="center" wrapText="1"/>
    </xf>
    <xf numFmtId="2" fontId="44" fillId="8" borderId="11" xfId="2" applyNumberFormat="1" applyFont="1" applyFill="1" applyBorder="1" applyAlignment="1">
      <alignment vertical="center" wrapText="1"/>
    </xf>
    <xf numFmtId="175" fontId="44" fillId="8" borderId="1" xfId="2" applyNumberFormat="1" applyFont="1" applyFill="1" applyBorder="1" applyAlignment="1">
      <alignment horizontal="left" vertical="top" wrapText="1"/>
    </xf>
    <xf numFmtId="0" fontId="0" fillId="24" borderId="0" xfId="0" applyFill="1" applyAlignment="1">
      <alignment vertical="center"/>
    </xf>
    <xf numFmtId="168" fontId="0" fillId="24" borderId="0" xfId="0" applyNumberFormat="1" applyFill="1" applyAlignment="1">
      <alignment horizontal="left" vertical="center" wrapText="1"/>
    </xf>
    <xf numFmtId="49" fontId="0" fillId="24" borderId="0" xfId="0" applyNumberFormat="1" applyFill="1" applyAlignment="1">
      <alignment horizontal="left" wrapText="1"/>
    </xf>
    <xf numFmtId="0" fontId="0" fillId="24" borderId="0" xfId="0" applyFill="1" applyAlignment="1">
      <alignment vertical="center" wrapText="1"/>
    </xf>
    <xf numFmtId="0" fontId="12" fillId="0" borderId="1" xfId="2" applyFont="1" applyBorder="1"/>
    <xf numFmtId="0" fontId="0" fillId="0" borderId="1" xfId="0" applyBorder="1" applyAlignment="1">
      <alignment horizontal="left" vertical="top" wrapText="1"/>
    </xf>
    <xf numFmtId="169" fontId="23" fillId="24" borderId="41" xfId="0" applyNumberFormat="1" applyFont="1" applyFill="1" applyBorder="1" applyAlignment="1">
      <alignment horizontal="center" vertical="center" wrapText="1"/>
    </xf>
    <xf numFmtId="0" fontId="19" fillId="0" borderId="1" xfId="2" applyFont="1" applyBorder="1" applyAlignment="1">
      <alignment wrapText="1"/>
    </xf>
    <xf numFmtId="0" fontId="19" fillId="0" borderId="1" xfId="2" applyFont="1" applyBorder="1"/>
    <xf numFmtId="173" fontId="11" fillId="0" borderId="11" xfId="2" applyNumberFormat="1" applyFont="1" applyBorder="1" applyAlignment="1">
      <alignment horizontal="center" vertical="center" wrapText="1"/>
    </xf>
    <xf numFmtId="171" fontId="12" fillId="5" borderId="7" xfId="0" applyNumberFormat="1" applyFont="1" applyFill="1" applyBorder="1" applyAlignment="1">
      <alignment horizontal="center"/>
    </xf>
    <xf numFmtId="169" fontId="23" fillId="24" borderId="66" xfId="0" applyNumberFormat="1" applyFont="1" applyFill="1" applyBorder="1" applyAlignment="1">
      <alignment horizontal="center" vertical="center" wrapText="1"/>
    </xf>
    <xf numFmtId="0" fontId="0" fillId="24" borderId="0" xfId="0" applyFill="1" applyAlignment="1">
      <alignment horizontal="left" vertical="top" wrapText="1"/>
    </xf>
    <xf numFmtId="169" fontId="0" fillId="24" borderId="0" xfId="0" applyNumberFormat="1" applyFill="1" applyAlignment="1">
      <alignment horizontal="center" vertical="center" wrapText="1"/>
    </xf>
    <xf numFmtId="0" fontId="19" fillId="24" borderId="1" xfId="2" applyFont="1" applyFill="1" applyBorder="1"/>
    <xf numFmtId="15" fontId="0" fillId="0" borderId="0" xfId="0" applyNumberFormat="1"/>
    <xf numFmtId="19" fontId="0" fillId="0" borderId="0" xfId="0" applyNumberFormat="1"/>
    <xf numFmtId="18" fontId="0" fillId="0" borderId="0" xfId="0" applyNumberFormat="1"/>
    <xf numFmtId="20" fontId="0" fillId="0" borderId="0" xfId="0" applyNumberFormat="1"/>
    <xf numFmtId="176" fontId="0" fillId="0" borderId="0" xfId="0" applyNumberFormat="1" applyAlignment="1">
      <alignment horizontal="center"/>
    </xf>
    <xf numFmtId="177" fontId="0" fillId="0" borderId="0" xfId="0" applyNumberFormat="1" applyAlignment="1">
      <alignment horizontal="center"/>
    </xf>
    <xf numFmtId="0" fontId="26" fillId="19" borderId="0" xfId="0" applyFont="1" applyFill="1" applyAlignment="1">
      <alignment horizontal="left" vertical="center" wrapText="1" readingOrder="1"/>
    </xf>
    <xf numFmtId="0" fontId="19" fillId="8" borderId="67" xfId="2" applyFont="1" applyFill="1" applyBorder="1" applyAlignment="1">
      <alignment vertical="center" wrapText="1"/>
    </xf>
    <xf numFmtId="0" fontId="11" fillId="4" borderId="1" xfId="0" applyFont="1" applyFill="1" applyBorder="1" applyAlignment="1">
      <alignment horizontal="left" vertical="top" wrapText="1"/>
    </xf>
    <xf numFmtId="175" fontId="34" fillId="4" borderId="1" xfId="0" applyNumberFormat="1" applyFont="1" applyFill="1" applyBorder="1"/>
    <xf numFmtId="0" fontId="11" fillId="4" borderId="0" xfId="2" applyFont="1" applyFill="1"/>
    <xf numFmtId="2" fontId="41" fillId="4" borderId="9" xfId="2" applyNumberFormat="1" applyFont="1" applyFill="1" applyBorder="1" applyAlignment="1">
      <alignment vertical="center" wrapText="1"/>
    </xf>
    <xf numFmtId="175" fontId="41" fillId="4" borderId="0" xfId="2" applyNumberFormat="1" applyFont="1" applyFill="1" applyAlignment="1">
      <alignment vertical="center" wrapText="1"/>
    </xf>
    <xf numFmtId="175" fontId="34" fillId="4" borderId="0" xfId="0" applyNumberFormat="1" applyFont="1" applyFill="1"/>
    <xf numFmtId="175" fontId="11" fillId="4" borderId="0" xfId="2" applyNumberFormat="1" applyFont="1" applyFill="1"/>
    <xf numFmtId="165" fontId="11" fillId="29" borderId="1" xfId="2" applyNumberFormat="1" applyFont="1" applyFill="1" applyBorder="1" applyAlignment="1">
      <alignment horizontal="left"/>
    </xf>
    <xf numFmtId="173" fontId="11" fillId="29" borderId="1" xfId="2" applyNumberFormat="1" applyFont="1" applyFill="1" applyBorder="1" applyAlignment="1">
      <alignment horizontal="center"/>
    </xf>
    <xf numFmtId="170" fontId="11" fillId="29" borderId="1" xfId="2" applyNumberFormat="1" applyFont="1" applyFill="1" applyBorder="1" applyAlignment="1">
      <alignment horizontal="center"/>
    </xf>
    <xf numFmtId="0" fontId="19" fillId="38" borderId="67" xfId="2" applyFont="1" applyFill="1" applyBorder="1" applyAlignment="1">
      <alignment vertical="center" wrapText="1"/>
    </xf>
    <xf numFmtId="0" fontId="67" fillId="38" borderId="1" xfId="2" applyFont="1" applyFill="1" applyBorder="1" applyAlignment="1">
      <alignment vertical="center" wrapText="1"/>
    </xf>
    <xf numFmtId="0" fontId="0" fillId="24" borderId="0" xfId="0" applyFill="1" applyAlignment="1">
      <alignment horizontal="center" vertical="center"/>
    </xf>
    <xf numFmtId="168" fontId="0" fillId="24" borderId="0" xfId="0" applyNumberFormat="1" applyFill="1" applyAlignment="1">
      <alignment horizontal="center" vertical="center"/>
    </xf>
    <xf numFmtId="168" fontId="0" fillId="24" borderId="0" xfId="0" applyNumberFormat="1" applyFill="1" applyAlignment="1">
      <alignment vertical="center" wrapText="1"/>
    </xf>
    <xf numFmtId="49" fontId="0" fillId="24" borderId="0" xfId="0" applyNumberFormat="1" applyFill="1" applyAlignment="1">
      <alignment wrapText="1"/>
    </xf>
    <xf numFmtId="0" fontId="11" fillId="28" borderId="0" xfId="2" applyFont="1" applyFill="1"/>
    <xf numFmtId="0" fontId="11" fillId="28" borderId="1" xfId="2" applyFont="1" applyFill="1" applyBorder="1" applyAlignment="1">
      <alignment wrapText="1"/>
    </xf>
    <xf numFmtId="0" fontId="15" fillId="28" borderId="1" xfId="2" applyFont="1" applyFill="1" applyBorder="1"/>
    <xf numFmtId="0" fontId="11" fillId="0" borderId="7" xfId="2" applyFont="1" applyBorder="1" applyAlignment="1">
      <alignment horizontal="left" vertical="top" wrapText="1"/>
    </xf>
    <xf numFmtId="0" fontId="11" fillId="0" borderId="7" xfId="2" applyFont="1" applyBorder="1" applyAlignment="1">
      <alignment horizontal="left" vertical="top"/>
    </xf>
    <xf numFmtId="0" fontId="15" fillId="0" borderId="7" xfId="2" applyFont="1" applyBorder="1" applyAlignment="1">
      <alignment horizontal="left" vertical="top"/>
    </xf>
    <xf numFmtId="0" fontId="15" fillId="0" borderId="7" xfId="0" applyFont="1" applyBorder="1" applyAlignment="1">
      <alignment horizontal="left" vertical="top"/>
    </xf>
    <xf numFmtId="0" fontId="12" fillId="5" borderId="0" xfId="2" applyFont="1" applyFill="1"/>
    <xf numFmtId="0" fontId="0" fillId="0" borderId="1" xfId="0" quotePrefix="1" applyBorder="1" applyAlignment="1">
      <alignment horizontal="left" vertical="center" wrapText="1"/>
    </xf>
    <xf numFmtId="175" fontId="34" fillId="38" borderId="11" xfId="0" applyNumberFormat="1" applyFont="1" applyFill="1" applyBorder="1"/>
    <xf numFmtId="0" fontId="0" fillId="0" borderId="1" xfId="0" applyBorder="1" applyAlignment="1">
      <alignment horizontal="left" wrapText="1"/>
    </xf>
    <xf numFmtId="171" fontId="12" fillId="26" borderId="6" xfId="0" applyNumberFormat="1" applyFont="1" applyFill="1" applyBorder="1" applyAlignment="1">
      <alignment horizontal="center"/>
    </xf>
    <xf numFmtId="0" fontId="11" fillId="26" borderId="6" xfId="0" applyFont="1" applyFill="1" applyBorder="1" applyAlignment="1">
      <alignment horizontal="left" vertical="top" wrapText="1"/>
    </xf>
    <xf numFmtId="2" fontId="41" fillId="26" borderId="6" xfId="2" applyNumberFormat="1" applyFont="1" applyFill="1" applyBorder="1" applyAlignment="1">
      <alignment vertical="center" wrapText="1"/>
    </xf>
    <xf numFmtId="175" fontId="41" fillId="26" borderId="6" xfId="2" applyNumberFormat="1" applyFont="1" applyFill="1" applyBorder="1" applyAlignment="1">
      <alignment vertical="center" wrapText="1"/>
    </xf>
    <xf numFmtId="175" fontId="34" fillId="26" borderId="9" xfId="0" applyNumberFormat="1" applyFont="1" applyFill="1" applyBorder="1"/>
    <xf numFmtId="175" fontId="34" fillId="26" borderId="6" xfId="0" applyNumberFormat="1" applyFont="1" applyFill="1" applyBorder="1"/>
    <xf numFmtId="170" fontId="11" fillId="44" borderId="1" xfId="2" applyNumberFormat="1" applyFont="1" applyFill="1" applyBorder="1" applyAlignment="1">
      <alignment horizontal="center"/>
    </xf>
    <xf numFmtId="173" fontId="11" fillId="44" borderId="78" xfId="2" applyNumberFormat="1" applyFont="1" applyFill="1" applyBorder="1" applyAlignment="1">
      <alignment horizontal="center" vertical="center" wrapText="1"/>
    </xf>
    <xf numFmtId="170" fontId="11" fillId="44" borderId="78" xfId="2" applyNumberFormat="1" applyFont="1" applyFill="1" applyBorder="1" applyAlignment="1">
      <alignment horizontal="center"/>
    </xf>
    <xf numFmtId="171" fontId="12" fillId="44" borderId="78" xfId="0" applyNumberFormat="1" applyFont="1" applyFill="1" applyBorder="1" applyAlignment="1">
      <alignment horizontal="center"/>
    </xf>
    <xf numFmtId="0" fontId="12" fillId="44" borderId="78" xfId="0" applyFont="1" applyFill="1" applyBorder="1" applyAlignment="1">
      <alignment horizontal="left" vertical="top" wrapText="1"/>
    </xf>
    <xf numFmtId="2" fontId="41" fillId="44" borderId="78" xfId="2" applyNumberFormat="1" applyFont="1" applyFill="1" applyBorder="1" applyAlignment="1">
      <alignment vertical="center" wrapText="1"/>
    </xf>
    <xf numFmtId="175" fontId="41" fillId="44" borderId="78" xfId="2" applyNumberFormat="1" applyFont="1" applyFill="1" applyBorder="1" applyAlignment="1">
      <alignment vertical="center" wrapText="1"/>
    </xf>
    <xf numFmtId="175" fontId="34" fillId="44" borderId="78" xfId="0" applyNumberFormat="1" applyFont="1" applyFill="1" applyBorder="1"/>
    <xf numFmtId="170" fontId="53" fillId="0" borderId="1" xfId="2" applyNumberFormat="1" applyFont="1" applyBorder="1" applyAlignment="1">
      <alignment horizontal="center"/>
    </xf>
    <xf numFmtId="0" fontId="43" fillId="7" borderId="1" xfId="0" applyFont="1" applyFill="1" applyBorder="1" applyAlignment="1">
      <alignment horizontal="left" vertical="top" wrapText="1"/>
    </xf>
    <xf numFmtId="0" fontId="43" fillId="7" borderId="1" xfId="0" applyFont="1" applyFill="1" applyBorder="1" applyAlignment="1">
      <alignment vertical="center" wrapText="1"/>
    </xf>
    <xf numFmtId="0" fontId="0" fillId="24" borderId="1" xfId="0" applyFill="1" applyBorder="1" applyAlignment="1">
      <alignment horizontal="left" vertical="top"/>
    </xf>
    <xf numFmtId="0" fontId="46" fillId="0" borderId="1" xfId="0" applyFont="1" applyBorder="1" applyAlignment="1">
      <alignment horizontal="left" vertical="center" wrapText="1"/>
    </xf>
    <xf numFmtId="0" fontId="46" fillId="8" borderId="1" xfId="0" applyFont="1" applyFill="1" applyBorder="1" applyAlignment="1">
      <alignment horizontal="left" vertical="center" wrapText="1"/>
    </xf>
    <xf numFmtId="0" fontId="46" fillId="0" borderId="1" xfId="2" applyFont="1" applyBorder="1" applyAlignment="1">
      <alignment vertical="center" wrapText="1"/>
    </xf>
    <xf numFmtId="0" fontId="68" fillId="8" borderId="1" xfId="0" applyFont="1" applyFill="1" applyBorder="1" applyAlignment="1">
      <alignment vertical="center" wrapText="1"/>
    </xf>
    <xf numFmtId="178" fontId="11" fillId="5" borderId="0" xfId="2" applyNumberFormat="1" applyFont="1" applyFill="1"/>
    <xf numFmtId="0" fontId="51" fillId="38" borderId="1" xfId="0" applyFont="1" applyFill="1" applyBorder="1" applyAlignment="1">
      <alignment horizontal="left" vertical="center" wrapText="1"/>
    </xf>
    <xf numFmtId="169" fontId="16" fillId="4" borderId="0" xfId="0" applyNumberFormat="1" applyFont="1" applyFill="1" applyAlignment="1">
      <alignment horizontal="center" vertical="center" wrapText="1"/>
    </xf>
    <xf numFmtId="0" fontId="6" fillId="13" borderId="0" xfId="0" applyFont="1" applyFill="1" applyAlignment="1">
      <alignment vertical="center" wrapText="1"/>
    </xf>
    <xf numFmtId="0" fontId="6" fillId="13" borderId="79" xfId="0" applyFont="1" applyFill="1" applyBorder="1" applyAlignment="1">
      <alignment vertical="center" wrapText="1"/>
    </xf>
    <xf numFmtId="49" fontId="0" fillId="4" borderId="41" xfId="0" applyNumberFormat="1" applyFill="1" applyBorder="1" applyAlignment="1">
      <alignment vertical="center" wrapText="1"/>
    </xf>
    <xf numFmtId="169" fontId="23" fillId="4" borderId="41" xfId="0" applyNumberFormat="1" applyFont="1" applyFill="1" applyBorder="1" applyAlignment="1">
      <alignment horizontal="center" vertical="center" wrapText="1"/>
    </xf>
    <xf numFmtId="0" fontId="23" fillId="4" borderId="41" xfId="0" applyFont="1" applyFill="1" applyBorder="1" applyAlignment="1">
      <alignment horizontal="center" vertical="center"/>
    </xf>
    <xf numFmtId="168" fontId="23" fillId="4" borderId="41" xfId="0" applyNumberFormat="1" applyFont="1" applyFill="1" applyBorder="1" applyAlignment="1">
      <alignment horizontal="left" vertical="center" wrapText="1"/>
    </xf>
    <xf numFmtId="49" fontId="23" fillId="4" borderId="41" xfId="0" applyNumberFormat="1" applyFont="1" applyFill="1" applyBorder="1" applyAlignment="1">
      <alignment horizontal="left" wrapText="1"/>
    </xf>
    <xf numFmtId="0" fontId="0" fillId="4" borderId="41" xfId="0" applyFill="1" applyBorder="1" applyAlignment="1">
      <alignment vertical="center" wrapText="1"/>
    </xf>
    <xf numFmtId="168" fontId="0" fillId="4" borderId="41" xfId="0" applyNumberFormat="1" applyFill="1" applyBorder="1" applyAlignment="1">
      <alignment vertical="center" wrapText="1"/>
    </xf>
    <xf numFmtId="173" fontId="11" fillId="7" borderId="1" xfId="2" applyNumberFormat="1" applyFont="1" applyFill="1" applyBorder="1" applyAlignment="1">
      <alignment horizontal="center" vertical="center" wrapText="1"/>
    </xf>
    <xf numFmtId="170" fontId="11" fillId="7" borderId="1" xfId="2" applyNumberFormat="1" applyFont="1" applyFill="1" applyBorder="1" applyAlignment="1">
      <alignment horizontal="center"/>
    </xf>
    <xf numFmtId="171" fontId="12" fillId="7" borderId="1" xfId="0" applyNumberFormat="1" applyFont="1" applyFill="1" applyBorder="1" applyAlignment="1">
      <alignment horizontal="center"/>
    </xf>
    <xf numFmtId="0" fontId="11" fillId="7" borderId="1" xfId="0" applyFont="1" applyFill="1" applyBorder="1"/>
    <xf numFmtId="0" fontId="5" fillId="8" borderId="0" xfId="2" applyFont="1" applyFill="1" applyAlignment="1">
      <alignment horizontal="left" vertical="top" wrapText="1"/>
    </xf>
    <xf numFmtId="175" fontId="5" fillId="8" borderId="0" xfId="2" applyNumberFormat="1" applyFont="1" applyFill="1" applyAlignment="1">
      <alignment horizontal="left" vertical="top" wrapText="1"/>
    </xf>
    <xf numFmtId="0" fontId="69" fillId="0" borderId="1" xfId="0" applyFont="1" applyBorder="1" applyAlignment="1">
      <alignment horizontal="left" vertical="center" wrapText="1"/>
    </xf>
    <xf numFmtId="0" fontId="69" fillId="8" borderId="1" xfId="0" applyFont="1" applyFill="1" applyBorder="1" applyAlignment="1">
      <alignment vertical="center" wrapText="1"/>
    </xf>
    <xf numFmtId="0" fontId="69" fillId="8" borderId="1" xfId="2" applyFont="1" applyFill="1" applyBorder="1" applyAlignment="1">
      <alignment vertical="center" wrapText="1"/>
    </xf>
    <xf numFmtId="173" fontId="11" fillId="29" borderId="1" xfId="2" applyNumberFormat="1" applyFont="1" applyFill="1" applyBorder="1" applyAlignment="1">
      <alignment horizontal="center" vertical="center" wrapText="1"/>
    </xf>
    <xf numFmtId="170" fontId="11" fillId="29" borderId="1" xfId="2" applyNumberFormat="1" applyFont="1" applyFill="1" applyBorder="1" applyAlignment="1">
      <alignment horizontal="center" vertical="center"/>
    </xf>
    <xf numFmtId="171" fontId="12" fillId="29" borderId="1" xfId="0" applyNumberFormat="1" applyFont="1" applyFill="1" applyBorder="1" applyAlignment="1">
      <alignment horizontal="center" vertical="center"/>
    </xf>
    <xf numFmtId="0" fontId="63" fillId="29" borderId="1" xfId="0" applyFont="1" applyFill="1" applyBorder="1" applyAlignment="1">
      <alignment horizontal="left" vertical="center" wrapText="1"/>
    </xf>
    <xf numFmtId="2" fontId="5" fillId="29" borderId="11" xfId="2" applyNumberFormat="1" applyFont="1" applyFill="1" applyBorder="1" applyAlignment="1">
      <alignment vertical="center" wrapText="1"/>
    </xf>
    <xf numFmtId="175" fontId="5" fillId="29" borderId="1" xfId="2" applyNumberFormat="1" applyFont="1" applyFill="1" applyBorder="1" applyAlignment="1">
      <alignment horizontal="left" vertical="top" wrapText="1"/>
    </xf>
    <xf numFmtId="175" fontId="0" fillId="29" borderId="11" xfId="0" applyNumberFormat="1" applyFill="1" applyBorder="1" applyAlignment="1">
      <alignment horizontal="left" vertical="top"/>
    </xf>
    <xf numFmtId="175" fontId="0" fillId="29" borderId="1" xfId="0" applyNumberFormat="1" applyFill="1" applyBorder="1" applyAlignment="1">
      <alignment horizontal="left" vertical="top"/>
    </xf>
    <xf numFmtId="0" fontId="33" fillId="26" borderId="31" xfId="0" applyFont="1" applyFill="1" applyBorder="1" applyAlignment="1">
      <alignment horizontal="center" vertical="center"/>
    </xf>
    <xf numFmtId="0" fontId="33" fillId="26" borderId="42" xfId="0" applyFont="1" applyFill="1" applyBorder="1" applyAlignment="1">
      <alignment horizontal="center" vertical="center"/>
    </xf>
    <xf numFmtId="0" fontId="33" fillId="26" borderId="32" xfId="0" applyFont="1" applyFill="1" applyBorder="1" applyAlignment="1">
      <alignment horizontal="center" vertical="center"/>
    </xf>
    <xf numFmtId="0" fontId="33" fillId="26" borderId="30" xfId="0" applyFont="1" applyFill="1" applyBorder="1" applyAlignment="1">
      <alignment horizontal="center" vertical="center"/>
    </xf>
    <xf numFmtId="0" fontId="33" fillId="26" borderId="28" xfId="0" applyFont="1" applyFill="1" applyBorder="1" applyAlignment="1">
      <alignment horizontal="center" vertical="center"/>
    </xf>
    <xf numFmtId="0" fontId="33" fillId="26" borderId="19" xfId="0" applyFont="1" applyFill="1" applyBorder="1" applyAlignment="1">
      <alignment horizontal="center" vertical="center"/>
    </xf>
    <xf numFmtId="0" fontId="33" fillId="25" borderId="54" xfId="0" applyFont="1" applyFill="1" applyBorder="1" applyAlignment="1">
      <alignment horizontal="center"/>
    </xf>
    <xf numFmtId="0" fontId="33" fillId="25" borderId="0" xfId="0" applyFont="1" applyFill="1" applyAlignment="1">
      <alignment horizontal="center"/>
    </xf>
    <xf numFmtId="0" fontId="33" fillId="25" borderId="21" xfId="0" applyFont="1" applyFill="1" applyBorder="1" applyAlignment="1">
      <alignment horizontal="center"/>
    </xf>
    <xf numFmtId="0" fontId="33" fillId="25" borderId="30" xfId="0" applyFont="1" applyFill="1" applyBorder="1" applyAlignment="1">
      <alignment horizontal="center"/>
    </xf>
    <xf numFmtId="0" fontId="33" fillId="25" borderId="28" xfId="0" applyFont="1" applyFill="1" applyBorder="1" applyAlignment="1">
      <alignment horizontal="center"/>
    </xf>
    <xf numFmtId="0" fontId="33" fillId="25" borderId="19" xfId="0" applyFont="1" applyFill="1" applyBorder="1" applyAlignment="1">
      <alignment horizontal="center"/>
    </xf>
    <xf numFmtId="0" fontId="27" fillId="7" borderId="24" xfId="0" applyFont="1" applyFill="1" applyBorder="1" applyAlignment="1">
      <alignment vertical="center"/>
    </xf>
    <xf numFmtId="0" fontId="27" fillId="7" borderId="23" xfId="0" applyFont="1" applyFill="1" applyBorder="1" applyAlignment="1">
      <alignment vertical="center"/>
    </xf>
    <xf numFmtId="0" fontId="27" fillId="7" borderId="22" xfId="0" applyFont="1" applyFill="1" applyBorder="1" applyAlignment="1">
      <alignment vertical="center"/>
    </xf>
    <xf numFmtId="0" fontId="26" fillId="19" borderId="36" xfId="0" applyFont="1" applyFill="1" applyBorder="1" applyAlignment="1">
      <alignment horizontal="left" vertical="center" readingOrder="1"/>
    </xf>
    <xf numFmtId="0" fontId="26" fillId="19" borderId="37" xfId="0" applyFont="1" applyFill="1" applyBorder="1" applyAlignment="1">
      <alignment horizontal="left" vertical="center" readingOrder="1"/>
    </xf>
    <xf numFmtId="0" fontId="26" fillId="0" borderId="27" xfId="0" applyFont="1" applyBorder="1" applyAlignment="1">
      <alignment horizontal="center" vertical="center"/>
    </xf>
    <xf numFmtId="0" fontId="26" fillId="0" borderId="29" xfId="0" applyFont="1" applyBorder="1" applyAlignment="1">
      <alignment horizontal="center" vertical="center"/>
    </xf>
    <xf numFmtId="0" fontId="26" fillId="0" borderId="20" xfId="0" applyFont="1" applyBorder="1" applyAlignment="1">
      <alignment horizontal="center" vertical="center"/>
    </xf>
    <xf numFmtId="0" fontId="10" fillId="19" borderId="36" xfId="0" applyFont="1" applyFill="1" applyBorder="1" applyAlignment="1">
      <alignment horizontal="left" vertical="top"/>
    </xf>
    <xf numFmtId="0" fontId="10" fillId="19" borderId="37" xfId="0" applyFont="1" applyFill="1" applyBorder="1" applyAlignment="1">
      <alignment horizontal="left" vertical="top"/>
    </xf>
    <xf numFmtId="2" fontId="0" fillId="25" borderId="54" xfId="0" applyNumberFormat="1" applyFill="1" applyBorder="1" applyAlignment="1">
      <alignment horizontal="center"/>
    </xf>
    <xf numFmtId="2" fontId="0" fillId="25" borderId="0" xfId="0" applyNumberFormat="1" applyFill="1" applyAlignment="1">
      <alignment horizontal="center"/>
    </xf>
    <xf numFmtId="2" fontId="0" fillId="25" borderId="21" xfId="0" applyNumberFormat="1" applyFill="1" applyBorder="1" applyAlignment="1">
      <alignment horizontal="center"/>
    </xf>
    <xf numFmtId="0" fontId="24" fillId="9" borderId="24" xfId="0" applyFont="1" applyFill="1" applyBorder="1" applyAlignment="1">
      <alignment vertical="center"/>
    </xf>
    <xf numFmtId="0" fontId="24" fillId="9" borderId="23" xfId="0" applyFont="1" applyFill="1" applyBorder="1" applyAlignment="1">
      <alignment vertical="center"/>
    </xf>
    <xf numFmtId="0" fontId="24" fillId="9" borderId="28" xfId="0" applyFont="1" applyFill="1" applyBorder="1" applyAlignment="1">
      <alignment vertical="center"/>
    </xf>
    <xf numFmtId="0" fontId="3" fillId="0" borderId="0" xfId="1" applyAlignment="1">
      <alignment horizontal="center"/>
    </xf>
    <xf numFmtId="0" fontId="0" fillId="25" borderId="31" xfId="0" applyFill="1" applyBorder="1" applyAlignment="1">
      <alignment horizontal="center" vertical="center"/>
    </xf>
    <xf numFmtId="0" fontId="0" fillId="25" borderId="32" xfId="0" applyFill="1" applyBorder="1" applyAlignment="1">
      <alignment horizontal="center" vertical="center"/>
    </xf>
    <xf numFmtId="0" fontId="0" fillId="25" borderId="30" xfId="0" applyFill="1" applyBorder="1" applyAlignment="1">
      <alignment horizontal="center" vertical="center"/>
    </xf>
    <xf numFmtId="0" fontId="0" fillId="25" borderId="19" xfId="0" applyFill="1" applyBorder="1" applyAlignment="1">
      <alignment horizontal="center" vertical="center"/>
    </xf>
    <xf numFmtId="0" fontId="0" fillId="25" borderId="31" xfId="0" applyFill="1" applyBorder="1" applyAlignment="1">
      <alignment horizontal="center"/>
    </xf>
    <xf numFmtId="0" fontId="0" fillId="25" borderId="42" xfId="0" applyFill="1" applyBorder="1" applyAlignment="1">
      <alignment horizontal="center"/>
    </xf>
    <xf numFmtId="0" fontId="0" fillId="25" borderId="32" xfId="0" applyFill="1" applyBorder="1" applyAlignment="1">
      <alignment horizontal="center"/>
    </xf>
    <xf numFmtId="0" fontId="24" fillId="9" borderId="24" xfId="0" applyFont="1" applyFill="1" applyBorder="1" applyAlignment="1"/>
    <xf numFmtId="0" fontId="24" fillId="9" borderId="23" xfId="0" applyFont="1" applyFill="1" applyBorder="1" applyAlignment="1"/>
    <xf numFmtId="0" fontId="24" fillId="9" borderId="25" xfId="0" applyFont="1" applyFill="1" applyBorder="1" applyAlignment="1"/>
    <xf numFmtId="0" fontId="26" fillId="15" borderId="27" xfId="0" applyFont="1" applyFill="1" applyBorder="1" applyAlignment="1">
      <alignment horizontal="center" vertical="center"/>
    </xf>
    <xf numFmtId="0" fontId="26" fillId="15" borderId="29" xfId="0" applyFont="1" applyFill="1" applyBorder="1" applyAlignment="1">
      <alignment horizontal="center" vertical="center"/>
    </xf>
    <xf numFmtId="0" fontId="26" fillId="14" borderId="27" xfId="0" applyFont="1" applyFill="1" applyBorder="1" applyAlignment="1">
      <alignment horizontal="center" vertical="center"/>
    </xf>
    <xf numFmtId="0" fontId="26" fillId="14" borderId="20" xfId="0" applyFont="1" applyFill="1" applyBorder="1" applyAlignment="1">
      <alignment horizontal="center" vertical="center"/>
    </xf>
    <xf numFmtId="0" fontId="26" fillId="14" borderId="31" xfId="0" applyFont="1" applyFill="1" applyBorder="1" applyAlignment="1">
      <alignment horizontal="center" vertical="center"/>
    </xf>
    <xf numFmtId="0" fontId="26" fillId="14" borderId="30" xfId="0" applyFont="1" applyFill="1" applyBorder="1" applyAlignment="1">
      <alignment horizontal="center" vertical="center"/>
    </xf>
    <xf numFmtId="0" fontId="26" fillId="14" borderId="32" xfId="0" applyFont="1" applyFill="1" applyBorder="1" applyAlignment="1">
      <alignment horizontal="center" vertical="center"/>
    </xf>
    <xf numFmtId="0" fontId="26" fillId="14" borderId="19" xfId="0" applyFont="1" applyFill="1" applyBorder="1" applyAlignment="1">
      <alignment horizontal="center" vertical="center"/>
    </xf>
    <xf numFmtId="0" fontId="26" fillId="15" borderId="20" xfId="0" applyFont="1" applyFill="1" applyBorder="1" applyAlignment="1">
      <alignment horizontal="center" vertical="center"/>
    </xf>
    <xf numFmtId="3" fontId="26" fillId="0" borderId="27" xfId="0" applyNumberFormat="1" applyFont="1" applyBorder="1" applyAlignment="1">
      <alignment horizontal="center" vertical="center"/>
    </xf>
    <xf numFmtId="3" fontId="26" fillId="0" borderId="20" xfId="0" applyNumberFormat="1" applyFont="1" applyBorder="1" applyAlignment="1">
      <alignment horizontal="center" vertical="center"/>
    </xf>
    <xf numFmtId="0" fontId="26" fillId="0" borderId="31" xfId="0" applyFont="1" applyBorder="1" applyAlignment="1">
      <alignment horizontal="center" vertical="center"/>
    </xf>
    <xf numFmtId="0" fontId="26" fillId="0" borderId="30" xfId="0" applyFont="1" applyBorder="1" applyAlignment="1">
      <alignment horizontal="center" vertical="center"/>
    </xf>
    <xf numFmtId="0" fontId="26" fillId="18" borderId="38" xfId="0" applyFont="1" applyFill="1" applyBorder="1" applyAlignment="1">
      <alignment horizontal="left" vertical="center" readingOrder="1"/>
    </xf>
    <xf numFmtId="0" fontId="26" fillId="18" borderId="37" xfId="0" applyFont="1" applyFill="1" applyBorder="1" applyAlignment="1">
      <alignment horizontal="left" vertical="center" readingOrder="1"/>
    </xf>
    <xf numFmtId="2" fontId="0" fillId="25" borderId="31" xfId="0" applyNumberFormat="1" applyFill="1" applyBorder="1" applyAlignment="1">
      <alignment horizontal="center"/>
    </xf>
    <xf numFmtId="2" fontId="0" fillId="25" borderId="42" xfId="0" applyNumberFormat="1" applyFill="1" applyBorder="1" applyAlignment="1">
      <alignment horizontal="center"/>
    </xf>
    <xf numFmtId="2" fontId="0" fillId="25" borderId="32" xfId="0" applyNumberFormat="1" applyFill="1" applyBorder="1" applyAlignment="1">
      <alignment horizontal="center"/>
    </xf>
    <xf numFmtId="0" fontId="26" fillId="7" borderId="24" xfId="0" applyFont="1" applyFill="1" applyBorder="1" applyAlignment="1">
      <alignment vertical="center" wrapText="1"/>
    </xf>
    <xf numFmtId="0" fontId="26" fillId="7" borderId="23" xfId="0" applyFont="1" applyFill="1" applyBorder="1" applyAlignment="1">
      <alignment vertical="center" wrapText="1"/>
    </xf>
    <xf numFmtId="0" fontId="26" fillId="7" borderId="22" xfId="0" applyFont="1" applyFill="1" applyBorder="1" applyAlignment="1">
      <alignment vertical="center" wrapText="1"/>
    </xf>
    <xf numFmtId="0" fontId="10" fillId="18" borderId="36" xfId="0" applyFont="1" applyFill="1" applyBorder="1" applyAlignment="1">
      <alignment vertical="top" wrapText="1"/>
    </xf>
    <xf numFmtId="0" fontId="10" fillId="18" borderId="37" xfId="0" applyFont="1" applyFill="1" applyBorder="1" applyAlignment="1">
      <alignment vertical="top" wrapText="1"/>
    </xf>
    <xf numFmtId="0" fontId="26" fillId="18" borderId="38" xfId="0" applyFont="1" applyFill="1" applyBorder="1" applyAlignment="1">
      <alignment horizontal="left" vertical="center" wrapText="1" readingOrder="1"/>
    </xf>
    <xf numFmtId="0" fontId="26" fillId="18" borderId="37" xfId="0" applyFont="1" applyFill="1" applyBorder="1" applyAlignment="1">
      <alignment horizontal="left" vertical="center" wrapText="1" readingOrder="1"/>
    </xf>
    <xf numFmtId="0" fontId="26" fillId="19" borderId="36" xfId="0" applyFont="1" applyFill="1" applyBorder="1" applyAlignment="1">
      <alignment horizontal="left" vertical="center" wrapText="1" readingOrder="1"/>
    </xf>
    <xf numFmtId="0" fontId="26" fillId="19" borderId="37" xfId="0" applyFont="1" applyFill="1" applyBorder="1" applyAlignment="1">
      <alignment horizontal="left" vertical="center" wrapText="1" readingOrder="1"/>
    </xf>
    <xf numFmtId="0" fontId="27" fillId="9" borderId="24" xfId="0" applyFont="1" applyFill="1" applyBorder="1" applyAlignment="1">
      <alignment vertical="center" wrapText="1"/>
    </xf>
    <xf numFmtId="0" fontId="27" fillId="9" borderId="23" xfId="0" applyFont="1" applyFill="1" applyBorder="1" applyAlignment="1">
      <alignment vertical="center" wrapText="1"/>
    </xf>
    <xf numFmtId="0" fontId="27" fillId="9" borderId="25" xfId="0" applyFont="1" applyFill="1" applyBorder="1" applyAlignment="1">
      <alignment vertical="center" wrapText="1"/>
    </xf>
    <xf numFmtId="0" fontId="26" fillId="14" borderId="27" xfId="0" applyFont="1" applyFill="1" applyBorder="1" applyAlignment="1">
      <alignment horizontal="center" vertical="center" wrapText="1"/>
    </xf>
    <xf numFmtId="0" fontId="26" fillId="14" borderId="20" xfId="0" applyFont="1" applyFill="1" applyBorder="1" applyAlignment="1">
      <alignment horizontal="center" vertical="center" wrapText="1"/>
    </xf>
    <xf numFmtId="0" fontId="26" fillId="18" borderId="77" xfId="0" applyFont="1" applyFill="1" applyBorder="1" applyAlignment="1">
      <alignment horizontal="left" vertical="center" readingOrder="1"/>
    </xf>
    <xf numFmtId="0" fontId="26" fillId="18" borderId="0" xfId="0" applyFont="1" applyFill="1" applyAlignment="1">
      <alignment horizontal="left" vertical="center" readingOrder="1"/>
    </xf>
    <xf numFmtId="0" fontId="33" fillId="25" borderId="31" xfId="0" applyFont="1" applyFill="1" applyBorder="1" applyAlignment="1">
      <alignment horizontal="center"/>
    </xf>
    <xf numFmtId="0" fontId="33" fillId="25" borderId="42" xfId="0" applyFont="1" applyFill="1" applyBorder="1" applyAlignment="1">
      <alignment horizontal="center"/>
    </xf>
    <xf numFmtId="0" fontId="33" fillId="25" borderId="32" xfId="0" applyFont="1" applyFill="1" applyBorder="1" applyAlignment="1">
      <alignment horizontal="center"/>
    </xf>
    <xf numFmtId="0" fontId="0" fillId="0" borderId="0" xfId="0" applyAlignment="1">
      <alignment horizontal="center"/>
    </xf>
    <xf numFmtId="0" fontId="37" fillId="4" borderId="24" xfId="0" applyFont="1" applyFill="1" applyBorder="1" applyAlignment="1">
      <alignment horizontal="center" wrapText="1"/>
    </xf>
    <xf numFmtId="0" fontId="37" fillId="4" borderId="23" xfId="0" applyFont="1" applyFill="1" applyBorder="1" applyAlignment="1">
      <alignment horizontal="center" wrapText="1"/>
    </xf>
    <xf numFmtId="0" fontId="37" fillId="4" borderId="22" xfId="0" applyFont="1" applyFill="1" applyBorder="1" applyAlignment="1">
      <alignment horizontal="center" wrapText="1"/>
    </xf>
    <xf numFmtId="0" fontId="38" fillId="0" borderId="48" xfId="0" applyFont="1" applyBorder="1" applyAlignment="1">
      <alignment horizontal="center" vertical="center" wrapText="1"/>
    </xf>
    <xf numFmtId="0" fontId="38" fillId="0" borderId="47" xfId="0" applyFont="1" applyBorder="1" applyAlignment="1">
      <alignment horizontal="center" vertical="center" wrapText="1"/>
    </xf>
    <xf numFmtId="0" fontId="38" fillId="0" borderId="46" xfId="0" applyFont="1" applyBorder="1" applyAlignment="1">
      <alignment horizontal="center" vertical="center" wrapText="1"/>
    </xf>
    <xf numFmtId="0" fontId="38" fillId="0" borderId="27" xfId="0" applyFont="1" applyBorder="1" applyAlignment="1">
      <alignment horizontal="center" vertical="center" wrapText="1"/>
    </xf>
    <xf numFmtId="0" fontId="38" fillId="0" borderId="20" xfId="0" applyFont="1" applyBorder="1" applyAlignment="1">
      <alignment horizontal="center" vertical="center" wrapText="1"/>
    </xf>
    <xf numFmtId="0" fontId="38" fillId="0" borderId="49" xfId="0" applyFont="1" applyBorder="1" applyAlignment="1">
      <alignment horizontal="center" vertical="center" wrapText="1"/>
    </xf>
    <xf numFmtId="0" fontId="13" fillId="6" borderId="9" xfId="3" applyFont="1" applyFill="1" applyBorder="1" applyAlignment="1">
      <alignment horizontal="center" vertical="center" wrapText="1"/>
    </xf>
    <xf numFmtId="0" fontId="13" fillId="6" borderId="0" xfId="3" applyFont="1" applyFill="1" applyAlignment="1">
      <alignment horizontal="center" vertical="center" wrapText="1"/>
    </xf>
    <xf numFmtId="0" fontId="13" fillId="6" borderId="11" xfId="3" applyFont="1" applyFill="1" applyBorder="1" applyAlignment="1">
      <alignment horizontal="center" vertical="center" wrapText="1"/>
    </xf>
    <xf numFmtId="0" fontId="13" fillId="6" borderId="18" xfId="3" applyFont="1" applyFill="1" applyBorder="1" applyAlignment="1">
      <alignment horizontal="center" vertical="center" wrapText="1"/>
    </xf>
    <xf numFmtId="0" fontId="13" fillId="6" borderId="7" xfId="3" applyFont="1" applyFill="1" applyBorder="1" applyAlignment="1">
      <alignment horizontal="center" vertical="center" wrapText="1"/>
    </xf>
    <xf numFmtId="0" fontId="13" fillId="6" borderId="31" xfId="2" applyFont="1" applyFill="1" applyBorder="1" applyAlignment="1">
      <alignment horizontal="center" vertical="center" wrapText="1"/>
    </xf>
    <xf numFmtId="0" fontId="13" fillId="6" borderId="32" xfId="2" applyFont="1" applyFill="1" applyBorder="1" applyAlignment="1">
      <alignment horizontal="center" vertical="center" wrapText="1"/>
    </xf>
    <xf numFmtId="0" fontId="13" fillId="6" borderId="11" xfId="2" applyFont="1" applyFill="1" applyBorder="1" applyAlignment="1">
      <alignment horizontal="center" vertical="center" wrapText="1"/>
    </xf>
    <xf numFmtId="0" fontId="13" fillId="6" borderId="18" xfId="2" applyFont="1" applyFill="1" applyBorder="1" applyAlignment="1">
      <alignment horizontal="center" vertical="center" wrapText="1"/>
    </xf>
    <xf numFmtId="0" fontId="13" fillId="6" borderId="7" xfId="2" applyFont="1" applyFill="1" applyBorder="1" applyAlignment="1">
      <alignment horizontal="center" vertical="center" wrapText="1"/>
    </xf>
    <xf numFmtId="0" fontId="15" fillId="0" borderId="1" xfId="2" applyFont="1" applyBorder="1" applyAlignment="1">
      <alignment horizontal="left" vertical="top"/>
    </xf>
    <xf numFmtId="0" fontId="13" fillId="6" borderId="9" xfId="2" applyFont="1" applyFill="1" applyBorder="1" applyAlignment="1">
      <alignment horizontal="center" vertical="center" wrapText="1"/>
    </xf>
    <xf numFmtId="0" fontId="13" fillId="6" borderId="0" xfId="2" applyFont="1" applyFill="1" applyAlignment="1">
      <alignment horizontal="center" vertical="center" wrapText="1"/>
    </xf>
    <xf numFmtId="2" fontId="11" fillId="5" borderId="9" xfId="2" applyNumberFormat="1" applyFont="1" applyFill="1" applyBorder="1" applyAlignment="1">
      <alignment horizontal="center"/>
    </xf>
    <xf numFmtId="0" fontId="11" fillId="5" borderId="0" xfId="2" applyFont="1" applyFill="1" applyAlignment="1">
      <alignment horizontal="center"/>
    </xf>
    <xf numFmtId="0" fontId="11" fillId="5" borderId="9" xfId="2" applyFont="1" applyFill="1" applyBorder="1" applyAlignment="1">
      <alignment horizontal="center"/>
    </xf>
    <xf numFmtId="0" fontId="11" fillId="5" borderId="9" xfId="2" applyFont="1" applyFill="1" applyBorder="1" applyAlignment="1">
      <alignment horizontal="left"/>
    </xf>
    <xf numFmtId="0" fontId="11" fillId="5" borderId="0" xfId="2" applyFont="1" applyFill="1" applyAlignment="1">
      <alignment horizontal="left"/>
    </xf>
    <xf numFmtId="2" fontId="11" fillId="5" borderId="9" xfId="2" applyNumberFormat="1" applyFont="1" applyFill="1" applyBorder="1" applyAlignment="1">
      <alignment horizontal="left"/>
    </xf>
    <xf numFmtId="2" fontId="11" fillId="0" borderId="3" xfId="2" applyNumberFormat="1" applyFont="1" applyBorder="1" applyAlignment="1">
      <alignment horizontal="center" vertical="center"/>
    </xf>
    <xf numFmtId="2" fontId="11" fillId="0" borderId="4" xfId="2" applyNumberFormat="1" applyFont="1" applyBorder="1" applyAlignment="1">
      <alignment horizontal="center" vertical="center"/>
    </xf>
    <xf numFmtId="2" fontId="11" fillId="0" borderId="1" xfId="2" applyNumberFormat="1" applyFont="1" applyBorder="1" applyAlignment="1">
      <alignment horizontal="center" vertical="center"/>
    </xf>
    <xf numFmtId="0" fontId="13" fillId="6" borderId="24" xfId="2" applyFont="1" applyFill="1" applyBorder="1" applyAlignment="1">
      <alignment horizontal="center" vertical="center" wrapText="1"/>
    </xf>
    <xf numFmtId="0" fontId="13" fillId="6" borderId="22" xfId="2" applyFont="1" applyFill="1" applyBorder="1" applyAlignment="1">
      <alignment horizontal="center" vertical="center" wrapText="1"/>
    </xf>
    <xf numFmtId="0" fontId="35" fillId="32" borderId="67" xfId="2" applyFont="1" applyFill="1" applyBorder="1" applyAlignment="1">
      <alignment horizontal="center" vertical="top" wrapText="1"/>
    </xf>
    <xf numFmtId="0" fontId="35" fillId="32" borderId="2" xfId="2" applyFont="1" applyFill="1" applyBorder="1" applyAlignment="1">
      <alignment horizontal="center" vertical="top" wrapText="1"/>
    </xf>
    <xf numFmtId="0" fontId="35" fillId="6" borderId="9" xfId="0" applyFont="1" applyFill="1" applyBorder="1" applyAlignment="1">
      <alignment horizontal="center" vertical="center" wrapText="1"/>
    </xf>
    <xf numFmtId="0" fontId="35" fillId="6" borderId="0" xfId="0" applyFont="1" applyFill="1" applyAlignment="1">
      <alignment horizontal="center" vertical="center" wrapText="1"/>
    </xf>
    <xf numFmtId="0" fontId="13" fillId="6" borderId="1" xfId="2" applyFont="1" applyFill="1" applyBorder="1" applyAlignment="1">
      <alignment horizontal="left" vertical="center" wrapText="1"/>
    </xf>
    <xf numFmtId="0" fontId="13" fillId="6" borderId="11" xfId="2" applyFont="1" applyFill="1" applyBorder="1" applyAlignment="1">
      <alignment horizontal="left" vertical="center" wrapText="1"/>
    </xf>
    <xf numFmtId="0" fontId="13" fillId="6" borderId="67" xfId="2" applyFont="1" applyFill="1" applyBorder="1" applyAlignment="1">
      <alignment horizontal="center" vertical="center" wrapText="1"/>
    </xf>
    <xf numFmtId="0" fontId="13" fillId="6" borderId="2" xfId="2" applyFont="1" applyFill="1" applyBorder="1" applyAlignment="1">
      <alignment horizontal="center" vertical="center" wrapText="1"/>
    </xf>
    <xf numFmtId="175" fontId="34" fillId="0" borderId="1" xfId="2" applyNumberFormat="1" applyFont="1" applyBorder="1" applyAlignment="1">
      <alignment horizontal="left" vertical="top"/>
    </xf>
    <xf numFmtId="175" fontId="34" fillId="0" borderId="3" xfId="2" applyNumberFormat="1" applyFont="1" applyBorder="1" applyAlignment="1">
      <alignment horizontal="left" vertical="top"/>
    </xf>
    <xf numFmtId="175" fontId="34" fillId="0" borderId="4" xfId="2" applyNumberFormat="1" applyFont="1" applyBorder="1" applyAlignment="1">
      <alignment horizontal="left" vertical="top"/>
    </xf>
    <xf numFmtId="0" fontId="12" fillId="0" borderId="31" xfId="0" quotePrefix="1" applyFont="1" applyBorder="1" applyAlignment="1">
      <alignment horizontal="center" vertical="center"/>
    </xf>
    <xf numFmtId="0" fontId="12" fillId="0" borderId="32" xfId="0" applyFont="1" applyBorder="1" applyAlignment="1">
      <alignment horizontal="center" vertical="center"/>
    </xf>
    <xf numFmtId="0" fontId="12" fillId="0" borderId="30" xfId="0" applyFont="1" applyBorder="1" applyAlignment="1">
      <alignment horizontal="center" vertical="center"/>
    </xf>
    <xf numFmtId="0" fontId="12" fillId="0" borderId="19" xfId="0" applyFont="1" applyBorder="1" applyAlignment="1">
      <alignment horizontal="center" vertical="center"/>
    </xf>
    <xf numFmtId="0" fontId="11" fillId="31" borderId="3" xfId="0" applyFont="1" applyFill="1" applyBorder="1" applyAlignment="1">
      <alignment horizontal="center" vertical="center"/>
    </xf>
    <xf numFmtId="0" fontId="11" fillId="31" borderId="6" xfId="0" applyFont="1" applyFill="1" applyBorder="1" applyAlignment="1">
      <alignment horizontal="center" vertical="center"/>
    </xf>
    <xf numFmtId="0" fontId="11" fillId="31" borderId="4" xfId="0" applyFont="1" applyFill="1" applyBorder="1" applyAlignment="1">
      <alignment horizontal="center" vertical="center"/>
    </xf>
    <xf numFmtId="164" fontId="4" fillId="0" borderId="6" xfId="0" applyNumberFormat="1" applyFont="1" applyBorder="1" applyAlignment="1">
      <alignment horizontal="left" vertical="top" wrapText="1"/>
    </xf>
    <xf numFmtId="164" fontId="4" fillId="0" borderId="4" xfId="0" applyNumberFormat="1" applyFont="1" applyBorder="1" applyAlignment="1">
      <alignment horizontal="left" vertical="top" wrapText="1"/>
    </xf>
    <xf numFmtId="0" fontId="4" fillId="0" borderId="6" xfId="0" applyFont="1" applyBorder="1" applyAlignment="1">
      <alignment horizontal="left" vertical="top" wrapText="1"/>
    </xf>
    <xf numFmtId="0" fontId="4" fillId="0" borderId="4" xfId="0" applyFont="1" applyBorder="1" applyAlignment="1">
      <alignment horizontal="left" vertical="top" wrapText="1"/>
    </xf>
    <xf numFmtId="0" fontId="22" fillId="11" borderId="0" xfId="0" applyFont="1" applyFill="1" applyAlignment="1">
      <alignment horizontal="left"/>
    </xf>
    <xf numFmtId="167" fontId="7" fillId="0" borderId="0" xfId="0" applyNumberFormat="1" applyFont="1" applyAlignment="1">
      <alignment horizontal="center" vertical="top"/>
    </xf>
    <xf numFmtId="167" fontId="7" fillId="0" borderId="2" xfId="0" applyNumberFormat="1" applyFont="1" applyBorder="1" applyAlignment="1">
      <alignment horizontal="center" vertical="top"/>
    </xf>
    <xf numFmtId="164" fontId="4" fillId="0" borderId="6" xfId="0" quotePrefix="1" applyNumberFormat="1" applyFont="1" applyBorder="1" applyAlignment="1">
      <alignment horizontal="left" vertical="top" wrapText="1"/>
    </xf>
    <xf numFmtId="0" fontId="11" fillId="0" borderId="3" xfId="2" applyFont="1" applyBorder="1" applyAlignment="1">
      <alignment horizontal="center" vertical="center"/>
    </xf>
    <xf numFmtId="0" fontId="11" fillId="0" borderId="6" xfId="2" applyFont="1" applyBorder="1" applyAlignment="1">
      <alignment horizontal="center" vertical="center"/>
    </xf>
    <xf numFmtId="0" fontId="11" fillId="0" borderId="4" xfId="2" applyFont="1" applyBorder="1" applyAlignment="1">
      <alignment horizontal="center" vertical="center"/>
    </xf>
    <xf numFmtId="0" fontId="13" fillId="6" borderId="2" xfId="2" applyFont="1" applyFill="1" applyBorder="1" applyAlignment="1">
      <alignment horizontal="left" vertical="center" wrapText="1"/>
    </xf>
    <xf numFmtId="0" fontId="35" fillId="5" borderId="0" xfId="2" applyFont="1" applyFill="1" applyAlignment="1">
      <alignment horizontal="center" vertical="top" wrapText="1"/>
    </xf>
    <xf numFmtId="173" fontId="35" fillId="32" borderId="11" xfId="2" applyNumberFormat="1" applyFont="1" applyFill="1" applyBorder="1" applyAlignment="1">
      <alignment horizontal="left" vertical="center" wrapText="1"/>
    </xf>
    <xf numFmtId="173" fontId="35" fillId="32" borderId="18" xfId="2" applyNumberFormat="1" applyFont="1" applyFill="1" applyBorder="1" applyAlignment="1">
      <alignment horizontal="left" vertical="center" wrapText="1"/>
    </xf>
    <xf numFmtId="173" fontId="35" fillId="32" borderId="7" xfId="2" applyNumberFormat="1" applyFont="1" applyFill="1" applyBorder="1" applyAlignment="1">
      <alignment horizontal="left" vertical="center" wrapText="1"/>
    </xf>
    <xf numFmtId="0" fontId="13" fillId="6" borderId="1" xfId="2" applyFont="1" applyFill="1" applyBorder="1" applyAlignment="1">
      <alignment horizontal="center" vertical="center" wrapText="1"/>
    </xf>
    <xf numFmtId="0" fontId="11" fillId="4" borderId="3" xfId="0" applyFont="1" applyFill="1" applyBorder="1" applyAlignment="1">
      <alignment horizontal="center" vertical="center"/>
    </xf>
    <xf numFmtId="0" fontId="11" fillId="4" borderId="6" xfId="0" applyFont="1" applyFill="1" applyBorder="1" applyAlignment="1">
      <alignment horizontal="center" vertical="center"/>
    </xf>
    <xf numFmtId="173" fontId="35" fillId="43" borderId="11" xfId="2" applyNumberFormat="1" applyFont="1" applyFill="1" applyBorder="1" applyAlignment="1">
      <alignment horizontal="left" vertical="center" wrapText="1"/>
    </xf>
    <xf numFmtId="173" fontId="35" fillId="43" borderId="18" xfId="2" applyNumberFormat="1" applyFont="1" applyFill="1" applyBorder="1" applyAlignment="1">
      <alignment horizontal="left" vertical="center" wrapText="1"/>
    </xf>
    <xf numFmtId="173" fontId="35" fillId="43" borderId="7" xfId="2" applyNumberFormat="1" applyFont="1" applyFill="1" applyBorder="1" applyAlignment="1">
      <alignment horizontal="left" vertical="center" wrapText="1"/>
    </xf>
    <xf numFmtId="0" fontId="13" fillId="6" borderId="18" xfId="2" applyFont="1" applyFill="1" applyBorder="1" applyAlignment="1">
      <alignment horizontal="left" vertical="center" wrapText="1"/>
    </xf>
    <xf numFmtId="0" fontId="13" fillId="6" borderId="7" xfId="2" applyFont="1" applyFill="1" applyBorder="1" applyAlignment="1">
      <alignment horizontal="left" vertical="center" wrapText="1"/>
    </xf>
  </cellXfs>
  <cellStyles count="5">
    <cellStyle name="Hyperlink" xfId="1" builtinId="8"/>
    <cellStyle name="Normal" xfId="0" builtinId="0"/>
    <cellStyle name="Normal 2" xfId="2" xr:uid="{75B2EF47-8F56-4280-AFC0-7D34D4A6EC6A}"/>
    <cellStyle name="Normal 3" xfId="3" xr:uid="{B3533AE9-0A64-4032-8ACE-08F0F6EE4E8F}"/>
    <cellStyle name="Normal 3 2" xfId="4" xr:uid="{92BE4E6F-11A1-4403-899F-D61FECACC5D6}"/>
  </cellStyles>
  <dxfs count="26">
    <dxf>
      <fill>
        <patternFill>
          <bgColor theme="0" tint="-0.14996795556505021"/>
        </patternFill>
      </fill>
    </dxf>
    <dxf>
      <fill>
        <patternFill>
          <bgColor theme="0" tint="-0.14996795556505021"/>
        </patternFill>
      </fill>
    </dxf>
    <dxf>
      <fill>
        <patternFill>
          <bgColor theme="9" tint="0.59996337778862885"/>
        </patternFill>
      </fill>
    </dxf>
    <dxf>
      <fill>
        <patternFill>
          <bgColor theme="0" tint="-0.14996795556505021"/>
        </patternFill>
      </fill>
    </dxf>
    <dxf>
      <fill>
        <patternFill>
          <bgColor theme="9" tint="0.59996337778862885"/>
        </patternFill>
      </fill>
    </dxf>
    <dxf>
      <fill>
        <patternFill>
          <bgColor theme="0" tint="-0.14996795556505021"/>
        </patternFill>
      </fill>
    </dxf>
    <dxf>
      <fill>
        <patternFill>
          <bgColor theme="9" tint="0.59996337778862885"/>
        </patternFill>
      </fill>
    </dxf>
    <dxf>
      <fill>
        <patternFill>
          <bgColor theme="0" tint="-0.14996795556505021"/>
        </patternFill>
      </fill>
    </dxf>
    <dxf>
      <fill>
        <patternFill>
          <bgColor theme="9" tint="0.59996337778862885"/>
        </patternFill>
      </fill>
    </dxf>
    <dxf>
      <fill>
        <patternFill>
          <bgColor theme="0" tint="-0.14996795556505021"/>
        </patternFill>
      </fill>
    </dxf>
    <dxf>
      <fill>
        <patternFill>
          <bgColor theme="9" tint="0.59996337778862885"/>
        </patternFill>
      </fill>
    </dxf>
    <dxf>
      <fill>
        <patternFill>
          <bgColor theme="9" tint="0.59996337778862885"/>
        </patternFill>
      </fill>
    </dxf>
    <dxf>
      <numFmt numFmtId="30" formatCode="@"/>
      <fill>
        <patternFill>
          <bgColor theme="4" tint="0.79998168889431442"/>
        </patternFill>
      </fill>
      <alignment horizontal="left" vertical="bottom" textRotation="0" wrapText="1" indent="0" justifyLastLine="0" shrinkToFit="0" readingOrder="0"/>
    </dxf>
    <dxf>
      <numFmt numFmtId="168" formatCode="[$-409]d\-mmm\-yy;@"/>
      <fill>
        <patternFill>
          <bgColor theme="4" tint="0.79998168889431442"/>
        </patternFill>
      </fill>
      <alignment horizontal="left" vertical="center" textRotation="0" wrapText="1" indent="0" justifyLastLine="0" shrinkToFit="0" readingOrder="0"/>
    </dxf>
    <dxf>
      <numFmt numFmtId="168" formatCode="[$-409]d\-mmm\-yy;@"/>
      <fill>
        <patternFill>
          <bgColor theme="4" tint="0.79998168889431442"/>
        </patternFill>
      </fill>
      <alignment horizontal="center" vertical="center" textRotation="0" wrapText="0" indent="0" justifyLastLine="0" shrinkToFit="0" readingOrder="0"/>
    </dxf>
    <dxf>
      <numFmt numFmtId="168" formatCode="[$-409]d\-mmm\-yy;@"/>
      <fill>
        <patternFill>
          <bgColor theme="4" tint="0.79998168889431442"/>
        </patternFill>
      </fill>
      <alignment horizontal="center" vertical="center" textRotation="0" wrapText="0" indent="0" justifyLastLine="0" shrinkToFit="0" readingOrder="0"/>
    </dxf>
    <dxf>
      <numFmt numFmtId="168" formatCode="[$-409]d\-mmm\-yy;@"/>
      <fill>
        <patternFill>
          <bgColor theme="4" tint="0.79998168889431442"/>
        </patternFill>
      </fill>
      <alignment horizontal="center" vertical="center" textRotation="0" wrapText="0" indent="0" justifyLastLine="0" shrinkToFit="0" readingOrder="0"/>
    </dxf>
    <dxf>
      <fill>
        <patternFill>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0" tint="-0.14999847407452621"/>
        <name val="Calibri"/>
        <family val="2"/>
        <scheme val="minor"/>
      </font>
      <numFmt numFmtId="169" formatCode="[$-409]dd\-mmm\-yy;@"/>
      <fill>
        <patternFill patternType="solid">
          <fgColor indexed="64"/>
          <bgColor theme="4" tint="0.79998168889431442"/>
        </patternFill>
      </fill>
      <alignment horizontal="center" vertical="center" textRotation="0" wrapText="1" indent="0" justifyLastLine="0" shrinkToFit="0" readingOrder="0"/>
    </dxf>
    <dxf>
      <numFmt numFmtId="30" formatCode="@"/>
      <fill>
        <patternFill>
          <bgColor theme="4" tint="0.79998168889431442"/>
        </patternFill>
      </fill>
      <alignment vertical="center" textRotation="0" wrapText="1" indent="0" justifyLastLine="0" shrinkToFit="0" readingOrder="0"/>
    </dxf>
    <dxf>
      <fill>
        <patternFill patternType="solid">
          <fgColor rgb="FFA6A6A6"/>
          <bgColor rgb="FF000000"/>
        </patternFill>
      </fill>
    </dxf>
    <dxf>
      <fill>
        <patternFill patternType="solid">
          <fgColor rgb="FFD8E4BC"/>
          <bgColor rgb="FF000000"/>
        </patternFill>
      </fill>
    </dxf>
    <dxf>
      <fill>
        <patternFill patternType="solid">
          <fgColor rgb="FF4F6228"/>
          <bgColor rgb="FF000000"/>
        </patternFill>
      </fill>
    </dxf>
    <dxf>
      <fill>
        <patternFill patternType="solid">
          <fgColor rgb="FFDCE6F1"/>
          <bgColor rgb="FF000000"/>
        </patternFill>
      </fill>
    </dxf>
    <dxf>
      <fill>
        <patternFill>
          <bgColor theme="4" tint="0.79998168889431442"/>
        </patternFill>
      </fill>
    </dxf>
    <dxf>
      <border outline="0">
        <bottom style="thin">
          <color indexed="64"/>
        </bottom>
      </border>
    </dxf>
  </dxfs>
  <tableStyles count="0" defaultTableStyle="TableStyleMedium9" defaultPivotStyle="PivotStyleLight16"/>
  <colors>
    <mruColors>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sharedStrings" Target="sharedStrings.xml"/><Relationship Id="rId89" Type="http://schemas.openxmlformats.org/officeDocument/2006/relationships/customXml" Target="../customXml/item3.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5" Type="http://schemas.openxmlformats.org/officeDocument/2006/relationships/worksheet" Target="worksheets/sheet5.xml"/><Relationship Id="rId90" Type="http://schemas.openxmlformats.org/officeDocument/2006/relationships/customXml" Target="../customXml/item4.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microsoft.com/office/2017/10/relationships/person" Target="persons/perso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styles" Target="styles.xml"/><Relationship Id="rId88" Type="http://schemas.openxmlformats.org/officeDocument/2006/relationships/customXml" Target="../customXml/item2.xml"/><Relationship Id="rId9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theme" Target="theme/theme1.xml"/><Relationship Id="rId19" Type="http://schemas.openxmlformats.org/officeDocument/2006/relationships/worksheet" Target="worksheets/sheet1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609600</xdr:colOff>
          <xdr:row>1</xdr:row>
          <xdr:rowOff>31750</xdr:rowOff>
        </xdr:from>
        <xdr:to>
          <xdr:col>1</xdr:col>
          <xdr:colOff>520700</xdr:colOff>
          <xdr:row>2</xdr:row>
          <xdr:rowOff>44450</xdr:rowOff>
        </xdr:to>
        <xdr:sp macro="" textlink="">
          <xdr:nvSpPr>
            <xdr:cNvPr id="402433" name="CommandButton1" hidden="1">
              <a:extLst>
                <a:ext uri="{63B3BB69-23CF-44E3-9099-C40C66FF867C}">
                  <a14:compatExt spid="_x0000_s402433"/>
                </a:ext>
                <a:ext uri="{FF2B5EF4-FFF2-40B4-BE49-F238E27FC236}">
                  <a16:creationId xmlns:a16="http://schemas.microsoft.com/office/drawing/2014/main" id="{00000000-0008-0000-0100-0000012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1752600</xdr:colOff>
          <xdr:row>1</xdr:row>
          <xdr:rowOff>0</xdr:rowOff>
        </xdr:from>
        <xdr:to>
          <xdr:col>3</xdr:col>
          <xdr:colOff>463550</xdr:colOff>
          <xdr:row>2</xdr:row>
          <xdr:rowOff>152400</xdr:rowOff>
        </xdr:to>
        <xdr:sp macro="" textlink="">
          <xdr:nvSpPr>
            <xdr:cNvPr id="402434" name="CommandButton2" hidden="1">
              <a:extLst>
                <a:ext uri="{63B3BB69-23CF-44E3-9099-C40C66FF867C}">
                  <a14:compatExt spid="_x0000_s402434"/>
                </a:ext>
                <a:ext uri="{FF2B5EF4-FFF2-40B4-BE49-F238E27FC236}">
                  <a16:creationId xmlns:a16="http://schemas.microsoft.com/office/drawing/2014/main" id="{00000000-0008-0000-0100-0000022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184150</xdr:colOff>
          <xdr:row>1</xdr:row>
          <xdr:rowOff>0</xdr:rowOff>
        </xdr:from>
        <xdr:to>
          <xdr:col>7</xdr:col>
          <xdr:colOff>908050</xdr:colOff>
          <xdr:row>2</xdr:row>
          <xdr:rowOff>38100</xdr:rowOff>
        </xdr:to>
        <xdr:sp macro="" textlink="">
          <xdr:nvSpPr>
            <xdr:cNvPr id="402435" name="CommandButton6" hidden="1">
              <a:extLst>
                <a:ext uri="{63B3BB69-23CF-44E3-9099-C40C66FF867C}">
                  <a14:compatExt spid="_x0000_s402435"/>
                </a:ext>
                <a:ext uri="{FF2B5EF4-FFF2-40B4-BE49-F238E27FC236}">
                  <a16:creationId xmlns:a16="http://schemas.microsoft.com/office/drawing/2014/main" id="{00000000-0008-0000-0100-0000032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2019300</xdr:colOff>
          <xdr:row>0</xdr:row>
          <xdr:rowOff>184150</xdr:rowOff>
        </xdr:from>
        <xdr:to>
          <xdr:col>6</xdr:col>
          <xdr:colOff>215900</xdr:colOff>
          <xdr:row>2</xdr:row>
          <xdr:rowOff>184150</xdr:rowOff>
        </xdr:to>
        <xdr:sp macro="" textlink="">
          <xdr:nvSpPr>
            <xdr:cNvPr id="402436" name="CommandButton5" hidden="1">
              <a:extLst>
                <a:ext uri="{63B3BB69-23CF-44E3-9099-C40C66FF867C}">
                  <a14:compatExt spid="_x0000_s402436"/>
                </a:ext>
                <a:ext uri="{FF2B5EF4-FFF2-40B4-BE49-F238E27FC236}">
                  <a16:creationId xmlns:a16="http://schemas.microsoft.com/office/drawing/2014/main" id="{00000000-0008-0000-0100-0000042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184150</xdr:rowOff>
        </xdr:from>
        <xdr:to>
          <xdr:col>5</xdr:col>
          <xdr:colOff>1111250</xdr:colOff>
          <xdr:row>2</xdr:row>
          <xdr:rowOff>184150</xdr:rowOff>
        </xdr:to>
        <xdr:sp macro="" textlink="">
          <xdr:nvSpPr>
            <xdr:cNvPr id="402437" name="CommandButton4" hidden="1">
              <a:extLst>
                <a:ext uri="{63B3BB69-23CF-44E3-9099-C40C66FF867C}">
                  <a14:compatExt spid="_x0000_s402437"/>
                </a:ext>
                <a:ext uri="{FF2B5EF4-FFF2-40B4-BE49-F238E27FC236}">
                  <a16:creationId xmlns:a16="http://schemas.microsoft.com/office/drawing/2014/main" id="{00000000-0008-0000-0100-0000052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266700</xdr:colOff>
          <xdr:row>0</xdr:row>
          <xdr:rowOff>184150</xdr:rowOff>
        </xdr:from>
        <xdr:to>
          <xdr:col>4</xdr:col>
          <xdr:colOff>1263650</xdr:colOff>
          <xdr:row>2</xdr:row>
          <xdr:rowOff>184150</xdr:rowOff>
        </xdr:to>
        <xdr:sp macro="" textlink="">
          <xdr:nvSpPr>
            <xdr:cNvPr id="402438" name="CommandButton3" hidden="1">
              <a:extLst>
                <a:ext uri="{63B3BB69-23CF-44E3-9099-C40C66FF867C}">
                  <a14:compatExt spid="_x0000_s402438"/>
                </a:ext>
                <a:ext uri="{FF2B5EF4-FFF2-40B4-BE49-F238E27FC236}">
                  <a16:creationId xmlns:a16="http://schemas.microsoft.com/office/drawing/2014/main" id="{00000000-0008-0000-0100-0000062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419100</xdr:colOff>
          <xdr:row>1</xdr:row>
          <xdr:rowOff>0</xdr:rowOff>
        </xdr:from>
        <xdr:to>
          <xdr:col>10</xdr:col>
          <xdr:colOff>374650</xdr:colOff>
          <xdr:row>3</xdr:row>
          <xdr:rowOff>0</xdr:rowOff>
        </xdr:to>
        <xdr:sp macro="" textlink="">
          <xdr:nvSpPr>
            <xdr:cNvPr id="402439" name="Reference" hidden="1">
              <a:extLst>
                <a:ext uri="{63B3BB69-23CF-44E3-9099-C40C66FF867C}">
                  <a14:compatExt spid="_x0000_s402439"/>
                </a:ext>
                <a:ext uri="{FF2B5EF4-FFF2-40B4-BE49-F238E27FC236}">
                  <a16:creationId xmlns:a16="http://schemas.microsoft.com/office/drawing/2014/main" id="{00000000-0008-0000-0100-0000072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222250</xdr:colOff>
          <xdr:row>4</xdr:row>
          <xdr:rowOff>38100</xdr:rowOff>
        </xdr:from>
        <xdr:to>
          <xdr:col>15</xdr:col>
          <xdr:colOff>266700</xdr:colOff>
          <xdr:row>5</xdr:row>
          <xdr:rowOff>107950</xdr:rowOff>
        </xdr:to>
        <xdr:sp macro="" textlink="">
          <xdr:nvSpPr>
            <xdr:cNvPr id="403457" name="Button 1" hidden="1">
              <a:extLst>
                <a:ext uri="{63B3BB69-23CF-44E3-9099-C40C66FF867C}">
                  <a14:compatExt spid="_x0000_s403457"/>
                </a:ext>
                <a:ext uri="{FF2B5EF4-FFF2-40B4-BE49-F238E27FC236}">
                  <a16:creationId xmlns:a16="http://schemas.microsoft.com/office/drawing/2014/main" id="{00000000-0008-0000-0C00-0000012806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717550</xdr:colOff>
          <xdr:row>2</xdr:row>
          <xdr:rowOff>0</xdr:rowOff>
        </xdr:from>
        <xdr:to>
          <xdr:col>5</xdr:col>
          <xdr:colOff>1174750</xdr:colOff>
          <xdr:row>3</xdr:row>
          <xdr:rowOff>0</xdr:rowOff>
        </xdr:to>
        <xdr:sp macro="" textlink="">
          <xdr:nvSpPr>
            <xdr:cNvPr id="403458" name="Button 2" hidden="1">
              <a:extLst>
                <a:ext uri="{63B3BB69-23CF-44E3-9099-C40C66FF867C}">
                  <a14:compatExt spid="_x0000_s403458"/>
                </a:ext>
                <a:ext uri="{FF2B5EF4-FFF2-40B4-BE49-F238E27FC236}">
                  <a16:creationId xmlns:a16="http://schemas.microsoft.com/office/drawing/2014/main" id="{00000000-0008-0000-0C00-0000022806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100" b="0" i="0" u="none" strike="noStrike" baseline="0">
                  <a:solidFill>
                    <a:srgbClr val="000000"/>
                  </a:solidFill>
                  <a:latin typeface="Calibri"/>
                  <a:cs typeface="Calibri"/>
                </a:rPr>
                <a:t>Today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717550</xdr:colOff>
          <xdr:row>2</xdr:row>
          <xdr:rowOff>0</xdr:rowOff>
        </xdr:from>
        <xdr:to>
          <xdr:col>6</xdr:col>
          <xdr:colOff>1174750</xdr:colOff>
          <xdr:row>3</xdr:row>
          <xdr:rowOff>0</xdr:rowOff>
        </xdr:to>
        <xdr:sp macro="" textlink="">
          <xdr:nvSpPr>
            <xdr:cNvPr id="403459" name="Button 3" hidden="1">
              <a:extLst>
                <a:ext uri="{63B3BB69-23CF-44E3-9099-C40C66FF867C}">
                  <a14:compatExt spid="_x0000_s403459"/>
                </a:ext>
                <a:ext uri="{FF2B5EF4-FFF2-40B4-BE49-F238E27FC236}">
                  <a16:creationId xmlns:a16="http://schemas.microsoft.com/office/drawing/2014/main" id="{00000000-0008-0000-0C00-0000032806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100" b="0" i="0" u="none" strike="noStrike" baseline="0">
                  <a:solidFill>
                    <a:srgbClr val="000000"/>
                  </a:solidFill>
                  <a:latin typeface="Calibri"/>
                  <a:cs typeface="Calibri"/>
                </a:rPr>
                <a: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107950</xdr:colOff>
          <xdr:row>2</xdr:row>
          <xdr:rowOff>0</xdr:rowOff>
        </xdr:from>
        <xdr:to>
          <xdr:col>7</xdr:col>
          <xdr:colOff>565150</xdr:colOff>
          <xdr:row>3</xdr:row>
          <xdr:rowOff>0</xdr:rowOff>
        </xdr:to>
        <xdr:sp macro="" textlink="">
          <xdr:nvSpPr>
            <xdr:cNvPr id="403460" name="Button 4" hidden="1">
              <a:extLst>
                <a:ext uri="{63B3BB69-23CF-44E3-9099-C40C66FF867C}">
                  <a14:compatExt spid="_x0000_s403460"/>
                </a:ext>
                <a:ext uri="{FF2B5EF4-FFF2-40B4-BE49-F238E27FC236}">
                  <a16:creationId xmlns:a16="http://schemas.microsoft.com/office/drawing/2014/main" id="{00000000-0008-0000-0C00-0000042806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100" b="0" i="0" u="none" strike="noStrike" baseline="0">
                  <a:solidFill>
                    <a:srgbClr val="000000"/>
                  </a:solidFill>
                  <a:latin typeface="Calibri"/>
                  <a:cs typeface="Calibri"/>
                </a:rPr>
                <a:t>&gt;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Tan, Cheng Kiat" id="{8F6DC5C9-4C34-4B30-9AFC-3B12FC218336}" userId="ctan04@amgen.com" providerId="PeoplePicker"/>
  <person displayName="Lim, Yee En" id="{F817A437-CEEE-47DA-849E-591ACC2C78AE}" userId="S::ylim01@amgen.com::0ceee29e-2c34-4f34-90e0-19f81b2c082e" providerId="AD"/>
  <person displayName="Ng, Mun Ling" id="{1B9C18AA-EB7F-4BD1-9FFF-DEDE147CFC60}" userId="S::munlingn@amgen.com::783d47a8-d844-45a7-bb78-2555de024567"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C2:J1579" totalsRowShown="0" dataDxfId="24" headerRowBorderDxfId="25">
  <autoFilter ref="C2:J1579" xr:uid="{00000000-0009-0000-0100-000001000000}">
    <filterColumn colId="1">
      <filters blank="1">
        <filter val="w/c"/>
        <dateGroupItem year="2021" month="12" day="20" dateTimeGrouping="day"/>
        <dateGroupItem year="2021" month="12" day="27" dateTimeGrouping="day"/>
      </filters>
    </filterColumn>
    <filterColumn colId="5">
      <filters blank="1">
        <filter val="In Progress"/>
      </filters>
    </filterColumn>
  </autoFilter>
  <sortState xmlns:xlrd2="http://schemas.microsoft.com/office/spreadsheetml/2017/richdata2" ref="C928:J1565">
    <sortCondition sortBy="cellColor" ref="C3:C1579" dxfId="23"/>
    <sortCondition sortBy="cellColor" ref="C3:C1579" dxfId="22"/>
    <sortCondition sortBy="cellColor" ref="C3:C1579" dxfId="21"/>
    <sortCondition sortBy="cellColor" ref="C3:C1579" dxfId="20"/>
    <sortCondition ref="D3:D1579"/>
  </sortState>
  <tableColumns count="8">
    <tableColumn id="1" xr3:uid="{00000000-0010-0000-0000-000001000000}" name="Routine Activities (PM/ PMCAL, CM, Genba, Isotanker, Material Readiness, Sampling)" dataDxfId="19"/>
    <tableColumn id="8" xr3:uid="{DF4D38BA-4758-4C54-85CA-12EFF81F3D37}" name="w/c" dataDxfId="18"/>
    <tableColumn id="6" xr3:uid="{06C14124-9A0F-431D-8DE4-9C3F2D30A61E}" name="Contact" dataDxfId="17"/>
    <tableColumn id="2" xr3:uid="{00000000-0010-0000-0000-000002000000}" name="Start Date" dataDxfId="16"/>
    <tableColumn id="5" xr3:uid="{F906CCDB-1E41-4CEB-B2B3-4B68758BF947}" name="End Date" dataDxfId="15">
      <calculatedColumnFormula>Table1[[#This Row],[Start Date]]</calculatedColumnFormula>
    </tableColumn>
    <tableColumn id="4" xr3:uid="{7CF65EAC-4B15-4F89-816F-AC461EAE72D9}" name="Status" dataDxfId="14"/>
    <tableColumn id="7" xr3:uid="{861F3A2E-1244-43BB-953E-40CAD3AD0F1B}" name="Note" dataDxfId="13"/>
    <tableColumn id="3" xr3:uid="{00000000-0010-0000-0000-000003000000}" name="Short Description" dataDxfId="12">
      <calculatedColumnFormula>Table1[[#This Row],[Routine Activities (PM/ PMCAL, CM, Genba, Isotanker, Material Readiness, Sampling)]]</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C28" dT="2022-02-22T05:27:06.20" personId="{F817A437-CEEE-47DA-849E-591ACC2C78AE}" id="{93BCA2B6-6101-4C4C-9F9C-C1CCB5308092}">
    <text>@Tan, Cheng Kiat need to include drum out timing. around 45 mins for druming out</text>
    <mentions>
      <mention mentionpersonId="{8F6DC5C9-4C34-4B30-9AFC-3B12FC218336}" mentionId="{CB515947-41DD-404A-BC28-429CE58EF640}" startIndex="0" length="16"/>
    </mentions>
  </threadedComment>
</ThreadedComments>
</file>

<file path=xl/threadedComments/threadedComment2.xml><?xml version="1.0" encoding="utf-8"?>
<ThreadedComments xmlns="http://schemas.microsoft.com/office/spreadsheetml/2018/threadedcomments" xmlns:x="http://schemas.openxmlformats.org/spreadsheetml/2006/main">
  <threadedComment ref="F70" dT="2020-11-17T14:40:06.97" personId="{1B9C18AA-EB7F-4BD1-9FFF-DEDE147CFC60}" id="{26464E38-0F2D-4EFA-9324-F03A28138E41}">
    <text>Will hold R1 recipe until this operation</text>
  </threadedComment>
</ThreadedComments>
</file>

<file path=xl/threadedComments/threadedComment3.xml><?xml version="1.0" encoding="utf-8"?>
<ThreadedComments xmlns="http://schemas.microsoft.com/office/spreadsheetml/2018/threadedcomments" xmlns:x="http://schemas.openxmlformats.org/spreadsheetml/2006/main">
  <threadedComment ref="B19" dT="2021-03-24T12:51:01.39" personId="{1B9C18AA-EB7F-4BD1-9FFF-DEDE147CFC60}" id="{07E1E4AA-1153-4140-87DA-72599619844D}">
    <text>In parallel to drying</text>
  </threadedComment>
</ThreadedComments>
</file>

<file path=xl/threadedComments/threadedComment4.xml><?xml version="1.0" encoding="utf-8"?>
<ThreadedComments xmlns="http://schemas.microsoft.com/office/spreadsheetml/2018/threadedcomments" xmlns:x="http://schemas.openxmlformats.org/spreadsheetml/2006/main">
  <threadedComment ref="B19" dT="2021-03-24T12:53:24.69" personId="{1B9C18AA-EB7F-4BD1-9FFF-DEDE147CFC60}" id="{394A2BDF-8106-4DCF-9035-1A0A0A9EBD67}">
    <text>In parallel to drying</text>
  </threadedComment>
</ThreadedComments>
</file>

<file path=xl/threadedComments/threadedComment5.xml><?xml version="1.0" encoding="utf-8"?>
<ThreadedComments xmlns="http://schemas.microsoft.com/office/spreadsheetml/2018/threadedcomments" xmlns:x="http://schemas.openxmlformats.org/spreadsheetml/2006/main">
  <threadedComment ref="B19" dT="2021-03-24T12:45:25.67" personId="{1B9C18AA-EB7F-4BD1-9FFF-DEDE147CFC60}" id="{39D3E663-0EDE-48F3-BC7E-562D18290C34}">
    <text>In parallel to Product Drying so that we can run A1-4 to A1-6 (three A1s) in a week</text>
  </threadedComment>
</ThreadedComments>
</file>

<file path=xl/threadedComments/threadedComment6.xml><?xml version="1.0" encoding="utf-8"?>
<ThreadedComments xmlns="http://schemas.microsoft.com/office/spreadsheetml/2018/threadedcomments" xmlns:x="http://schemas.openxmlformats.org/spreadsheetml/2006/main">
  <threadedComment ref="B12" dT="2021-08-31T13:55:43.39" personId="{1B9C18AA-EB7F-4BD1-9FFF-DEDE147CFC60}" id="{9284A417-8371-416D-8497-138B857C4296}">
    <text>Recipe start time</text>
  </threadedComment>
</ThreadedComments>
</file>

<file path=xl/threadedComments/threadedComment7.xml><?xml version="1.0" encoding="utf-8"?>
<ThreadedComments xmlns="http://schemas.microsoft.com/office/spreadsheetml/2018/threadedcomments" xmlns:x="http://schemas.openxmlformats.org/spreadsheetml/2006/main">
  <threadedComment ref="B12" dT="2021-08-31T13:55:43.39" personId="{1B9C18AA-EB7F-4BD1-9FFF-DEDE147CFC60}" id="{BB0EBA1F-776F-4AEC-B3F2-0010034EF6C3}">
    <text>Recipe start time</text>
  </threadedComment>
</ThreadedComments>
</file>

<file path=xl/threadedComments/threadedComment8.xml><?xml version="1.0" encoding="utf-8"?>
<ThreadedComments xmlns="http://schemas.microsoft.com/office/spreadsheetml/2018/threadedcomments" xmlns:x="http://schemas.openxmlformats.org/spreadsheetml/2006/main">
  <threadedComment ref="B12" dT="2021-08-31T13:55:43.39" personId="{1B9C18AA-EB7F-4BD1-9FFF-DEDE147CFC60}" id="{31DB60DD-B580-4A19-98FF-06FAB5F09AA1}">
    <text>Recipe start time</text>
  </threadedComment>
</ThreadedComments>
</file>

<file path=xl/threadedComments/threadedComment9.xml><?xml version="1.0" encoding="utf-8"?>
<ThreadedComments xmlns="http://schemas.microsoft.com/office/spreadsheetml/2018/threadedcomments" xmlns:x="http://schemas.openxmlformats.org/spreadsheetml/2006/main">
  <threadedComment ref="B12" dT="2021-08-31T13:55:43.39" personId="{1B9C18AA-EB7F-4BD1-9FFF-DEDE147CFC60}" id="{377B7880-A74E-4056-ACE8-3BDA8AE42E94}">
    <text>Recipe start time</text>
  </threadedComment>
</ThreadedComments>
</file>

<file path=xl/threadedComments/threadedComment10.xml><?xml version="1.0" encoding="utf-8"?>
<ThreadedComments xmlns="http://schemas.microsoft.com/office/spreadsheetml/2018/threadedcomments" xmlns:x="http://schemas.openxmlformats.org/spreadsheetml/2006/main">
  <threadedComment ref="B12" dT="2021-08-31T13:55:43.39" personId="{1B9C18AA-EB7F-4BD1-9FFF-DEDE147CFC60}" id="{DDE128B1-B404-46CE-9EF0-D6E92233021D}">
    <text>Recipe start time</text>
  </threadedComment>
</ThreadedComments>
</file>

<file path=xl/threadedComments/threadedComment11.xml><?xml version="1.0" encoding="utf-8"?>
<ThreadedComments xmlns="http://schemas.microsoft.com/office/spreadsheetml/2018/threadedcomments" xmlns:x="http://schemas.openxmlformats.org/spreadsheetml/2006/main">
  <threadedComment ref="F70" dT="2020-11-17T14:40:06.97" personId="{1B9C18AA-EB7F-4BD1-9FFF-DEDE147CFC60}" id="{5645BF6F-918C-44A8-8DC0-361AB6A181F3}">
    <text>Will hold R1 recipe until this operation</text>
  </threadedComment>
</ThreadedComments>
</file>

<file path=xl/threadedComments/threadedComment12.xml><?xml version="1.0" encoding="utf-8"?>
<ThreadedComments xmlns="http://schemas.microsoft.com/office/spreadsheetml/2018/threadedcomments" xmlns:x="http://schemas.openxmlformats.org/spreadsheetml/2006/main">
  <threadedComment ref="F70" dT="2020-11-17T14:40:06.97" personId="{1B9C18AA-EB7F-4BD1-9FFF-DEDE147CFC60}" id="{4C517E9C-DB70-43D7-B042-7FEB49AD3A4E}">
    <text>Will hold R1 recipe until this operation</text>
  </threadedComment>
</ThreadedComments>
</file>

<file path=xl/threadedComments/threadedComment13.xml><?xml version="1.0" encoding="utf-8"?>
<ThreadedComments xmlns="http://schemas.microsoft.com/office/spreadsheetml/2018/threadedcomments" xmlns:x="http://schemas.openxmlformats.org/spreadsheetml/2006/main">
  <threadedComment ref="F73" dT="2020-11-17T14:40:06.97" personId="{1B9C18AA-EB7F-4BD1-9FFF-DEDE147CFC60}" id="{D6A14680-1785-47BE-8719-55A1B6D5E2F4}">
    <text>Will hold R1 recipe until this operation</text>
  </threadedComment>
</ThreadedComments>
</file>

<file path=xl/threadedComments/threadedComment14.xml><?xml version="1.0" encoding="utf-8"?>
<ThreadedComments xmlns="http://schemas.microsoft.com/office/spreadsheetml/2018/threadedcomments" xmlns:x="http://schemas.openxmlformats.org/spreadsheetml/2006/main">
  <threadedComment ref="B8" dT="2020-12-15T23:55:08.83" personId="{1B9C18AA-EB7F-4BD1-9FFF-DEDE147CFC60}" id="{435BF586-31D1-4586-A731-F7EF0C45B649}">
    <text>Reactor 2 results before reagent sample can be taken</text>
  </threadedComment>
  <threadedComment ref="B10" dT="2020-12-09T00:07:09.81" personId="{1B9C18AA-EB7F-4BD1-9FFF-DEDE147CFC60}" id="{1808B646-9A31-4220-B40C-07F24ABFB08E}">
    <text>Reactor 1 sample results to be given before chem canister sample can be taken</text>
  </threadedComment>
</ThreadedComments>
</file>

<file path=xl/threadedComments/threadedComment15.xml><?xml version="1.0" encoding="utf-8"?>
<ThreadedComments xmlns="http://schemas.microsoft.com/office/spreadsheetml/2018/threadedcomments" xmlns:x="http://schemas.openxmlformats.org/spreadsheetml/2006/main">
  <threadedComment ref="B8" dT="2020-12-15T23:55:08.83" personId="{1B9C18AA-EB7F-4BD1-9FFF-DEDE147CFC60}" id="{80F3291A-D7DC-4A5E-B69B-575B2552464C}">
    <text>Reactor 2 results before reagent sample can be taken</text>
  </threadedComment>
  <threadedComment ref="B10" dT="2020-12-09T00:07:09.81" personId="{1B9C18AA-EB7F-4BD1-9FFF-DEDE147CFC60}" id="{F125185A-77D3-49E2-A2F9-291945A90EA1}">
    <text>Reactor 1 sample results to be given before chem canister sample can be taken</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image" Target="../media/image2.emf"/><Relationship Id="rId13" Type="http://schemas.openxmlformats.org/officeDocument/2006/relationships/control" Target="../activeX/activeX5.xml"/><Relationship Id="rId18" Type="http://schemas.openxmlformats.org/officeDocument/2006/relationships/image" Target="../media/image7.emf"/><Relationship Id="rId3" Type="http://schemas.openxmlformats.org/officeDocument/2006/relationships/drawing" Target="../drawings/drawing1.xml"/><Relationship Id="rId7" Type="http://schemas.openxmlformats.org/officeDocument/2006/relationships/control" Target="../activeX/activeX2.xml"/><Relationship Id="rId12" Type="http://schemas.openxmlformats.org/officeDocument/2006/relationships/image" Target="../media/image4.emf"/><Relationship Id="rId17" Type="http://schemas.openxmlformats.org/officeDocument/2006/relationships/control" Target="../activeX/activeX7.xml"/><Relationship Id="rId2" Type="http://schemas.openxmlformats.org/officeDocument/2006/relationships/printerSettings" Target="../printerSettings/printerSettings2.bin"/><Relationship Id="rId16" Type="http://schemas.openxmlformats.org/officeDocument/2006/relationships/image" Target="../media/image6.emf"/><Relationship Id="rId1" Type="http://schemas.openxmlformats.org/officeDocument/2006/relationships/hyperlink" Target="../../../../:x:/r/sites/ASMFacEngTeam/_layouts/15/Doc.aspx%3fsourcedoc=%7bD8AD18DE-8280-4871-85D6-86A02EA555E3%7d&amp;file=Inventory%20level%20and%20Visual%20board.-SGSG384983-SGSG452549-SGSG359048-SGSG452549.xlsm&amp;action=default&amp;mobileredirect=true" TargetMode="External"/><Relationship Id="rId6" Type="http://schemas.openxmlformats.org/officeDocument/2006/relationships/image" Target="../media/image1.emf"/><Relationship Id="rId11" Type="http://schemas.openxmlformats.org/officeDocument/2006/relationships/control" Target="../activeX/activeX4.xml"/><Relationship Id="rId5" Type="http://schemas.openxmlformats.org/officeDocument/2006/relationships/control" Target="../activeX/activeX1.xml"/><Relationship Id="rId15" Type="http://schemas.openxmlformats.org/officeDocument/2006/relationships/control" Target="../activeX/activeX6.xml"/><Relationship Id="rId10" Type="http://schemas.openxmlformats.org/officeDocument/2006/relationships/image" Target="../media/image3.emf"/><Relationship Id="rId4" Type="http://schemas.openxmlformats.org/officeDocument/2006/relationships/vmlDrawing" Target="../drawings/vmlDrawing1.vml"/><Relationship Id="rId9" Type="http://schemas.openxmlformats.org/officeDocument/2006/relationships/control" Target="../activeX/activeX3.xml"/><Relationship Id="rId14" Type="http://schemas.openxmlformats.org/officeDocument/2006/relationships/image" Target="../media/image5.emf"/></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2.vml"/><Relationship Id="rId1" Type="http://schemas.openxmlformats.org/officeDocument/2006/relationships/printerSettings" Target="../printerSettings/printerSettings12.bin"/><Relationship Id="rId4" Type="http://schemas.openxmlformats.org/officeDocument/2006/relationships/comments" Target="../comments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1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25.bin"/><Relationship Id="rId4" Type="http://schemas.microsoft.com/office/2017/10/relationships/threadedComment" Target="../threadedComments/threadedComment1.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28.bin"/><Relationship Id="rId4" Type="http://schemas.microsoft.com/office/2017/10/relationships/threadedComment" Target="../threadedComments/threadedComment2.xm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31.bin"/><Relationship Id="rId4" Type="http://schemas.microsoft.com/office/2017/10/relationships/threadedComment" Target="../threadedComments/threadedComment3.xml"/></Relationships>
</file>

<file path=xl/worksheets/_rels/sheet32.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7.vml"/><Relationship Id="rId1" Type="http://schemas.openxmlformats.org/officeDocument/2006/relationships/printerSettings" Target="../printerSettings/printerSettings32.bin"/><Relationship Id="rId4" Type="http://schemas.microsoft.com/office/2017/10/relationships/threadedComment" Target="../threadedComments/threadedComment4.xml"/></Relationships>
</file>

<file path=xl/worksheets/_rels/sheet33.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8.vml"/><Relationship Id="rId1" Type="http://schemas.openxmlformats.org/officeDocument/2006/relationships/printerSettings" Target="../printerSettings/printerSettings33.bin"/><Relationship Id="rId4" Type="http://schemas.microsoft.com/office/2017/10/relationships/threadedComment" Target="../threadedComments/threadedComment5.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9.vml"/><Relationship Id="rId1" Type="http://schemas.openxmlformats.org/officeDocument/2006/relationships/printerSettings" Target="../printerSettings/printerSettings53.bin"/><Relationship Id="rId4" Type="http://schemas.microsoft.com/office/2017/10/relationships/threadedComment" Target="../threadedComments/threadedComment6.xml"/></Relationships>
</file>

<file path=xl/worksheets/_rels/sheet54.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0.vml"/><Relationship Id="rId1" Type="http://schemas.openxmlformats.org/officeDocument/2006/relationships/printerSettings" Target="../printerSettings/printerSettings54.bin"/><Relationship Id="rId4" Type="http://schemas.microsoft.com/office/2017/10/relationships/threadedComment" Target="../threadedComments/threadedComment7.xml"/></Relationships>
</file>

<file path=xl/worksheets/_rels/sheet55.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1.vml"/><Relationship Id="rId1" Type="http://schemas.openxmlformats.org/officeDocument/2006/relationships/printerSettings" Target="../printerSettings/printerSettings55.bin"/><Relationship Id="rId4" Type="http://schemas.microsoft.com/office/2017/10/relationships/threadedComment" Target="../threadedComments/threadedComment8.xml"/></Relationships>
</file>

<file path=xl/worksheets/_rels/sheet56.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2.vml"/><Relationship Id="rId1" Type="http://schemas.openxmlformats.org/officeDocument/2006/relationships/printerSettings" Target="../printerSettings/printerSettings56.bin"/><Relationship Id="rId4" Type="http://schemas.microsoft.com/office/2017/10/relationships/threadedComment" Target="../threadedComments/threadedComment9.xml"/></Relationships>
</file>

<file path=xl/worksheets/_rels/sheet57.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3.vml"/><Relationship Id="rId1" Type="http://schemas.openxmlformats.org/officeDocument/2006/relationships/printerSettings" Target="../printerSettings/printerSettings57.bin"/><Relationship Id="rId4" Type="http://schemas.microsoft.com/office/2017/10/relationships/threadedComment" Target="../threadedComments/threadedComment10.xml"/></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4.vml"/><Relationship Id="rId1" Type="http://schemas.openxmlformats.org/officeDocument/2006/relationships/printerSettings" Target="../printerSettings/printerSettings63.bin"/><Relationship Id="rId4" Type="http://schemas.microsoft.com/office/2017/10/relationships/threadedComment" Target="../threadedComments/threadedComment11.xml"/></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5.vml"/><Relationship Id="rId1" Type="http://schemas.openxmlformats.org/officeDocument/2006/relationships/printerSettings" Target="../printerSettings/printerSettings65.bin"/><Relationship Id="rId4" Type="http://schemas.microsoft.com/office/2017/10/relationships/threadedComment" Target="../threadedComments/threadedComment12.xml"/></Relationships>
</file>

<file path=xl/worksheets/_rels/sheet6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6.vml"/><Relationship Id="rId1" Type="http://schemas.openxmlformats.org/officeDocument/2006/relationships/printerSettings" Target="../printerSettings/printerSettings66.bin"/><Relationship Id="rId4" Type="http://schemas.microsoft.com/office/2017/10/relationships/threadedComment" Target="../threadedComments/threadedComment13.xml"/></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7.vml"/><Relationship Id="rId1" Type="http://schemas.openxmlformats.org/officeDocument/2006/relationships/printerSettings" Target="../printerSettings/printerSettings70.bin"/><Relationship Id="rId4" Type="http://schemas.microsoft.com/office/2017/10/relationships/threadedComment" Target="../threadedComments/threadedComment14.xml"/></Relationships>
</file>

<file path=xl/worksheets/_rels/sheet71.xml.rels><?xml version="1.0" encoding="UTF-8" standalone="yes"?>
<Relationships xmlns="http://schemas.openxmlformats.org/package/2006/relationships"><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1" Type="http://schemas.openxmlformats.org/officeDocument/2006/relationships/printerSettings" Target="../printerSettings/printerSettings73.bin"/></Relationships>
</file>

<file path=xl/worksheets/_rels/sheet74.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8.vml"/><Relationship Id="rId1" Type="http://schemas.openxmlformats.org/officeDocument/2006/relationships/printerSettings" Target="../printerSettings/printerSettings74.bin"/><Relationship Id="rId4" Type="http://schemas.microsoft.com/office/2017/10/relationships/threadedComment" Target="../threadedComments/threadedComment15.xml"/></Relationships>
</file>

<file path=xl/worksheets/_rels/sheet75.xml.rels><?xml version="1.0" encoding="UTF-8" standalone="yes"?>
<Relationships xmlns="http://schemas.openxmlformats.org/package/2006/relationships"><Relationship Id="rId1" Type="http://schemas.openxmlformats.org/officeDocument/2006/relationships/printerSettings" Target="../printerSettings/printerSettings75.bin"/></Relationships>
</file>

<file path=xl/worksheets/_rels/sheet76.xml.rels><?xml version="1.0" encoding="UTF-8" standalone="yes"?>
<Relationships xmlns="http://schemas.openxmlformats.org/package/2006/relationships"><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1" Type="http://schemas.openxmlformats.org/officeDocument/2006/relationships/printerSettings" Target="../printerSettings/printerSettings79.bin"/></Relationships>
</file>

<file path=xl/worksheets/_rels/sheet80.xml.rels><?xml version="1.0" encoding="UTF-8" standalone="yes"?>
<Relationships xmlns="http://schemas.openxmlformats.org/package/2006/relationships"><Relationship Id="rId1" Type="http://schemas.openxmlformats.org/officeDocument/2006/relationships/printerSettings" Target="../printerSettings/printerSettings80.bin"/></Relationships>
</file>

<file path=xl/worksheets/_rels/sheet81.xml.rels><?xml version="1.0" encoding="UTF-8" standalone="yes"?>
<Relationships xmlns="http://schemas.openxmlformats.org/package/2006/relationships"><Relationship Id="rId1" Type="http://schemas.openxmlformats.org/officeDocument/2006/relationships/printerSettings" Target="../printerSettings/printerSettings8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17A33E-B77A-4418-B714-B3B942F19B05}">
  <sheetPr codeName="Sheet10">
    <pageSetUpPr autoPageBreaks="0"/>
  </sheetPr>
  <dimension ref="A1:F38"/>
  <sheetViews>
    <sheetView workbookViewId="0">
      <selection activeCell="D24" sqref="D24"/>
    </sheetView>
  </sheetViews>
  <sheetFormatPr defaultRowHeight="14.5" x14ac:dyDescent="0.35"/>
  <cols>
    <col min="1" max="1" width="26.453125" customWidth="1"/>
    <col min="2" max="2" width="31.453125" customWidth="1"/>
    <col min="3" max="3" width="28.453125" customWidth="1"/>
    <col min="4" max="4" width="22.453125" customWidth="1"/>
    <col min="5" max="5" width="38.453125" customWidth="1"/>
    <col min="6" max="6" width="38" bestFit="1" customWidth="1"/>
  </cols>
  <sheetData>
    <row r="1" spans="1:6" ht="20" x14ac:dyDescent="0.35">
      <c r="A1" s="101" t="s">
        <v>0</v>
      </c>
    </row>
    <row r="3" spans="1:6" x14ac:dyDescent="0.35">
      <c r="A3" s="135" t="s">
        <v>1</v>
      </c>
      <c r="B3" s="135" t="s">
        <v>2</v>
      </c>
      <c r="D3" s="129" t="s">
        <v>3</v>
      </c>
    </row>
    <row r="4" spans="1:6" x14ac:dyDescent="0.35">
      <c r="A4" s="133" t="s">
        <v>4</v>
      </c>
      <c r="B4" s="126" t="s">
        <v>5</v>
      </c>
      <c r="D4" s="125"/>
      <c r="E4" s="134" t="s">
        <v>6</v>
      </c>
      <c r="F4" s="134" t="s">
        <v>7</v>
      </c>
    </row>
    <row r="5" spans="1:6" x14ac:dyDescent="0.35">
      <c r="A5" s="133" t="s">
        <v>8</v>
      </c>
      <c r="B5" s="126" t="s">
        <v>9</v>
      </c>
      <c r="D5" s="132" t="s">
        <v>10</v>
      </c>
      <c r="E5" s="131" t="s">
        <v>11</v>
      </c>
      <c r="F5" s="131" t="s">
        <v>12</v>
      </c>
    </row>
    <row r="6" spans="1:6" s="125" customFormat="1" x14ac:dyDescent="0.35">
      <c r="A6" s="133" t="s">
        <v>13</v>
      </c>
      <c r="B6" s="126" t="s">
        <v>14</v>
      </c>
      <c r="D6" s="132" t="s">
        <v>15</v>
      </c>
      <c r="E6" s="131" t="s">
        <v>12</v>
      </c>
      <c r="F6" s="131" t="s">
        <v>12</v>
      </c>
    </row>
    <row r="7" spans="1:6" s="125" customFormat="1" x14ac:dyDescent="0.35">
      <c r="A7" s="132" t="s">
        <v>16</v>
      </c>
      <c r="B7" s="127" t="s">
        <v>17</v>
      </c>
      <c r="D7" s="132" t="s">
        <v>18</v>
      </c>
      <c r="E7" s="131" t="s">
        <v>11</v>
      </c>
      <c r="F7" s="131" t="s">
        <v>19</v>
      </c>
    </row>
    <row r="8" spans="1:6" s="125" customFormat="1" x14ac:dyDescent="0.35">
      <c r="A8" s="132" t="s">
        <v>20</v>
      </c>
      <c r="B8" s="127" t="s">
        <v>21</v>
      </c>
      <c r="D8" s="125" t="s">
        <v>22</v>
      </c>
      <c r="E8" s="130"/>
      <c r="F8" s="130"/>
    </row>
    <row r="9" spans="1:6" s="125" customFormat="1" x14ac:dyDescent="0.35">
      <c r="A9" s="132" t="s">
        <v>23</v>
      </c>
      <c r="B9" s="127" t="s">
        <v>24</v>
      </c>
      <c r="D9" s="125" t="s">
        <v>25</v>
      </c>
      <c r="E9" s="130"/>
      <c r="F9" s="130"/>
    </row>
    <row r="10" spans="1:6" s="125" customFormat="1" x14ac:dyDescent="0.35">
      <c r="A10" s="132" t="s">
        <v>26</v>
      </c>
      <c r="B10" s="127" t="s">
        <v>27</v>
      </c>
      <c r="E10" s="130"/>
      <c r="F10" s="130"/>
    </row>
    <row r="11" spans="1:6" s="125" customFormat="1" x14ac:dyDescent="0.35">
      <c r="A11" s="132" t="s">
        <v>28</v>
      </c>
      <c r="B11" s="127" t="s">
        <v>29</v>
      </c>
      <c r="E11" s="130"/>
      <c r="F11" s="130"/>
    </row>
    <row r="12" spans="1:6" s="125" customFormat="1" x14ac:dyDescent="0.35">
      <c r="A12" s="132" t="s">
        <v>30</v>
      </c>
      <c r="B12" s="127" t="s">
        <v>31</v>
      </c>
      <c r="E12" s="130"/>
      <c r="F12" s="130"/>
    </row>
    <row r="13" spans="1:6" s="125" customFormat="1" x14ac:dyDescent="0.35">
      <c r="A13" s="132" t="s">
        <v>32</v>
      </c>
      <c r="B13" s="127" t="s">
        <v>33</v>
      </c>
      <c r="E13" s="130"/>
      <c r="F13" s="130"/>
    </row>
    <row r="14" spans="1:6" s="125" customFormat="1" x14ac:dyDescent="0.35">
      <c r="A14" s="125" t="s">
        <v>22</v>
      </c>
      <c r="E14" s="130"/>
      <c r="F14" s="130"/>
    </row>
    <row r="15" spans="1:6" s="125" customFormat="1" x14ac:dyDescent="0.35">
      <c r="A15" s="125" t="s">
        <v>34</v>
      </c>
      <c r="E15" s="130"/>
      <c r="F15" s="130"/>
    </row>
    <row r="16" spans="1:6" s="125" customFormat="1" x14ac:dyDescent="0.35">
      <c r="A16" s="125" t="s">
        <v>35</v>
      </c>
      <c r="E16" s="130"/>
      <c r="F16" s="130"/>
    </row>
    <row r="17" spans="1:6" s="125" customFormat="1" x14ac:dyDescent="0.35">
      <c r="A17" s="125" t="s">
        <v>36</v>
      </c>
      <c r="E17" s="130"/>
      <c r="F17" s="130"/>
    </row>
    <row r="18" spans="1:6" s="125" customFormat="1" x14ac:dyDescent="0.35">
      <c r="E18" s="130"/>
      <c r="F18" s="130"/>
    </row>
    <row r="19" spans="1:6" s="125" customFormat="1" x14ac:dyDescent="0.35">
      <c r="A19" s="128" t="s">
        <v>37</v>
      </c>
      <c r="E19" s="130"/>
      <c r="F19" s="130"/>
    </row>
    <row r="20" spans="1:6" s="125" customFormat="1" x14ac:dyDescent="0.35">
      <c r="A20" s="128" t="s">
        <v>38</v>
      </c>
      <c r="E20" s="130"/>
      <c r="F20" s="130"/>
    </row>
    <row r="21" spans="1:6" s="125" customFormat="1" x14ac:dyDescent="0.35">
      <c r="A21" s="125" t="s">
        <v>39</v>
      </c>
      <c r="E21" s="130"/>
      <c r="F21" s="130"/>
    </row>
    <row r="22" spans="1:6" s="125" customFormat="1" x14ac:dyDescent="0.35">
      <c r="A22" s="125" t="s">
        <v>40</v>
      </c>
      <c r="E22" s="130"/>
      <c r="F22" s="130"/>
    </row>
    <row r="23" spans="1:6" s="125" customFormat="1" x14ac:dyDescent="0.35">
      <c r="A23" s="128" t="s">
        <v>41</v>
      </c>
      <c r="E23" s="130"/>
      <c r="F23" s="130"/>
    </row>
    <row r="24" spans="1:6" s="125" customFormat="1" x14ac:dyDescent="0.35">
      <c r="A24" s="125" t="s">
        <v>42</v>
      </c>
      <c r="D24"/>
      <c r="E24"/>
      <c r="F24"/>
    </row>
    <row r="25" spans="1:6" x14ac:dyDescent="0.35">
      <c r="A25" s="125" t="s">
        <v>43</v>
      </c>
      <c r="B25" s="125"/>
    </row>
    <row r="26" spans="1:6" x14ac:dyDescent="0.35">
      <c r="A26" t="s">
        <v>44</v>
      </c>
    </row>
    <row r="27" spans="1:6" x14ac:dyDescent="0.35">
      <c r="A27" s="129" t="s">
        <v>45</v>
      </c>
    </row>
    <row r="28" spans="1:6" x14ac:dyDescent="0.35">
      <c r="A28" t="s">
        <v>46</v>
      </c>
    </row>
    <row r="29" spans="1:6" x14ac:dyDescent="0.35">
      <c r="A29" t="s">
        <v>47</v>
      </c>
    </row>
    <row r="30" spans="1:6" x14ac:dyDescent="0.35">
      <c r="A30" s="129" t="s">
        <v>48</v>
      </c>
    </row>
    <row r="31" spans="1:6" x14ac:dyDescent="0.35">
      <c r="A31" s="1" t="s">
        <v>49</v>
      </c>
    </row>
    <row r="32" spans="1:6" x14ac:dyDescent="0.35">
      <c r="A32" s="1" t="s">
        <v>50</v>
      </c>
    </row>
    <row r="33" spans="1:1" x14ac:dyDescent="0.35">
      <c r="A33" s="1" t="s">
        <v>51</v>
      </c>
    </row>
    <row r="34" spans="1:1" x14ac:dyDescent="0.35">
      <c r="A34" s="1" t="s">
        <v>52</v>
      </c>
    </row>
    <row r="35" spans="1:1" x14ac:dyDescent="0.35">
      <c r="A35" s="1" t="s">
        <v>53</v>
      </c>
    </row>
    <row r="36" spans="1:1" x14ac:dyDescent="0.35">
      <c r="A36" s="1" t="s">
        <v>54</v>
      </c>
    </row>
    <row r="37" spans="1:1" x14ac:dyDescent="0.35">
      <c r="A37" s="1" t="s">
        <v>55</v>
      </c>
    </row>
    <row r="38" spans="1:1" x14ac:dyDescent="0.35">
      <c r="A38" s="1" t="s">
        <v>56</v>
      </c>
    </row>
  </sheetData>
  <pageMargins left="0.7" right="0.7" top="0.75" bottom="0.75" header="0.3" footer="0.3"/>
  <pageSetup orientation="portrait" r:id="rId1"/>
  <headerFooter>
    <oddFooter>&amp;L&amp;"Arial,Regular"&amp;08&amp;K7F7F7FAmgen Proprietary - For Internal Use Only&amp;C&amp;1#&amp;"Calibri"&amp;10&amp;K000000 Non-Amgen</oddFooter>
    <evenFooter>&amp;L&amp;"Arial,Regular"&amp;08&amp;K7F7F7FAmgen Proprietary - For Internal Use Only</evenFooter>
    <firstFooter>&amp;L&amp;"Arial,Regular"&amp;08&amp;K7F7F7FAmgen Proprietary - For Internal Use Only</first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6FBA76-8CC4-434A-B28C-F0719C705FF2}">
  <sheetPr codeName="Sheet12"/>
  <dimension ref="A1:AD201"/>
  <sheetViews>
    <sheetView topLeftCell="A103" zoomScale="80" zoomScaleNormal="80" workbookViewId="0">
      <selection activeCell="F136" sqref="F136"/>
    </sheetView>
  </sheetViews>
  <sheetFormatPr defaultColWidth="8.54296875" defaultRowHeight="15" customHeight="1" x14ac:dyDescent="0.35"/>
  <cols>
    <col min="1" max="1" width="12.54296875" customWidth="1"/>
    <col min="2" max="2" width="28" customWidth="1"/>
    <col min="3" max="3" width="8.54296875" customWidth="1"/>
    <col min="4" max="4" width="13.453125" customWidth="1"/>
    <col min="5" max="5" width="30.54296875" customWidth="1"/>
    <col min="6" max="6" width="42.453125" customWidth="1"/>
    <col min="7" max="7" width="14.453125" customWidth="1"/>
    <col min="8" max="8" width="24" customWidth="1"/>
    <col min="9" max="9" width="14.36328125" customWidth="1"/>
    <col min="11" max="11" width="18.54296875" customWidth="1"/>
    <col min="12" max="12" width="7.453125" customWidth="1"/>
    <col min="13" max="13" width="23" customWidth="1"/>
    <col min="14" max="15" width="24.54296875" customWidth="1"/>
    <col min="16" max="16" width="8" customWidth="1"/>
    <col min="17" max="17" width="15.453125" customWidth="1"/>
    <col min="18" max="18" width="32.453125" customWidth="1"/>
    <col min="19" max="19" width="28.54296875" customWidth="1"/>
    <col min="20" max="20" width="9.54296875" customWidth="1"/>
    <col min="23" max="23" width="14.453125" style="828" bestFit="1" customWidth="1"/>
    <col min="24" max="24" width="12.453125" customWidth="1"/>
    <col min="25" max="25" width="10.54296875" style="828" customWidth="1"/>
    <col min="27" max="27" width="8.54296875" customWidth="1"/>
    <col min="28" max="28" width="16" customWidth="1"/>
    <col min="29" max="29" width="13.453125" customWidth="1"/>
    <col min="30" max="30" width="8.54296875" customWidth="1"/>
  </cols>
  <sheetData>
    <row r="1" spans="1:30" ht="15" customHeight="1" x14ac:dyDescent="0.35">
      <c r="AD1" s="236"/>
    </row>
    <row r="2" spans="1:30" ht="15" customHeight="1" x14ac:dyDescent="0.35">
      <c r="H2" s="984" t="s">
        <v>57</v>
      </c>
      <c r="I2" s="984"/>
      <c r="J2" s="984"/>
      <c r="AD2" s="236"/>
    </row>
    <row r="3" spans="1:30" ht="15" customHeight="1" x14ac:dyDescent="0.35">
      <c r="AD3" s="236"/>
    </row>
    <row r="4" spans="1:30" ht="15" customHeight="1" x14ac:dyDescent="0.35">
      <c r="AD4" s="236"/>
    </row>
    <row r="5" spans="1:30" ht="15" customHeight="1" x14ac:dyDescent="0.35">
      <c r="AD5" s="236"/>
    </row>
    <row r="6" spans="1:30" ht="15" customHeight="1" thickBot="1" x14ac:dyDescent="0.4">
      <c r="A6" s="101" t="s">
        <v>58</v>
      </c>
      <c r="B6" s="87"/>
      <c r="C6" s="87"/>
      <c r="D6" s="87"/>
      <c r="E6" s="87"/>
      <c r="F6" s="87"/>
      <c r="G6" s="87"/>
      <c r="H6" s="87"/>
      <c r="I6" s="87"/>
      <c r="J6" s="87"/>
      <c r="K6" s="87"/>
      <c r="M6" s="101" t="s">
        <v>59</v>
      </c>
      <c r="Q6" s="101" t="s">
        <v>60</v>
      </c>
      <c r="AD6" s="236"/>
    </row>
    <row r="7" spans="1:30" ht="15" customHeight="1" x14ac:dyDescent="0.35">
      <c r="A7" s="956" t="s">
        <v>61</v>
      </c>
      <c r="B7" s="957"/>
      <c r="C7" s="957"/>
      <c r="D7" s="957"/>
      <c r="E7" s="957"/>
      <c r="F7" s="957"/>
      <c r="G7" s="957"/>
      <c r="H7" s="957"/>
      <c r="I7" s="957"/>
      <c r="J7" s="957"/>
      <c r="K7" s="957"/>
      <c r="L7" s="957"/>
      <c r="M7" s="957"/>
      <c r="N7" s="957"/>
      <c r="O7" s="957"/>
      <c r="P7" s="957"/>
      <c r="Q7" s="957"/>
      <c r="R7" s="957"/>
      <c r="S7" s="957"/>
      <c r="T7" s="957"/>
      <c r="U7" s="957"/>
      <c r="V7" s="957"/>
      <c r="W7" s="957"/>
      <c r="X7" s="957"/>
      <c r="Y7" s="958"/>
      <c r="AB7" s="985" t="s">
        <v>62</v>
      </c>
      <c r="AC7" s="986"/>
      <c r="AD7" s="236"/>
    </row>
    <row r="8" spans="1:30" thickBot="1" x14ac:dyDescent="0.4">
      <c r="A8" s="959"/>
      <c r="B8" s="960"/>
      <c r="C8" s="960"/>
      <c r="D8" s="960"/>
      <c r="E8" s="960"/>
      <c r="F8" s="960"/>
      <c r="G8" s="960"/>
      <c r="H8" s="960"/>
      <c r="I8" s="960"/>
      <c r="J8" s="960"/>
      <c r="K8" s="960"/>
      <c r="L8" s="960"/>
      <c r="M8" s="960"/>
      <c r="N8" s="960"/>
      <c r="O8" s="960"/>
      <c r="P8" s="960"/>
      <c r="Q8" s="960"/>
      <c r="R8" s="960"/>
      <c r="S8" s="960"/>
      <c r="T8" s="960"/>
      <c r="U8" s="960"/>
      <c r="V8" s="960"/>
      <c r="W8" s="960"/>
      <c r="X8" s="960"/>
      <c r="Y8" s="961"/>
      <c r="AB8" s="987"/>
      <c r="AC8" s="988"/>
      <c r="AD8" s="236"/>
    </row>
    <row r="9" spans="1:30" ht="18" thickBot="1" x14ac:dyDescent="0.4">
      <c r="A9" s="88" t="s">
        <v>63</v>
      </c>
      <c r="B9" s="87"/>
      <c r="C9" s="87"/>
      <c r="D9" s="87"/>
      <c r="E9" s="87"/>
      <c r="F9" s="87"/>
      <c r="G9" s="87"/>
      <c r="H9" s="87"/>
      <c r="I9" s="87"/>
      <c r="J9" s="87"/>
      <c r="K9" s="87"/>
      <c r="M9" s="88" t="s">
        <v>64</v>
      </c>
      <c r="Q9" s="88" t="s">
        <v>65</v>
      </c>
      <c r="V9" s="989" t="s">
        <v>66</v>
      </c>
      <c r="W9" s="990"/>
      <c r="X9" s="991"/>
      <c r="AB9" s="672" t="s">
        <v>67</v>
      </c>
      <c r="AC9" s="136"/>
    </row>
    <row r="10" spans="1:30" thickBot="1" x14ac:dyDescent="0.4">
      <c r="A10" s="143" t="s">
        <v>68</v>
      </c>
      <c r="B10" s="144" t="s">
        <v>69</v>
      </c>
      <c r="C10" s="144" t="s">
        <v>70</v>
      </c>
      <c r="D10" s="144" t="s">
        <v>71</v>
      </c>
      <c r="E10" s="144" t="s">
        <v>72</v>
      </c>
      <c r="F10" s="144" t="s">
        <v>73</v>
      </c>
      <c r="G10" s="144" t="s">
        <v>74</v>
      </c>
      <c r="H10" s="144" t="s">
        <v>75</v>
      </c>
      <c r="I10" s="144" t="s">
        <v>76</v>
      </c>
      <c r="J10" s="144" t="s">
        <v>77</v>
      </c>
      <c r="K10" s="144" t="s">
        <v>78</v>
      </c>
      <c r="M10" s="145" t="s">
        <v>79</v>
      </c>
      <c r="N10" s="145" t="s">
        <v>80</v>
      </c>
      <c r="O10" s="145" t="s">
        <v>81</v>
      </c>
      <c r="Q10" s="145" t="s">
        <v>79</v>
      </c>
      <c r="R10" s="145" t="s">
        <v>80</v>
      </c>
      <c r="S10" s="145" t="s">
        <v>81</v>
      </c>
      <c r="U10" s="211"/>
      <c r="V10" s="212" t="s">
        <v>82</v>
      </c>
      <c r="W10" s="829" t="s">
        <v>83</v>
      </c>
      <c r="X10" s="212" t="s">
        <v>84</v>
      </c>
      <c r="Y10" s="836" t="s">
        <v>85</v>
      </c>
      <c r="AB10" s="673">
        <f ca="1">NOW()</f>
        <v>44713.40245833333</v>
      </c>
      <c r="AC10" s="674"/>
    </row>
    <row r="11" spans="1:30" ht="15" customHeight="1" thickTop="1" thickBot="1" x14ac:dyDescent="0.4">
      <c r="A11" s="992"/>
      <c r="B11" s="993"/>
      <c r="C11" s="993"/>
      <c r="D11" s="994"/>
      <c r="E11" s="146">
        <v>8006582</v>
      </c>
      <c r="F11" s="146" t="s">
        <v>86</v>
      </c>
      <c r="G11" s="147">
        <v>18500</v>
      </c>
      <c r="H11" s="146" t="s">
        <v>87</v>
      </c>
      <c r="I11" s="148"/>
      <c r="J11" s="146"/>
      <c r="K11" s="148"/>
      <c r="M11" s="149" t="s">
        <v>88</v>
      </c>
      <c r="N11" s="149" t="s">
        <v>89</v>
      </c>
      <c r="O11" s="149" t="s">
        <v>90</v>
      </c>
      <c r="Q11" s="149" t="s">
        <v>91</v>
      </c>
      <c r="R11" s="149" t="s">
        <v>92</v>
      </c>
      <c r="S11" s="149" t="s">
        <v>93</v>
      </c>
      <c r="U11" s="213" t="s">
        <v>94</v>
      </c>
      <c r="V11" s="137">
        <v>665.25079403128177</v>
      </c>
      <c r="W11" s="830">
        <v>7954</v>
      </c>
      <c r="X11" s="137">
        <v>387</v>
      </c>
      <c r="Y11" s="837">
        <v>9006.2507940312826</v>
      </c>
      <c r="AB11" s="675"/>
      <c r="AC11" s="674"/>
    </row>
    <row r="12" spans="1:30" thickBot="1" x14ac:dyDescent="0.4">
      <c r="A12" s="150">
        <v>10</v>
      </c>
      <c r="B12" s="968" t="s">
        <v>95</v>
      </c>
      <c r="C12" s="969"/>
      <c r="D12" s="969"/>
      <c r="E12" s="969"/>
      <c r="F12" s="969"/>
      <c r="G12" s="969"/>
      <c r="H12" s="969"/>
      <c r="I12" s="969"/>
      <c r="J12" s="969"/>
      <c r="K12" s="970"/>
      <c r="Q12" s="151"/>
      <c r="R12" s="152" t="s">
        <v>96</v>
      </c>
      <c r="S12" s="152" t="s">
        <v>97</v>
      </c>
      <c r="U12" s="214" t="s">
        <v>98</v>
      </c>
      <c r="V12" s="215" t="s">
        <v>99</v>
      </c>
      <c r="W12" s="831">
        <v>72</v>
      </c>
      <c r="X12" s="215" t="s">
        <v>99</v>
      </c>
      <c r="Y12" s="838">
        <v>72</v>
      </c>
      <c r="AB12" s="217"/>
      <c r="AC12" s="349" t="s">
        <v>100</v>
      </c>
    </row>
    <row r="13" spans="1:30" thickBot="1" x14ac:dyDescent="0.4">
      <c r="A13" s="759">
        <v>20</v>
      </c>
      <c r="B13" s="153" t="s">
        <v>101</v>
      </c>
      <c r="C13" s="153">
        <v>10</v>
      </c>
      <c r="D13" s="153" t="s">
        <v>102</v>
      </c>
      <c r="E13" s="153">
        <v>8005050</v>
      </c>
      <c r="F13" s="153" t="s">
        <v>103</v>
      </c>
      <c r="G13" s="154">
        <v>19500</v>
      </c>
      <c r="H13" s="153" t="s">
        <v>87</v>
      </c>
      <c r="I13" s="155">
        <v>30</v>
      </c>
      <c r="J13" s="760"/>
      <c r="K13" s="973" t="s">
        <v>104</v>
      </c>
      <c r="M13" s="145" t="s">
        <v>80</v>
      </c>
      <c r="N13" s="145" t="s">
        <v>81</v>
      </c>
      <c r="O13" s="145" t="s">
        <v>105</v>
      </c>
      <c r="Q13" s="156"/>
      <c r="R13" s="157" t="s">
        <v>106</v>
      </c>
      <c r="S13" s="157" t="s">
        <v>107</v>
      </c>
      <c r="AB13" s="220" t="s">
        <v>108</v>
      </c>
      <c r="AC13" s="225" t="e">
        <f ca="1">_xll.PITimeDat("\\sgsg-papp-stp01\SG002-17521-LI-004/PV.CV",'Tabulated BOM'!$AB$10,"","interpolated")</f>
        <v>#NAME?</v>
      </c>
    </row>
    <row r="14" spans="1:30" ht="15" customHeight="1" thickTop="1" thickBot="1" x14ac:dyDescent="0.4">
      <c r="A14" s="759">
        <v>20</v>
      </c>
      <c r="B14" s="153" t="s">
        <v>101</v>
      </c>
      <c r="C14" s="153">
        <v>20</v>
      </c>
      <c r="D14" s="153" t="s">
        <v>102</v>
      </c>
      <c r="E14" s="153">
        <v>3004612</v>
      </c>
      <c r="F14" s="153" t="s">
        <v>109</v>
      </c>
      <c r="G14" s="154">
        <v>20800</v>
      </c>
      <c r="H14" s="153" t="s">
        <v>87</v>
      </c>
      <c r="I14" s="155">
        <v>30</v>
      </c>
      <c r="J14" s="760"/>
      <c r="K14" s="974"/>
      <c r="M14" s="149" t="s">
        <v>110</v>
      </c>
      <c r="N14" s="149" t="s">
        <v>90</v>
      </c>
      <c r="O14" s="149" t="s">
        <v>111</v>
      </c>
      <c r="Q14" s="152" t="s">
        <v>88</v>
      </c>
      <c r="R14" s="152" t="s">
        <v>112</v>
      </c>
      <c r="S14" s="152" t="s">
        <v>113</v>
      </c>
      <c r="AB14" s="220" t="s">
        <v>114</v>
      </c>
      <c r="AC14" s="225" t="e">
        <f ca="1">_xll.PITimeDat("\\sgsg-papp-stp01\SG002-17521-LI-008/PV.CV",'Tabulated BOM'!$AB$10,"","interpolated")</f>
        <v>#NAME?</v>
      </c>
    </row>
    <row r="15" spans="1:30" thickBot="1" x14ac:dyDescent="0.4">
      <c r="A15" s="759">
        <v>30</v>
      </c>
      <c r="B15" s="153" t="s">
        <v>115</v>
      </c>
      <c r="C15" s="153">
        <v>30</v>
      </c>
      <c r="D15" s="153" t="s">
        <v>102</v>
      </c>
      <c r="E15" s="153">
        <v>3004577</v>
      </c>
      <c r="F15" s="153" t="s">
        <v>116</v>
      </c>
      <c r="G15" s="154">
        <v>64900</v>
      </c>
      <c r="H15" s="153" t="s">
        <v>87</v>
      </c>
      <c r="I15" s="155" t="s">
        <v>117</v>
      </c>
      <c r="J15" s="760"/>
      <c r="K15" s="974"/>
      <c r="Q15" s="156"/>
      <c r="R15" s="157" t="s">
        <v>89</v>
      </c>
      <c r="S15" s="670" t="s">
        <v>118</v>
      </c>
      <c r="V15" s="727">
        <f>SUM(G16:G19)</f>
        <v>510100</v>
      </c>
      <c r="AB15" s="220" t="s">
        <v>96</v>
      </c>
      <c r="AC15" s="225" t="e">
        <f ca="1">_xll.PITimeDat("\\sgsg-papp-stp01\SG002-14913-LI-004/PV.CV",'Tabulated BOM'!$AB$10,"","interpolated")</f>
        <v>#NAME?</v>
      </c>
    </row>
    <row r="16" spans="1:30" ht="18" thickBot="1" x14ac:dyDescent="0.4">
      <c r="A16" s="759">
        <v>30</v>
      </c>
      <c r="B16" s="153" t="s">
        <v>115</v>
      </c>
      <c r="C16" s="153">
        <v>40</v>
      </c>
      <c r="D16" s="153" t="s">
        <v>102</v>
      </c>
      <c r="E16" s="153">
        <v>7002071</v>
      </c>
      <c r="F16" s="153" t="s">
        <v>119</v>
      </c>
      <c r="G16" s="154">
        <v>281400</v>
      </c>
      <c r="H16" s="153" t="s">
        <v>87</v>
      </c>
      <c r="I16" s="155" t="s">
        <v>117</v>
      </c>
      <c r="J16" s="760"/>
      <c r="K16" s="974"/>
      <c r="M16" s="850" t="s">
        <v>120</v>
      </c>
      <c r="Q16" s="152" t="s">
        <v>121</v>
      </c>
      <c r="R16" s="152" t="s">
        <v>122</v>
      </c>
      <c r="S16" s="152" t="s">
        <v>123</v>
      </c>
      <c r="V16">
        <f>520*3+X11*2</f>
        <v>2334</v>
      </c>
      <c r="AB16" s="220" t="s">
        <v>110</v>
      </c>
      <c r="AC16" s="225" t="e">
        <f t="array" aca="1" ref="AC16" ca="1">_xll.PITimeDat("\\sgsg-papp-stp01\SG002-14914-LI-004/PV.CV",'Tabulated BOM'!$AB$10,"","interpolated")</f>
        <v>#NAME?</v>
      </c>
    </row>
    <row r="17" spans="1:29" thickBot="1" x14ac:dyDescent="0.4">
      <c r="A17" s="759">
        <v>30</v>
      </c>
      <c r="B17" s="153" t="s">
        <v>115</v>
      </c>
      <c r="C17" s="153">
        <v>50</v>
      </c>
      <c r="D17" s="153" t="s">
        <v>102</v>
      </c>
      <c r="E17" s="153">
        <v>7002071</v>
      </c>
      <c r="F17" s="153" t="s">
        <v>119</v>
      </c>
      <c r="G17" s="154">
        <v>105500</v>
      </c>
      <c r="H17" s="153" t="s">
        <v>87</v>
      </c>
      <c r="I17" s="155" t="s">
        <v>117</v>
      </c>
      <c r="J17" s="760"/>
      <c r="K17" s="974"/>
      <c r="M17" s="145" t="s">
        <v>79</v>
      </c>
      <c r="N17" s="145" t="s">
        <v>80</v>
      </c>
      <c r="O17" s="145" t="s">
        <v>81</v>
      </c>
      <c r="AB17" s="220" t="s">
        <v>112</v>
      </c>
      <c r="AC17" s="225" t="e">
        <f t="array" aca="1" ref="AC17" ca="1">_xll.PITimeDat("\\sgsg-papp-stp01\SG002-14912-LI-004/PV.CV",'Tabulated BOM'!$AB$10,"","interpolated")</f>
        <v>#NAME?</v>
      </c>
    </row>
    <row r="18" spans="1:29" ht="15.5" thickTop="1" thickBot="1" x14ac:dyDescent="0.4">
      <c r="A18" s="759">
        <v>30</v>
      </c>
      <c r="B18" s="153" t="s">
        <v>115</v>
      </c>
      <c r="C18" s="153">
        <v>60</v>
      </c>
      <c r="D18" s="153" t="s">
        <v>102</v>
      </c>
      <c r="E18" s="153">
        <v>7002071</v>
      </c>
      <c r="F18" s="153" t="s">
        <v>119</v>
      </c>
      <c r="G18" s="154">
        <v>61600</v>
      </c>
      <c r="H18" s="153" t="s">
        <v>87</v>
      </c>
      <c r="I18" s="155" t="s">
        <v>117</v>
      </c>
      <c r="J18" s="760"/>
      <c r="K18" s="974"/>
      <c r="M18" s="149" t="s">
        <v>88</v>
      </c>
      <c r="N18" s="149" t="s">
        <v>124</v>
      </c>
      <c r="O18" s="149" t="s">
        <v>125</v>
      </c>
      <c r="Q18" s="145" t="s">
        <v>80</v>
      </c>
      <c r="R18" s="145" t="s">
        <v>81</v>
      </c>
      <c r="S18" s="145" t="s">
        <v>105</v>
      </c>
      <c r="AB18" s="220" t="s">
        <v>126</v>
      </c>
      <c r="AC18" s="224" t="e">
        <f ca="1">_xll.PITimeDat("\\sgsg-papp-stp01\SG002-14915-LI-004/PV.CV",'Tabulated BOM'!$AB$10,"","interpolated")</f>
        <v>#NAME?</v>
      </c>
    </row>
    <row r="19" spans="1:29" ht="15" customHeight="1" thickTop="1" thickBot="1" x14ac:dyDescent="0.4">
      <c r="A19" s="759">
        <v>30</v>
      </c>
      <c r="B19" s="153" t="s">
        <v>115</v>
      </c>
      <c r="C19" s="153">
        <v>70</v>
      </c>
      <c r="D19" s="153" t="s">
        <v>102</v>
      </c>
      <c r="E19" s="153">
        <v>7002071</v>
      </c>
      <c r="F19" s="153" t="s">
        <v>119</v>
      </c>
      <c r="G19" s="154">
        <v>61600</v>
      </c>
      <c r="H19" s="153" t="s">
        <v>87</v>
      </c>
      <c r="I19" s="155" t="s">
        <v>117</v>
      </c>
      <c r="J19" s="760"/>
      <c r="K19" s="975"/>
      <c r="M19" s="758"/>
      <c r="N19" s="758" t="s">
        <v>127</v>
      </c>
      <c r="O19" s="758" t="s">
        <v>128</v>
      </c>
      <c r="Q19" s="149" t="s">
        <v>96</v>
      </c>
      <c r="R19" s="149" t="s">
        <v>97</v>
      </c>
      <c r="S19" s="149" t="s">
        <v>129</v>
      </c>
      <c r="AB19" s="221" t="s">
        <v>130</v>
      </c>
      <c r="AC19" s="224" t="e">
        <f t="array" aca="1" ref="AC19" ca="1">_xll.PITimeDat("\\sgsg-papp-stp01\SG002-14511-LI-001/PV.CV",'Tabulated BOM'!$AB$10,"","interpolated")</f>
        <v>#NAME?</v>
      </c>
    </row>
    <row r="20" spans="1:29" ht="15" customHeight="1" thickBot="1" x14ac:dyDescent="0.4">
      <c r="A20" s="761">
        <v>40</v>
      </c>
      <c r="B20" s="762" t="s">
        <v>131</v>
      </c>
      <c r="C20" s="762">
        <v>80</v>
      </c>
      <c r="D20" s="762" t="s">
        <v>102</v>
      </c>
      <c r="E20" s="762">
        <v>3004901</v>
      </c>
      <c r="F20" s="762" t="s">
        <v>132</v>
      </c>
      <c r="G20" s="762">
        <v>1</v>
      </c>
      <c r="H20" s="762" t="s">
        <v>133</v>
      </c>
      <c r="I20" s="158" t="s">
        <v>117</v>
      </c>
      <c r="J20" s="760"/>
      <c r="K20" s="762" t="s">
        <v>134</v>
      </c>
      <c r="Q20" s="976" t="s">
        <v>110</v>
      </c>
      <c r="R20" s="152" t="s">
        <v>107</v>
      </c>
      <c r="S20" s="152" t="s">
        <v>135</v>
      </c>
    </row>
    <row r="21" spans="1:29" ht="15" customHeight="1" thickBot="1" x14ac:dyDescent="0.4">
      <c r="A21" s="761">
        <v>40</v>
      </c>
      <c r="B21" s="762" t="s">
        <v>131</v>
      </c>
      <c r="C21" s="762">
        <v>90</v>
      </c>
      <c r="D21" s="762" t="s">
        <v>102</v>
      </c>
      <c r="E21" s="762">
        <v>4130900</v>
      </c>
      <c r="F21" s="762" t="s">
        <v>136</v>
      </c>
      <c r="G21" s="762">
        <v>4</v>
      </c>
      <c r="H21" s="762" t="s">
        <v>133</v>
      </c>
      <c r="I21" s="158" t="s">
        <v>117</v>
      </c>
      <c r="J21" s="763"/>
      <c r="K21" s="762" t="s">
        <v>117</v>
      </c>
      <c r="M21" s="145" t="s">
        <v>80</v>
      </c>
      <c r="N21" s="145" t="s">
        <v>81</v>
      </c>
      <c r="O21" s="145" t="s">
        <v>105</v>
      </c>
      <c r="Q21" s="977"/>
      <c r="R21" s="152" t="s">
        <v>118</v>
      </c>
      <c r="S21" s="152" t="s">
        <v>111</v>
      </c>
    </row>
    <row r="22" spans="1:29" ht="15" customHeight="1" thickTop="1" thickBot="1" x14ac:dyDescent="0.4">
      <c r="M22" s="149" t="s">
        <v>110</v>
      </c>
      <c r="N22" s="149" t="s">
        <v>128</v>
      </c>
      <c r="O22" s="149" t="s">
        <v>111</v>
      </c>
      <c r="Q22" s="152" t="s">
        <v>112</v>
      </c>
      <c r="R22" s="152" t="s">
        <v>137</v>
      </c>
      <c r="S22" s="152" t="s">
        <v>111</v>
      </c>
    </row>
    <row r="23" spans="1:29" ht="15" customHeight="1" x14ac:dyDescent="0.35">
      <c r="M23" s="851" t="s">
        <v>138</v>
      </c>
      <c r="N23" s="851" t="s">
        <v>125</v>
      </c>
      <c r="O23" s="851" t="s">
        <v>135</v>
      </c>
    </row>
    <row r="24" spans="1:29" ht="15" customHeight="1" x14ac:dyDescent="0.35">
      <c r="W24" s="875"/>
    </row>
    <row r="28" spans="1:29" ht="15" customHeight="1" thickBot="1" x14ac:dyDescent="0.4">
      <c r="Q28" s="676"/>
      <c r="R28" s="676"/>
      <c r="S28" s="676"/>
    </row>
    <row r="29" spans="1:29" ht="15" customHeight="1" x14ac:dyDescent="0.35">
      <c r="A29" s="956" t="s">
        <v>139</v>
      </c>
      <c r="B29" s="957"/>
      <c r="C29" s="957"/>
      <c r="D29" s="957"/>
      <c r="E29" s="957"/>
      <c r="F29" s="957"/>
      <c r="G29" s="957"/>
      <c r="H29" s="957"/>
      <c r="I29" s="957"/>
      <c r="J29" s="957"/>
      <c r="K29" s="957"/>
      <c r="L29" s="957"/>
      <c r="M29" s="957"/>
      <c r="N29" s="957"/>
      <c r="O29" s="957"/>
      <c r="P29" s="957"/>
      <c r="Q29" s="957"/>
      <c r="R29" s="957"/>
      <c r="S29" s="957"/>
      <c r="T29" s="957"/>
      <c r="U29" s="957"/>
      <c r="V29" s="957"/>
      <c r="W29" s="957"/>
      <c r="X29" s="957"/>
      <c r="Y29" s="958"/>
    </row>
    <row r="30" spans="1:29" ht="15" customHeight="1" thickBot="1" x14ac:dyDescent="0.4">
      <c r="A30" s="959"/>
      <c r="B30" s="960"/>
      <c r="C30" s="960"/>
      <c r="D30" s="960"/>
      <c r="E30" s="960"/>
      <c r="F30" s="960"/>
      <c r="G30" s="960"/>
      <c r="H30" s="960"/>
      <c r="I30" s="960"/>
      <c r="J30" s="960"/>
      <c r="K30" s="960"/>
      <c r="L30" s="960"/>
      <c r="M30" s="960"/>
      <c r="N30" s="960"/>
      <c r="O30" s="960"/>
      <c r="P30" s="960"/>
      <c r="Q30" s="960"/>
      <c r="R30" s="960"/>
      <c r="S30" s="960"/>
      <c r="T30" s="960"/>
      <c r="U30" s="960"/>
      <c r="V30" s="960"/>
      <c r="W30" s="960"/>
      <c r="X30" s="960"/>
      <c r="Y30" s="961"/>
    </row>
    <row r="31" spans="1:29" ht="18" customHeight="1" thickBot="1" x14ac:dyDescent="0.4">
      <c r="A31" s="88" t="s">
        <v>140</v>
      </c>
      <c r="B31" s="87"/>
      <c r="C31" s="87"/>
      <c r="D31" s="677"/>
      <c r="E31" s="87"/>
      <c r="F31" s="87"/>
      <c r="G31" s="87"/>
      <c r="H31" s="87"/>
      <c r="I31" s="87"/>
      <c r="J31" s="87"/>
      <c r="K31" s="87"/>
      <c r="M31" s="88" t="s">
        <v>141</v>
      </c>
      <c r="Q31" s="88" t="s">
        <v>142</v>
      </c>
      <c r="V31" s="978" t="s">
        <v>66</v>
      </c>
      <c r="W31" s="979"/>
      <c r="X31" s="980"/>
    </row>
    <row r="32" spans="1:29" ht="15" customHeight="1" thickBot="1" x14ac:dyDescent="0.4">
      <c r="A32" s="143" t="s">
        <v>68</v>
      </c>
      <c r="B32" s="144" t="s">
        <v>69</v>
      </c>
      <c r="C32" s="144" t="s">
        <v>70</v>
      </c>
      <c r="D32" s="143" t="s">
        <v>71</v>
      </c>
      <c r="E32" s="143" t="s">
        <v>72</v>
      </c>
      <c r="F32" s="144" t="s">
        <v>73</v>
      </c>
      <c r="G32" s="144" t="s">
        <v>74</v>
      </c>
      <c r="H32" s="144" t="s">
        <v>75</v>
      </c>
      <c r="I32" s="144" t="s">
        <v>76</v>
      </c>
      <c r="J32" s="144" t="s">
        <v>77</v>
      </c>
      <c r="K32" s="144" t="s">
        <v>78</v>
      </c>
      <c r="M32" s="145" t="s">
        <v>79</v>
      </c>
      <c r="N32" s="145" t="s">
        <v>80</v>
      </c>
      <c r="O32" s="145" t="s">
        <v>81</v>
      </c>
      <c r="Q32" s="145" t="s">
        <v>79</v>
      </c>
      <c r="R32" s="145" t="s">
        <v>80</v>
      </c>
      <c r="S32" s="145" t="s">
        <v>81</v>
      </c>
      <c r="U32" s="211"/>
      <c r="V32" s="216" t="s">
        <v>82</v>
      </c>
      <c r="W32" s="829" t="s">
        <v>83</v>
      </c>
      <c r="X32" s="216" t="s">
        <v>84</v>
      </c>
      <c r="Y32" s="839" t="s">
        <v>85</v>
      </c>
    </row>
    <row r="33" spans="1:25" ht="15" customHeight="1" thickTop="1" thickBot="1" x14ac:dyDescent="0.4">
      <c r="A33" s="981"/>
      <c r="B33" s="982"/>
      <c r="C33" s="982"/>
      <c r="D33" s="983"/>
      <c r="E33" s="159">
        <v>8006583</v>
      </c>
      <c r="F33" s="146" t="s">
        <v>143</v>
      </c>
      <c r="G33" s="147">
        <v>14300</v>
      </c>
      <c r="H33" s="146" t="s">
        <v>87</v>
      </c>
      <c r="I33" s="148"/>
      <c r="J33" s="146"/>
      <c r="K33" s="148"/>
      <c r="M33" s="149" t="s">
        <v>144</v>
      </c>
      <c r="N33" s="149" t="s">
        <v>89</v>
      </c>
      <c r="O33" s="149" t="s">
        <v>145</v>
      </c>
      <c r="Q33" s="149" t="s">
        <v>91</v>
      </c>
      <c r="R33" s="149" t="s">
        <v>92</v>
      </c>
      <c r="S33" s="149" t="s">
        <v>146</v>
      </c>
      <c r="U33" s="213" t="s">
        <v>94</v>
      </c>
      <c r="V33" s="137">
        <v>1229.4952860818144</v>
      </c>
      <c r="W33" s="830">
        <v>7479</v>
      </c>
      <c r="X33" s="137">
        <v>327</v>
      </c>
      <c r="Y33" s="837">
        <v>9035.4952860818139</v>
      </c>
    </row>
    <row r="34" spans="1:25" ht="15" customHeight="1" thickBot="1" x14ac:dyDescent="0.4">
      <c r="A34" s="150">
        <v>10</v>
      </c>
      <c r="B34" s="968" t="s">
        <v>147</v>
      </c>
      <c r="C34" s="969"/>
      <c r="D34" s="969"/>
      <c r="E34" s="969"/>
      <c r="F34" s="969"/>
      <c r="G34" s="969"/>
      <c r="H34" s="969"/>
      <c r="I34" s="969"/>
      <c r="J34" s="969"/>
      <c r="K34" s="970"/>
      <c r="M34" s="678"/>
      <c r="N34" s="678"/>
      <c r="O34" s="678"/>
      <c r="Q34" s="151"/>
      <c r="R34" s="152" t="s">
        <v>96</v>
      </c>
      <c r="S34" s="152" t="s">
        <v>146</v>
      </c>
      <c r="U34" s="214" t="s">
        <v>98</v>
      </c>
      <c r="V34" s="215">
        <v>913.27333158556587</v>
      </c>
      <c r="W34" s="831">
        <v>1472</v>
      </c>
      <c r="X34" s="215" t="s">
        <v>99</v>
      </c>
      <c r="Y34" s="838">
        <v>2385.2733315855658</v>
      </c>
    </row>
    <row r="35" spans="1:25" ht="15" customHeight="1" thickBot="1" x14ac:dyDescent="0.4">
      <c r="A35" s="759">
        <v>20</v>
      </c>
      <c r="B35" s="153" t="s">
        <v>101</v>
      </c>
      <c r="C35" s="153">
        <v>10</v>
      </c>
      <c r="D35" s="764" t="s">
        <v>102</v>
      </c>
      <c r="E35" s="160">
        <v>8006582</v>
      </c>
      <c r="F35" s="153" t="s">
        <v>86</v>
      </c>
      <c r="G35" s="154">
        <v>16100</v>
      </c>
      <c r="H35" s="153" t="s">
        <v>87</v>
      </c>
      <c r="I35" s="155">
        <v>40</v>
      </c>
      <c r="J35" s="763"/>
      <c r="K35" s="973" t="s">
        <v>104</v>
      </c>
      <c r="M35" s="145" t="s">
        <v>80</v>
      </c>
      <c r="N35" s="145" t="s">
        <v>81</v>
      </c>
      <c r="O35" s="145" t="s">
        <v>105</v>
      </c>
      <c r="Q35" s="156"/>
      <c r="R35" s="157" t="s">
        <v>106</v>
      </c>
      <c r="S35" s="157" t="s">
        <v>148</v>
      </c>
    </row>
    <row r="36" spans="1:25" ht="15" customHeight="1" thickTop="1" thickBot="1" x14ac:dyDescent="0.4">
      <c r="A36" s="973">
        <v>20</v>
      </c>
      <c r="B36" s="973" t="s">
        <v>101</v>
      </c>
      <c r="C36" s="153">
        <v>20</v>
      </c>
      <c r="D36" s="161" t="s">
        <v>102</v>
      </c>
      <c r="E36" s="759">
        <v>8005053</v>
      </c>
      <c r="F36" s="153" t="s">
        <v>149</v>
      </c>
      <c r="G36" s="154">
        <v>4100</v>
      </c>
      <c r="H36" s="153" t="s">
        <v>87</v>
      </c>
      <c r="I36" s="155">
        <v>40</v>
      </c>
      <c r="J36" s="973" t="s">
        <v>150</v>
      </c>
      <c r="K36" s="974"/>
      <c r="M36" s="149" t="s">
        <v>110</v>
      </c>
      <c r="N36" s="149" t="s">
        <v>145</v>
      </c>
      <c r="O36" s="149" t="s">
        <v>111</v>
      </c>
      <c r="Q36" s="152" t="s">
        <v>144</v>
      </c>
      <c r="R36" s="152" t="s">
        <v>112</v>
      </c>
      <c r="S36" s="152" t="s">
        <v>151</v>
      </c>
    </row>
    <row r="37" spans="1:25" ht="15" customHeight="1" thickBot="1" x14ac:dyDescent="0.4">
      <c r="A37" s="975"/>
      <c r="B37" s="975"/>
      <c r="C37" s="153">
        <v>30</v>
      </c>
      <c r="D37" s="161" t="s">
        <v>102</v>
      </c>
      <c r="E37" s="759">
        <v>8005054</v>
      </c>
      <c r="F37" s="153" t="s">
        <v>152</v>
      </c>
      <c r="G37" s="154">
        <v>4100</v>
      </c>
      <c r="H37" s="153" t="s">
        <v>87</v>
      </c>
      <c r="I37" s="155">
        <v>40</v>
      </c>
      <c r="J37" s="975"/>
      <c r="K37" s="974"/>
      <c r="Q37" s="156"/>
      <c r="R37" s="157" t="s">
        <v>89</v>
      </c>
      <c r="S37" s="157" t="s">
        <v>153</v>
      </c>
    </row>
    <row r="38" spans="1:25" ht="15" customHeight="1" thickBot="1" x14ac:dyDescent="0.4">
      <c r="A38" s="759">
        <v>20</v>
      </c>
      <c r="B38" s="153" t="s">
        <v>101</v>
      </c>
      <c r="C38" s="153">
        <v>40</v>
      </c>
      <c r="D38" s="161" t="s">
        <v>102</v>
      </c>
      <c r="E38" s="759">
        <v>3004683</v>
      </c>
      <c r="F38" s="153" t="s">
        <v>154</v>
      </c>
      <c r="G38" s="154">
        <v>9100</v>
      </c>
      <c r="H38" s="153" t="s">
        <v>87</v>
      </c>
      <c r="I38" s="155">
        <v>40</v>
      </c>
      <c r="J38" s="995"/>
      <c r="K38" s="974"/>
      <c r="Q38" s="151"/>
      <c r="R38" s="152" t="s">
        <v>92</v>
      </c>
      <c r="S38" s="152" t="s">
        <v>155</v>
      </c>
      <c r="V38" t="s">
        <v>156</v>
      </c>
      <c r="W38" s="828">
        <f>1044*1.1</f>
        <v>1148.4000000000001</v>
      </c>
    </row>
    <row r="39" spans="1:25" ht="15" customHeight="1" thickBot="1" x14ac:dyDescent="0.4">
      <c r="A39" s="759">
        <v>20</v>
      </c>
      <c r="B39" s="153" t="s">
        <v>101</v>
      </c>
      <c r="C39" s="153">
        <v>50</v>
      </c>
      <c r="D39" s="161" t="s">
        <v>102</v>
      </c>
      <c r="E39" s="759">
        <v>3004668</v>
      </c>
      <c r="F39" s="153" t="s">
        <v>157</v>
      </c>
      <c r="G39" s="154">
        <v>7300</v>
      </c>
      <c r="H39" s="153" t="s">
        <v>87</v>
      </c>
      <c r="I39" s="155">
        <v>40</v>
      </c>
      <c r="J39" s="996"/>
      <c r="K39" s="974"/>
      <c r="M39" s="850" t="s">
        <v>120</v>
      </c>
      <c r="Q39" s="157" t="s">
        <v>121</v>
      </c>
      <c r="R39" s="157" t="s">
        <v>122</v>
      </c>
      <c r="S39" s="157" t="s">
        <v>158</v>
      </c>
    </row>
    <row r="40" spans="1:25" ht="15" customHeight="1" thickBot="1" x14ac:dyDescent="0.4">
      <c r="A40" s="759">
        <v>20</v>
      </c>
      <c r="B40" s="153" t="s">
        <v>101</v>
      </c>
      <c r="C40" s="153">
        <v>60</v>
      </c>
      <c r="D40" s="161" t="s">
        <v>102</v>
      </c>
      <c r="E40" s="759">
        <v>3004610</v>
      </c>
      <c r="F40" s="153" t="s">
        <v>159</v>
      </c>
      <c r="G40" s="154">
        <v>12400</v>
      </c>
      <c r="H40" s="153" t="s">
        <v>87</v>
      </c>
      <c r="I40" s="155">
        <v>30</v>
      </c>
      <c r="J40" s="996"/>
      <c r="K40" s="974"/>
      <c r="M40" s="145" t="s">
        <v>79</v>
      </c>
      <c r="N40" s="145" t="s">
        <v>80</v>
      </c>
      <c r="O40" s="145" t="s">
        <v>81</v>
      </c>
      <c r="Q40" s="152" t="s">
        <v>160</v>
      </c>
      <c r="R40" s="152" t="s">
        <v>92</v>
      </c>
      <c r="S40" s="152" t="s">
        <v>161</v>
      </c>
      <c r="W40" s="874"/>
    </row>
    <row r="41" spans="1:25" ht="15" customHeight="1" thickTop="1" thickBot="1" x14ac:dyDescent="0.4">
      <c r="A41" s="759">
        <v>20</v>
      </c>
      <c r="B41" s="153" t="s">
        <v>101</v>
      </c>
      <c r="C41" s="153">
        <v>70</v>
      </c>
      <c r="D41" s="161" t="s">
        <v>102</v>
      </c>
      <c r="E41" s="759">
        <v>3004575</v>
      </c>
      <c r="F41" s="153" t="s">
        <v>162</v>
      </c>
      <c r="G41" s="154">
        <v>11700</v>
      </c>
      <c r="H41" s="153" t="s">
        <v>87</v>
      </c>
      <c r="I41" s="155">
        <v>30</v>
      </c>
      <c r="J41" s="996"/>
      <c r="K41" s="974"/>
      <c r="M41" s="149" t="s">
        <v>88</v>
      </c>
      <c r="N41" s="149" t="s">
        <v>163</v>
      </c>
      <c r="O41" s="149" t="s">
        <v>97</v>
      </c>
      <c r="Q41" s="157" t="s">
        <v>164</v>
      </c>
      <c r="R41" s="157" t="s">
        <v>92</v>
      </c>
      <c r="S41" s="157" t="s">
        <v>165</v>
      </c>
    </row>
    <row r="42" spans="1:25" ht="15" customHeight="1" thickBot="1" x14ac:dyDescent="0.4">
      <c r="A42" s="759">
        <v>20</v>
      </c>
      <c r="B42" s="153" t="s">
        <v>101</v>
      </c>
      <c r="C42" s="153">
        <v>80</v>
      </c>
      <c r="D42" s="161" t="s">
        <v>102</v>
      </c>
      <c r="E42" s="759">
        <v>2140</v>
      </c>
      <c r="F42" s="153" t="s">
        <v>166</v>
      </c>
      <c r="G42" s="154">
        <v>5200</v>
      </c>
      <c r="H42" s="153" t="s">
        <v>87</v>
      </c>
      <c r="I42" s="155">
        <v>30</v>
      </c>
      <c r="J42" s="996"/>
      <c r="K42" s="974"/>
      <c r="M42" s="758" t="s">
        <v>88</v>
      </c>
      <c r="N42" s="758" t="s">
        <v>127</v>
      </c>
      <c r="O42" s="758" t="s">
        <v>167</v>
      </c>
    </row>
    <row r="43" spans="1:25" ht="15" customHeight="1" thickTop="1" thickBot="1" x14ac:dyDescent="0.4">
      <c r="A43" s="759">
        <v>40</v>
      </c>
      <c r="B43" s="153" t="s">
        <v>115</v>
      </c>
      <c r="C43" s="153">
        <v>90</v>
      </c>
      <c r="D43" s="161" t="s">
        <v>102</v>
      </c>
      <c r="E43" s="759">
        <v>3004576</v>
      </c>
      <c r="F43" s="153" t="s">
        <v>168</v>
      </c>
      <c r="G43" s="154">
        <v>90200</v>
      </c>
      <c r="H43" s="153" t="s">
        <v>87</v>
      </c>
      <c r="I43" s="155" t="s">
        <v>117</v>
      </c>
      <c r="J43" s="996"/>
      <c r="K43" s="974"/>
      <c r="M43" s="149" t="s">
        <v>144</v>
      </c>
      <c r="N43" s="149" t="s">
        <v>127</v>
      </c>
      <c r="O43" s="149" t="s">
        <v>128</v>
      </c>
      <c r="Q43" s="145" t="s">
        <v>80</v>
      </c>
      <c r="R43" s="145" t="s">
        <v>81</v>
      </c>
      <c r="S43" s="145" t="s">
        <v>105</v>
      </c>
    </row>
    <row r="44" spans="1:25" ht="15" customHeight="1" thickTop="1" thickBot="1" x14ac:dyDescent="0.4">
      <c r="A44" s="759">
        <v>40</v>
      </c>
      <c r="B44" s="153" t="s">
        <v>115</v>
      </c>
      <c r="C44" s="153">
        <v>100</v>
      </c>
      <c r="D44" s="161" t="s">
        <v>102</v>
      </c>
      <c r="E44" s="759">
        <v>7002071</v>
      </c>
      <c r="F44" s="153" t="s">
        <v>119</v>
      </c>
      <c r="G44" s="154">
        <v>288200</v>
      </c>
      <c r="H44" s="153" t="s">
        <v>87</v>
      </c>
      <c r="I44" s="155" t="s">
        <v>117</v>
      </c>
      <c r="J44" s="996"/>
      <c r="K44" s="974"/>
      <c r="M44" s="758" t="s">
        <v>144</v>
      </c>
      <c r="N44" s="758" t="s">
        <v>169</v>
      </c>
      <c r="O44" s="758" t="s">
        <v>170</v>
      </c>
      <c r="Q44" s="149" t="s">
        <v>96</v>
      </c>
      <c r="R44" s="149" t="s">
        <v>146</v>
      </c>
      <c r="S44" s="149" t="s">
        <v>129</v>
      </c>
    </row>
    <row r="45" spans="1:25" ht="15" customHeight="1" thickBot="1" x14ac:dyDescent="0.4">
      <c r="A45" s="759">
        <v>40</v>
      </c>
      <c r="B45" s="153" t="s">
        <v>115</v>
      </c>
      <c r="C45" s="153">
        <v>110</v>
      </c>
      <c r="D45" s="161" t="s">
        <v>102</v>
      </c>
      <c r="E45" s="759">
        <v>7002071</v>
      </c>
      <c r="F45" s="153" t="s">
        <v>119</v>
      </c>
      <c r="G45" s="154">
        <v>78400</v>
      </c>
      <c r="H45" s="153" t="s">
        <v>87</v>
      </c>
      <c r="I45" s="155" t="s">
        <v>117</v>
      </c>
      <c r="J45" s="996"/>
      <c r="K45" s="974"/>
      <c r="Q45" s="971" t="s">
        <v>110</v>
      </c>
      <c r="R45" s="757" t="s">
        <v>148</v>
      </c>
      <c r="S45" s="757" t="s">
        <v>135</v>
      </c>
    </row>
    <row r="46" spans="1:25" ht="15" customHeight="1" thickBot="1" x14ac:dyDescent="0.4">
      <c r="A46" s="759">
        <v>40</v>
      </c>
      <c r="B46" s="153" t="s">
        <v>115</v>
      </c>
      <c r="C46" s="153">
        <v>120</v>
      </c>
      <c r="D46" s="161" t="s">
        <v>102</v>
      </c>
      <c r="E46" s="759">
        <v>7002071</v>
      </c>
      <c r="F46" s="153" t="s">
        <v>119</v>
      </c>
      <c r="G46" s="154">
        <v>174300</v>
      </c>
      <c r="H46" s="153" t="s">
        <v>87</v>
      </c>
      <c r="I46" s="155" t="s">
        <v>117</v>
      </c>
      <c r="J46" s="996"/>
      <c r="K46" s="974"/>
      <c r="M46" s="145" t="s">
        <v>80</v>
      </c>
      <c r="N46" s="145" t="s">
        <v>81</v>
      </c>
      <c r="O46" s="145" t="s">
        <v>105</v>
      </c>
      <c r="Q46" s="972"/>
      <c r="R46" s="758" t="s">
        <v>153</v>
      </c>
      <c r="S46" s="758" t="s">
        <v>111</v>
      </c>
    </row>
    <row r="47" spans="1:25" ht="15" customHeight="1" thickTop="1" thickBot="1" x14ac:dyDescent="0.4">
      <c r="A47" s="759">
        <v>40</v>
      </c>
      <c r="B47" s="153" t="s">
        <v>115</v>
      </c>
      <c r="C47" s="153">
        <v>130</v>
      </c>
      <c r="D47" s="161" t="s">
        <v>102</v>
      </c>
      <c r="E47" s="759">
        <v>7002071</v>
      </c>
      <c r="F47" s="153" t="s">
        <v>119</v>
      </c>
      <c r="G47" s="154">
        <v>70400</v>
      </c>
      <c r="H47" s="153" t="s">
        <v>87</v>
      </c>
      <c r="I47" s="155" t="s">
        <v>117</v>
      </c>
      <c r="J47" s="996"/>
      <c r="K47" s="974"/>
      <c r="M47" s="149" t="s">
        <v>171</v>
      </c>
      <c r="N47" s="149" t="s">
        <v>170</v>
      </c>
      <c r="O47" s="149" t="s">
        <v>111</v>
      </c>
      <c r="Q47" s="157" t="s">
        <v>112</v>
      </c>
      <c r="R47" s="157" t="s">
        <v>172</v>
      </c>
      <c r="S47" s="157" t="s">
        <v>111</v>
      </c>
    </row>
    <row r="48" spans="1:25" ht="15" customHeight="1" thickBot="1" x14ac:dyDescent="0.4">
      <c r="A48" s="759">
        <v>40</v>
      </c>
      <c r="B48" s="153" t="s">
        <v>115</v>
      </c>
      <c r="C48" s="153">
        <v>140</v>
      </c>
      <c r="D48" s="161" t="s">
        <v>102</v>
      </c>
      <c r="E48" s="759">
        <v>7002071</v>
      </c>
      <c r="F48" s="153" t="s">
        <v>119</v>
      </c>
      <c r="G48" s="154">
        <v>70400</v>
      </c>
      <c r="H48" s="153" t="s">
        <v>87</v>
      </c>
      <c r="I48" s="155" t="s">
        <v>117</v>
      </c>
      <c r="J48" s="996"/>
      <c r="K48" s="974"/>
      <c r="M48" s="851" t="s">
        <v>110</v>
      </c>
      <c r="N48" s="851" t="s">
        <v>173</v>
      </c>
      <c r="O48" s="851" t="s">
        <v>111</v>
      </c>
    </row>
    <row r="49" spans="1:25" ht="15" customHeight="1" thickBot="1" x14ac:dyDescent="0.4">
      <c r="A49" s="759">
        <v>40</v>
      </c>
      <c r="B49" s="153" t="s">
        <v>115</v>
      </c>
      <c r="C49" s="153">
        <v>150</v>
      </c>
      <c r="D49" s="161" t="s">
        <v>102</v>
      </c>
      <c r="E49" s="759">
        <v>7002071</v>
      </c>
      <c r="F49" s="153" t="s">
        <v>119</v>
      </c>
      <c r="G49" s="154">
        <v>70400</v>
      </c>
      <c r="H49" s="153" t="s">
        <v>87</v>
      </c>
      <c r="I49" s="155" t="s">
        <v>117</v>
      </c>
      <c r="J49" s="996"/>
      <c r="K49" s="974"/>
      <c r="M49" s="157" t="s">
        <v>174</v>
      </c>
      <c r="N49" s="157" t="s">
        <v>97</v>
      </c>
      <c r="O49" s="157" t="s">
        <v>129</v>
      </c>
      <c r="Q49" s="88"/>
    </row>
    <row r="50" spans="1:25" ht="15" customHeight="1" thickBot="1" x14ac:dyDescent="0.4">
      <c r="A50" s="759">
        <v>40</v>
      </c>
      <c r="B50" s="153" t="s">
        <v>115</v>
      </c>
      <c r="C50" s="153">
        <v>160</v>
      </c>
      <c r="D50" s="161" t="s">
        <v>102</v>
      </c>
      <c r="E50" s="759">
        <v>7002071</v>
      </c>
      <c r="F50" s="153" t="s">
        <v>119</v>
      </c>
      <c r="G50" s="154">
        <v>66000</v>
      </c>
      <c r="H50" s="153" t="s">
        <v>87</v>
      </c>
      <c r="I50" s="155" t="s">
        <v>117</v>
      </c>
      <c r="J50" s="996"/>
      <c r="K50" s="974"/>
    </row>
    <row r="51" spans="1:25" ht="15" customHeight="1" thickBot="1" x14ac:dyDescent="0.4">
      <c r="A51" s="759">
        <v>40</v>
      </c>
      <c r="B51" s="153" t="s">
        <v>115</v>
      </c>
      <c r="C51" s="153">
        <v>170</v>
      </c>
      <c r="D51" s="161" t="s">
        <v>102</v>
      </c>
      <c r="E51" s="759">
        <v>7002071</v>
      </c>
      <c r="F51" s="153" t="s">
        <v>119</v>
      </c>
      <c r="G51" s="154">
        <v>26100</v>
      </c>
      <c r="H51" s="153" t="s">
        <v>87</v>
      </c>
      <c r="I51" s="155" t="s">
        <v>117</v>
      </c>
      <c r="J51" s="996"/>
      <c r="K51" s="974"/>
    </row>
    <row r="52" spans="1:25" ht="15" customHeight="1" thickBot="1" x14ac:dyDescent="0.4">
      <c r="A52" s="759">
        <v>40</v>
      </c>
      <c r="B52" s="153" t="s">
        <v>115</v>
      </c>
      <c r="C52" s="153">
        <v>180</v>
      </c>
      <c r="D52" s="161" t="s">
        <v>102</v>
      </c>
      <c r="E52" s="759">
        <v>7002074</v>
      </c>
      <c r="F52" s="153" t="s">
        <v>175</v>
      </c>
      <c r="G52" s="154">
        <v>54700</v>
      </c>
      <c r="H52" s="153" t="s">
        <v>87</v>
      </c>
      <c r="I52" s="155" t="s">
        <v>117</v>
      </c>
      <c r="J52" s="996"/>
      <c r="K52" s="974"/>
    </row>
    <row r="53" spans="1:25" ht="15" customHeight="1" thickBot="1" x14ac:dyDescent="0.4">
      <c r="A53" s="759">
        <v>40</v>
      </c>
      <c r="B53" s="153" t="s">
        <v>115</v>
      </c>
      <c r="C53" s="153">
        <v>190</v>
      </c>
      <c r="D53" s="161" t="s">
        <v>102</v>
      </c>
      <c r="E53" s="759">
        <v>7002074</v>
      </c>
      <c r="F53" s="153" t="s">
        <v>175</v>
      </c>
      <c r="G53" s="154">
        <v>54700</v>
      </c>
      <c r="H53" s="153" t="s">
        <v>87</v>
      </c>
      <c r="I53" s="155" t="s">
        <v>117</v>
      </c>
      <c r="J53" s="996"/>
      <c r="K53" s="974"/>
    </row>
    <row r="54" spans="1:25" ht="15" customHeight="1" thickBot="1" x14ac:dyDescent="0.4">
      <c r="A54" s="759">
        <v>40</v>
      </c>
      <c r="B54" s="153" t="s">
        <v>115</v>
      </c>
      <c r="C54" s="153">
        <v>200</v>
      </c>
      <c r="D54" s="161" t="s">
        <v>102</v>
      </c>
      <c r="E54" s="759">
        <v>7002074</v>
      </c>
      <c r="F54" s="153" t="s">
        <v>175</v>
      </c>
      <c r="G54" s="154">
        <v>13100</v>
      </c>
      <c r="H54" s="153" t="s">
        <v>87</v>
      </c>
      <c r="I54" s="155" t="s">
        <v>117</v>
      </c>
      <c r="J54" s="996"/>
      <c r="K54" s="974"/>
    </row>
    <row r="55" spans="1:25" ht="15" customHeight="1" thickBot="1" x14ac:dyDescent="0.4">
      <c r="A55" s="759">
        <v>40</v>
      </c>
      <c r="B55" s="153" t="s">
        <v>115</v>
      </c>
      <c r="C55" s="153">
        <v>210</v>
      </c>
      <c r="D55" s="161" t="s">
        <v>102</v>
      </c>
      <c r="E55" s="759">
        <v>7002074</v>
      </c>
      <c r="F55" s="153" t="s">
        <v>175</v>
      </c>
      <c r="G55" s="154">
        <v>32800</v>
      </c>
      <c r="H55" s="153" t="s">
        <v>87</v>
      </c>
      <c r="I55" s="155" t="s">
        <v>117</v>
      </c>
      <c r="J55" s="996"/>
      <c r="K55" s="975"/>
    </row>
    <row r="56" spans="1:25" ht="15" customHeight="1" x14ac:dyDescent="0.35">
      <c r="A56" s="997">
        <v>50</v>
      </c>
      <c r="B56" s="997" t="s">
        <v>131</v>
      </c>
      <c r="C56" s="997">
        <v>220</v>
      </c>
      <c r="D56" s="999" t="s">
        <v>102</v>
      </c>
      <c r="E56" s="997">
        <v>3004901</v>
      </c>
      <c r="F56" s="1001" t="s">
        <v>132</v>
      </c>
      <c r="G56" s="997">
        <v>1</v>
      </c>
      <c r="H56" s="997" t="s">
        <v>133</v>
      </c>
      <c r="I56" s="997" t="s">
        <v>117</v>
      </c>
      <c r="J56" s="996"/>
      <c r="K56" s="997" t="s">
        <v>134</v>
      </c>
    </row>
    <row r="57" spans="1:25" ht="15" customHeight="1" thickBot="1" x14ac:dyDescent="0.4">
      <c r="A57" s="998"/>
      <c r="B57" s="998"/>
      <c r="C57" s="998"/>
      <c r="D57" s="1000"/>
      <c r="E57" s="998"/>
      <c r="F57" s="1002"/>
      <c r="G57" s="998"/>
      <c r="H57" s="998"/>
      <c r="I57" s="998"/>
      <c r="J57" s="996"/>
      <c r="K57" s="998"/>
    </row>
    <row r="58" spans="1:25" ht="15" customHeight="1" thickBot="1" x14ac:dyDescent="0.4">
      <c r="A58" s="761">
        <v>50</v>
      </c>
      <c r="B58" s="762" t="s">
        <v>131</v>
      </c>
      <c r="C58" s="762">
        <v>230</v>
      </c>
      <c r="D58" s="162" t="s">
        <v>102</v>
      </c>
      <c r="E58" s="163">
        <v>4130900</v>
      </c>
      <c r="F58" s="762" t="s">
        <v>136</v>
      </c>
      <c r="G58" s="762">
        <v>4</v>
      </c>
      <c r="H58" s="762" t="s">
        <v>133</v>
      </c>
      <c r="I58" s="158" t="s">
        <v>117</v>
      </c>
      <c r="J58" s="164"/>
      <c r="K58" s="761" t="s">
        <v>117</v>
      </c>
    </row>
    <row r="59" spans="1:25" ht="15" customHeight="1" thickBot="1" x14ac:dyDescent="0.4"/>
    <row r="60" spans="1:25" ht="15" customHeight="1" x14ac:dyDescent="0.35">
      <c r="A60" s="956" t="s">
        <v>176</v>
      </c>
      <c r="B60" s="957"/>
      <c r="C60" s="957"/>
      <c r="D60" s="957"/>
      <c r="E60" s="957"/>
      <c r="F60" s="957"/>
      <c r="G60" s="957"/>
      <c r="H60" s="957"/>
      <c r="I60" s="957"/>
      <c r="J60" s="957"/>
      <c r="K60" s="957"/>
      <c r="L60" s="957"/>
      <c r="M60" s="957"/>
      <c r="N60" s="957"/>
      <c r="O60" s="957"/>
      <c r="P60" s="957"/>
      <c r="Q60" s="957"/>
      <c r="R60" s="957"/>
      <c r="S60" s="957"/>
      <c r="T60" s="957"/>
      <c r="U60" s="957"/>
      <c r="V60" s="957"/>
      <c r="W60" s="957"/>
      <c r="X60" s="957"/>
      <c r="Y60" s="958"/>
    </row>
    <row r="61" spans="1:25" ht="15" customHeight="1" thickBot="1" x14ac:dyDescent="0.4">
      <c r="A61" s="959"/>
      <c r="B61" s="960"/>
      <c r="C61" s="960"/>
      <c r="D61" s="960"/>
      <c r="E61" s="960"/>
      <c r="F61" s="960"/>
      <c r="G61" s="960"/>
      <c r="H61" s="960"/>
      <c r="I61" s="960"/>
      <c r="J61" s="960"/>
      <c r="K61" s="960"/>
      <c r="L61" s="960"/>
      <c r="M61" s="960"/>
      <c r="N61" s="960"/>
      <c r="O61" s="960"/>
      <c r="P61" s="960"/>
      <c r="Q61" s="960"/>
      <c r="R61" s="960"/>
      <c r="S61" s="960"/>
      <c r="T61" s="960"/>
      <c r="U61" s="960"/>
      <c r="V61" s="960"/>
      <c r="W61" s="960"/>
      <c r="X61" s="960"/>
      <c r="Y61" s="961"/>
    </row>
    <row r="62" spans="1:25" ht="18" customHeight="1" thickBot="1" x14ac:dyDescent="0.4">
      <c r="A62" s="88" t="s">
        <v>177</v>
      </c>
      <c r="B62" s="87"/>
      <c r="C62" s="87"/>
      <c r="D62" s="100"/>
      <c r="E62" s="87"/>
      <c r="F62" s="87"/>
      <c r="G62" s="87"/>
      <c r="H62" s="87"/>
      <c r="I62" s="87"/>
      <c r="J62" s="87"/>
      <c r="K62" s="87"/>
      <c r="M62" s="88" t="s">
        <v>178</v>
      </c>
      <c r="Q62" s="88" t="s">
        <v>179</v>
      </c>
      <c r="V62" s="978" t="s">
        <v>66</v>
      </c>
      <c r="W62" s="979"/>
      <c r="X62" s="980"/>
    </row>
    <row r="63" spans="1:25" ht="15" customHeight="1" thickBot="1" x14ac:dyDescent="0.4">
      <c r="A63" s="143" t="s">
        <v>68</v>
      </c>
      <c r="B63" s="144" t="s">
        <v>69</v>
      </c>
      <c r="C63" s="144" t="s">
        <v>70</v>
      </c>
      <c r="D63" s="144" t="s">
        <v>71</v>
      </c>
      <c r="E63" s="144" t="s">
        <v>72</v>
      </c>
      <c r="F63" s="144" t="s">
        <v>73</v>
      </c>
      <c r="G63" s="144" t="s">
        <v>74</v>
      </c>
      <c r="H63" s="144" t="s">
        <v>75</v>
      </c>
      <c r="I63" s="144" t="s">
        <v>76</v>
      </c>
      <c r="J63" s="144" t="s">
        <v>77</v>
      </c>
      <c r="K63" s="144" t="s">
        <v>78</v>
      </c>
      <c r="M63" s="145" t="s">
        <v>79</v>
      </c>
      <c r="N63" s="145" t="s">
        <v>80</v>
      </c>
      <c r="O63" s="145" t="s">
        <v>81</v>
      </c>
      <c r="Q63" s="145" t="s">
        <v>79</v>
      </c>
      <c r="R63" s="145" t="s">
        <v>80</v>
      </c>
      <c r="S63" s="145" t="s">
        <v>81</v>
      </c>
      <c r="U63" s="211"/>
      <c r="V63" s="216" t="s">
        <v>82</v>
      </c>
      <c r="W63" s="829" t="s">
        <v>83</v>
      </c>
      <c r="X63" s="216" t="s">
        <v>84</v>
      </c>
      <c r="Y63" s="839" t="s">
        <v>85</v>
      </c>
    </row>
    <row r="64" spans="1:25" ht="15" customHeight="1" thickTop="1" thickBot="1" x14ac:dyDescent="0.4">
      <c r="A64" s="992"/>
      <c r="B64" s="993"/>
      <c r="C64" s="993"/>
      <c r="D64" s="994"/>
      <c r="E64" s="146">
        <v>8006584</v>
      </c>
      <c r="F64" s="146" t="s">
        <v>180</v>
      </c>
      <c r="G64" s="147">
        <v>9800</v>
      </c>
      <c r="H64" s="146" t="s">
        <v>87</v>
      </c>
      <c r="I64" s="146"/>
      <c r="J64" s="146"/>
      <c r="K64" s="146"/>
      <c r="M64" s="149" t="s">
        <v>88</v>
      </c>
      <c r="N64" s="149" t="s">
        <v>112</v>
      </c>
      <c r="O64" s="149" t="s">
        <v>181</v>
      </c>
      <c r="Q64" s="149" t="s">
        <v>144</v>
      </c>
      <c r="R64" s="149" t="s">
        <v>112</v>
      </c>
      <c r="S64" s="149" t="s">
        <v>182</v>
      </c>
      <c r="U64" s="213" t="s">
        <v>94</v>
      </c>
      <c r="V64" s="137">
        <v>677.73658784638837</v>
      </c>
      <c r="W64" s="830">
        <v>17257</v>
      </c>
      <c r="X64" s="137">
        <v>1812</v>
      </c>
      <c r="Y64" s="837">
        <v>19746.73658784639</v>
      </c>
    </row>
    <row r="65" spans="1:25" ht="15" customHeight="1" thickBot="1" x14ac:dyDescent="0.4">
      <c r="A65" s="150">
        <v>10</v>
      </c>
      <c r="B65" s="968" t="s">
        <v>183</v>
      </c>
      <c r="C65" s="969"/>
      <c r="D65" s="969"/>
      <c r="E65" s="969"/>
      <c r="F65" s="969"/>
      <c r="G65" s="969"/>
      <c r="H65" s="969"/>
      <c r="I65" s="969"/>
      <c r="J65" s="969"/>
      <c r="K65" s="970"/>
      <c r="M65" s="152" t="s">
        <v>184</v>
      </c>
      <c r="N65" s="152" t="s">
        <v>112</v>
      </c>
      <c r="O65" s="152" t="s">
        <v>185</v>
      </c>
      <c r="Q65" s="151"/>
      <c r="R65" s="152" t="s">
        <v>186</v>
      </c>
      <c r="S65" s="152" t="s">
        <v>187</v>
      </c>
      <c r="U65" s="214" t="s">
        <v>98</v>
      </c>
      <c r="V65" s="215" t="s">
        <v>99</v>
      </c>
      <c r="W65" s="831" t="s">
        <v>99</v>
      </c>
      <c r="X65" s="215" t="s">
        <v>99</v>
      </c>
      <c r="Y65" s="838" t="s">
        <v>99</v>
      </c>
    </row>
    <row r="66" spans="1:25" ht="15" customHeight="1" thickBot="1" x14ac:dyDescent="0.4">
      <c r="A66" s="759">
        <v>20</v>
      </c>
      <c r="B66" s="153" t="s">
        <v>101</v>
      </c>
      <c r="C66" s="153">
        <v>10</v>
      </c>
      <c r="D66" s="153" t="s">
        <v>102</v>
      </c>
      <c r="E66" s="153">
        <v>8006583</v>
      </c>
      <c r="F66" s="153" t="s">
        <v>143</v>
      </c>
      <c r="G66" s="154">
        <v>14400</v>
      </c>
      <c r="H66" s="153" t="s">
        <v>87</v>
      </c>
      <c r="I66" s="155">
        <v>40</v>
      </c>
      <c r="J66" s="995"/>
      <c r="K66" s="973" t="s">
        <v>104</v>
      </c>
      <c r="M66" s="157" t="s">
        <v>131</v>
      </c>
      <c r="N66" s="157" t="s">
        <v>122</v>
      </c>
      <c r="O66" s="157" t="s">
        <v>188</v>
      </c>
      <c r="Q66" s="156"/>
      <c r="R66" s="157" t="s">
        <v>189</v>
      </c>
      <c r="S66" s="157" t="s">
        <v>190</v>
      </c>
    </row>
    <row r="67" spans="1:25" ht="15" customHeight="1" thickBot="1" x14ac:dyDescent="0.4">
      <c r="A67" s="759">
        <v>20</v>
      </c>
      <c r="B67" s="153" t="s">
        <v>101</v>
      </c>
      <c r="C67" s="153">
        <v>20</v>
      </c>
      <c r="D67" s="153" t="s">
        <v>102</v>
      </c>
      <c r="E67" s="153">
        <v>3004684</v>
      </c>
      <c r="F67" s="153" t="s">
        <v>191</v>
      </c>
      <c r="G67" s="153">
        <v>920</v>
      </c>
      <c r="H67" s="153" t="s">
        <v>87</v>
      </c>
      <c r="I67" s="155">
        <v>30</v>
      </c>
      <c r="J67" s="996"/>
      <c r="K67" s="974"/>
      <c r="Q67" s="152" t="s">
        <v>88</v>
      </c>
      <c r="R67" s="152" t="s">
        <v>122</v>
      </c>
      <c r="S67" s="152" t="s">
        <v>192</v>
      </c>
    </row>
    <row r="68" spans="1:25" ht="15" customHeight="1" thickBot="1" x14ac:dyDescent="0.4">
      <c r="A68" s="759">
        <v>40</v>
      </c>
      <c r="B68" s="153" t="s">
        <v>115</v>
      </c>
      <c r="C68" s="153">
        <v>30</v>
      </c>
      <c r="D68" s="153" t="s">
        <v>102</v>
      </c>
      <c r="E68" s="153">
        <v>7002072</v>
      </c>
      <c r="F68" s="153" t="s">
        <v>193</v>
      </c>
      <c r="G68" s="154">
        <v>24200</v>
      </c>
      <c r="H68" s="153" t="s">
        <v>87</v>
      </c>
      <c r="I68" s="155" t="s">
        <v>117</v>
      </c>
      <c r="J68" s="996"/>
      <c r="K68" s="974"/>
      <c r="M68" s="145" t="s">
        <v>80</v>
      </c>
      <c r="N68" s="145" t="s">
        <v>81</v>
      </c>
      <c r="O68" s="145" t="s">
        <v>105</v>
      </c>
      <c r="Q68" s="156"/>
      <c r="R68" s="157" t="s">
        <v>110</v>
      </c>
      <c r="S68" s="157" t="s">
        <v>194</v>
      </c>
    </row>
    <row r="69" spans="1:25" ht="15" customHeight="1" thickTop="1" thickBot="1" x14ac:dyDescent="0.4">
      <c r="A69" s="759">
        <v>40</v>
      </c>
      <c r="B69" s="153" t="s">
        <v>115</v>
      </c>
      <c r="C69" s="153">
        <v>40</v>
      </c>
      <c r="D69" s="153" t="s">
        <v>102</v>
      </c>
      <c r="E69" s="153">
        <v>7002072</v>
      </c>
      <c r="F69" s="153" t="s">
        <v>193</v>
      </c>
      <c r="G69" s="154">
        <v>24200</v>
      </c>
      <c r="H69" s="153" t="s">
        <v>87</v>
      </c>
      <c r="I69" s="155" t="s">
        <v>117</v>
      </c>
      <c r="J69" s="996"/>
      <c r="K69" s="974"/>
      <c r="M69" s="149" t="s">
        <v>112</v>
      </c>
      <c r="N69" s="149" t="s">
        <v>195</v>
      </c>
      <c r="O69" s="149" t="s">
        <v>111</v>
      </c>
      <c r="Q69" s="152" t="s">
        <v>196</v>
      </c>
      <c r="R69" s="152" t="s">
        <v>112</v>
      </c>
      <c r="S69" s="152" t="s">
        <v>197</v>
      </c>
      <c r="V69">
        <f>541*1.1</f>
        <v>595.1</v>
      </c>
      <c r="W69" s="828">
        <f>V69+V70</f>
        <v>848.21</v>
      </c>
    </row>
    <row r="70" spans="1:25" ht="15" customHeight="1" thickBot="1" x14ac:dyDescent="0.4">
      <c r="A70" s="759">
        <v>40</v>
      </c>
      <c r="B70" s="153" t="s">
        <v>115</v>
      </c>
      <c r="C70" s="153">
        <v>50</v>
      </c>
      <c r="D70" s="153" t="s">
        <v>102</v>
      </c>
      <c r="E70" s="153">
        <v>7002072</v>
      </c>
      <c r="F70" s="153" t="s">
        <v>193</v>
      </c>
      <c r="G70" s="154">
        <v>181800</v>
      </c>
      <c r="H70" s="153" t="s">
        <v>87</v>
      </c>
      <c r="I70" s="155" t="s">
        <v>117</v>
      </c>
      <c r="J70" s="996"/>
      <c r="K70" s="974"/>
      <c r="Q70" s="157" t="s">
        <v>121</v>
      </c>
      <c r="R70" s="157" t="s">
        <v>112</v>
      </c>
      <c r="S70" s="157" t="s">
        <v>198</v>
      </c>
      <c r="V70">
        <f>230.1*1.1</f>
        <v>253.11</v>
      </c>
    </row>
    <row r="71" spans="1:25" ht="15" customHeight="1" thickBot="1" x14ac:dyDescent="0.4">
      <c r="A71" s="759">
        <v>40</v>
      </c>
      <c r="B71" s="153" t="s">
        <v>115</v>
      </c>
      <c r="C71" s="153">
        <v>60</v>
      </c>
      <c r="D71" s="153" t="s">
        <v>102</v>
      </c>
      <c r="E71" s="153">
        <v>7002072</v>
      </c>
      <c r="F71" s="153" t="s">
        <v>193</v>
      </c>
      <c r="G71" s="154">
        <v>24200</v>
      </c>
      <c r="H71" s="153" t="s">
        <v>87</v>
      </c>
      <c r="I71" s="155" t="s">
        <v>117</v>
      </c>
      <c r="J71" s="996"/>
      <c r="K71" s="974"/>
      <c r="M71" s="850" t="s">
        <v>120</v>
      </c>
    </row>
    <row r="72" spans="1:25" ht="15" customHeight="1" thickBot="1" x14ac:dyDescent="0.4">
      <c r="A72" s="759">
        <v>40</v>
      </c>
      <c r="B72" s="153" t="s">
        <v>115</v>
      </c>
      <c r="C72" s="153">
        <v>70</v>
      </c>
      <c r="D72" s="153" t="s">
        <v>102</v>
      </c>
      <c r="E72" s="153">
        <v>7002072</v>
      </c>
      <c r="F72" s="153" t="s">
        <v>193</v>
      </c>
      <c r="G72" s="154">
        <v>24200</v>
      </c>
      <c r="H72" s="153" t="s">
        <v>87</v>
      </c>
      <c r="I72" s="155" t="s">
        <v>117</v>
      </c>
      <c r="J72" s="996"/>
      <c r="K72" s="975"/>
      <c r="M72" s="145" t="s">
        <v>79</v>
      </c>
      <c r="N72" s="145" t="s">
        <v>80</v>
      </c>
      <c r="O72" s="145" t="s">
        <v>81</v>
      </c>
      <c r="Q72" s="145" t="s">
        <v>80</v>
      </c>
      <c r="R72" s="145" t="s">
        <v>81</v>
      </c>
      <c r="S72" s="145" t="s">
        <v>105</v>
      </c>
    </row>
    <row r="73" spans="1:25" ht="15" customHeight="1" thickTop="1" thickBot="1" x14ac:dyDescent="0.4">
      <c r="A73" s="761">
        <v>50</v>
      </c>
      <c r="B73" s="762" t="s">
        <v>199</v>
      </c>
      <c r="C73" s="762">
        <v>80</v>
      </c>
      <c r="D73" s="762" t="s">
        <v>102</v>
      </c>
      <c r="E73" s="762">
        <v>3004902</v>
      </c>
      <c r="F73" s="762" t="s">
        <v>200</v>
      </c>
      <c r="G73" s="762">
        <v>1</v>
      </c>
      <c r="H73" s="762" t="s">
        <v>133</v>
      </c>
      <c r="I73" s="158" t="s">
        <v>117</v>
      </c>
      <c r="J73" s="996"/>
      <c r="K73" s="997" t="s">
        <v>134</v>
      </c>
      <c r="M73" s="149" t="s">
        <v>144</v>
      </c>
      <c r="N73" s="149" t="s">
        <v>112</v>
      </c>
      <c r="O73" s="149" t="s">
        <v>201</v>
      </c>
      <c r="Q73" s="149" t="s">
        <v>202</v>
      </c>
      <c r="R73" s="149" t="s">
        <v>187</v>
      </c>
      <c r="S73" s="149" t="s">
        <v>111</v>
      </c>
    </row>
    <row r="74" spans="1:25" ht="15" customHeight="1" thickBot="1" x14ac:dyDescent="0.4">
      <c r="A74" s="761">
        <v>50</v>
      </c>
      <c r="B74" s="762" t="s">
        <v>199</v>
      </c>
      <c r="C74" s="762">
        <v>90</v>
      </c>
      <c r="D74" s="762" t="s">
        <v>102</v>
      </c>
      <c r="E74" s="762">
        <v>3004980</v>
      </c>
      <c r="F74" s="762" t="s">
        <v>203</v>
      </c>
      <c r="G74" s="762">
        <v>1</v>
      </c>
      <c r="H74" s="762" t="s">
        <v>133</v>
      </c>
      <c r="I74" s="158" t="s">
        <v>117</v>
      </c>
      <c r="J74" s="996"/>
      <c r="K74" s="998"/>
      <c r="M74" s="758" t="s">
        <v>196</v>
      </c>
      <c r="N74" s="758" t="s">
        <v>112</v>
      </c>
      <c r="O74" s="758" t="s">
        <v>201</v>
      </c>
      <c r="Q74" s="152" t="s">
        <v>204</v>
      </c>
      <c r="R74" s="152" t="s">
        <v>190</v>
      </c>
      <c r="S74" s="152" t="s">
        <v>205</v>
      </c>
    </row>
    <row r="75" spans="1:25" ht="15" customHeight="1" thickTop="1" thickBot="1" x14ac:dyDescent="0.4">
      <c r="A75" s="973">
        <v>50</v>
      </c>
      <c r="B75" s="973" t="s">
        <v>199</v>
      </c>
      <c r="C75" s="973">
        <v>100</v>
      </c>
      <c r="D75" s="973" t="s">
        <v>102</v>
      </c>
      <c r="E75" s="973">
        <v>7002072</v>
      </c>
      <c r="F75" s="973" t="s">
        <v>193</v>
      </c>
      <c r="G75" s="1004">
        <v>302900</v>
      </c>
      <c r="H75" s="973" t="s">
        <v>87</v>
      </c>
      <c r="I75" s="1006" t="s">
        <v>117</v>
      </c>
      <c r="J75" s="996"/>
      <c r="K75" s="973" t="s">
        <v>104</v>
      </c>
      <c r="M75" s="149" t="s">
        <v>88</v>
      </c>
      <c r="N75" s="149" t="s">
        <v>112</v>
      </c>
      <c r="O75" s="149" t="s">
        <v>201</v>
      </c>
      <c r="Q75" s="157" t="s">
        <v>110</v>
      </c>
      <c r="R75" s="157" t="s">
        <v>194</v>
      </c>
      <c r="S75" s="157" t="s">
        <v>111</v>
      </c>
    </row>
    <row r="76" spans="1:25" ht="15" customHeight="1" thickBot="1" x14ac:dyDescent="0.4">
      <c r="A76" s="975"/>
      <c r="B76" s="975"/>
      <c r="C76" s="975"/>
      <c r="D76" s="975"/>
      <c r="E76" s="975"/>
      <c r="F76" s="975"/>
      <c r="G76" s="1005"/>
      <c r="H76" s="975"/>
      <c r="I76" s="1007"/>
      <c r="J76" s="1003"/>
      <c r="K76" s="975"/>
      <c r="Q76" s="152" t="s">
        <v>112</v>
      </c>
      <c r="R76" s="152" t="s">
        <v>206</v>
      </c>
      <c r="S76" s="152" t="s">
        <v>207</v>
      </c>
    </row>
    <row r="77" spans="1:25" ht="15" customHeight="1" thickBot="1" x14ac:dyDescent="0.4">
      <c r="A77" s="761">
        <v>50</v>
      </c>
      <c r="B77" s="762" t="s">
        <v>199</v>
      </c>
      <c r="C77" s="762">
        <v>110</v>
      </c>
      <c r="D77" s="762" t="s">
        <v>102</v>
      </c>
      <c r="E77" s="762">
        <v>3005219</v>
      </c>
      <c r="F77" s="762" t="s">
        <v>208</v>
      </c>
      <c r="G77" s="762">
        <v>1</v>
      </c>
      <c r="H77" s="762" t="s">
        <v>133</v>
      </c>
      <c r="I77" s="762" t="s">
        <v>117</v>
      </c>
      <c r="J77" s="165"/>
      <c r="K77" s="762" t="s">
        <v>117</v>
      </c>
      <c r="M77" s="145" t="s">
        <v>80</v>
      </c>
      <c r="N77" s="145" t="s">
        <v>81</v>
      </c>
      <c r="O77" s="145" t="s">
        <v>105</v>
      </c>
    </row>
    <row r="78" spans="1:25" ht="15" customHeight="1" thickTop="1" thickBot="1" x14ac:dyDescent="0.4">
      <c r="A78" s="759">
        <v>50</v>
      </c>
      <c r="B78" s="153" t="s">
        <v>199</v>
      </c>
      <c r="C78" s="153">
        <v>120</v>
      </c>
      <c r="D78" s="153" t="s">
        <v>102</v>
      </c>
      <c r="E78" s="153">
        <v>7002072</v>
      </c>
      <c r="F78" s="153" t="s">
        <v>193</v>
      </c>
      <c r="G78" s="154">
        <v>60600</v>
      </c>
      <c r="H78" s="153" t="s">
        <v>87</v>
      </c>
      <c r="I78" s="153" t="s">
        <v>117</v>
      </c>
      <c r="J78" s="996"/>
      <c r="K78" s="973" t="s">
        <v>104</v>
      </c>
      <c r="M78" s="149" t="s">
        <v>112</v>
      </c>
      <c r="N78" s="149" t="s">
        <v>209</v>
      </c>
      <c r="O78" s="149" t="s">
        <v>111</v>
      </c>
    </row>
    <row r="79" spans="1:25" ht="15" customHeight="1" thickBot="1" x14ac:dyDescent="0.4">
      <c r="A79" s="759">
        <v>50</v>
      </c>
      <c r="B79" s="153" t="s">
        <v>199</v>
      </c>
      <c r="C79" s="153">
        <v>130</v>
      </c>
      <c r="D79" s="153" t="s">
        <v>102</v>
      </c>
      <c r="E79" s="153">
        <v>7002072</v>
      </c>
      <c r="F79" s="153" t="s">
        <v>193</v>
      </c>
      <c r="G79" s="154">
        <v>121200</v>
      </c>
      <c r="H79" s="153" t="s">
        <v>87</v>
      </c>
      <c r="I79" s="153" t="s">
        <v>117</v>
      </c>
      <c r="J79" s="996"/>
      <c r="K79" s="975"/>
    </row>
    <row r="80" spans="1:25" ht="15" customHeight="1" thickBot="1" x14ac:dyDescent="0.4">
      <c r="A80" s="761">
        <v>60</v>
      </c>
      <c r="B80" s="762" t="s">
        <v>131</v>
      </c>
      <c r="C80" s="762">
        <v>140</v>
      </c>
      <c r="D80" s="762" t="s">
        <v>102</v>
      </c>
      <c r="E80" s="762">
        <v>3004901</v>
      </c>
      <c r="F80" s="762" t="s">
        <v>132</v>
      </c>
      <c r="G80" s="762">
        <v>1</v>
      </c>
      <c r="H80" s="762" t="s">
        <v>133</v>
      </c>
      <c r="I80" s="762" t="s">
        <v>117</v>
      </c>
      <c r="J80" s="165"/>
      <c r="K80" s="762" t="s">
        <v>134</v>
      </c>
    </row>
    <row r="81" spans="1:25" ht="15" customHeight="1" thickBot="1" x14ac:dyDescent="0.4">
      <c r="A81" s="761">
        <v>60</v>
      </c>
      <c r="B81" s="762" t="s">
        <v>131</v>
      </c>
      <c r="C81" s="762">
        <v>150</v>
      </c>
      <c r="D81" s="762" t="s">
        <v>102</v>
      </c>
      <c r="E81" s="762">
        <v>4130900</v>
      </c>
      <c r="F81" s="762" t="s">
        <v>136</v>
      </c>
      <c r="G81" s="762">
        <v>8</v>
      </c>
      <c r="H81" s="762" t="s">
        <v>133</v>
      </c>
      <c r="I81" s="762" t="s">
        <v>117</v>
      </c>
      <c r="J81" s="166"/>
      <c r="K81" s="762" t="s">
        <v>117</v>
      </c>
    </row>
    <row r="82" spans="1:25" ht="15" customHeight="1" thickBot="1" x14ac:dyDescent="0.4">
      <c r="A82" s="87"/>
      <c r="B82" s="87"/>
      <c r="C82" s="87"/>
      <c r="D82" s="87"/>
      <c r="E82" s="87"/>
      <c r="F82" s="87"/>
      <c r="G82" s="87"/>
      <c r="H82" s="87"/>
      <c r="I82" s="87"/>
      <c r="J82" s="87"/>
      <c r="K82" s="87"/>
    </row>
    <row r="83" spans="1:25" ht="15" customHeight="1" x14ac:dyDescent="0.35">
      <c r="A83" s="956" t="s">
        <v>210</v>
      </c>
      <c r="B83" s="957"/>
      <c r="C83" s="957"/>
      <c r="D83" s="957"/>
      <c r="E83" s="957"/>
      <c r="F83" s="957"/>
      <c r="G83" s="957"/>
      <c r="H83" s="957"/>
      <c r="I83" s="957"/>
      <c r="J83" s="957"/>
      <c r="K83" s="957"/>
      <c r="L83" s="957"/>
      <c r="M83" s="957"/>
      <c r="N83" s="957"/>
      <c r="O83" s="957"/>
      <c r="P83" s="957"/>
      <c r="Q83" s="957"/>
      <c r="R83" s="957"/>
      <c r="S83" s="957"/>
      <c r="T83" s="957"/>
      <c r="U83" s="957"/>
      <c r="V83" s="957"/>
      <c r="W83" s="957"/>
      <c r="X83" s="957"/>
      <c r="Y83" s="958"/>
    </row>
    <row r="84" spans="1:25" ht="15" customHeight="1" thickBot="1" x14ac:dyDescent="0.4">
      <c r="A84" s="959"/>
      <c r="B84" s="960"/>
      <c r="C84" s="960"/>
      <c r="D84" s="960"/>
      <c r="E84" s="960"/>
      <c r="F84" s="960"/>
      <c r="G84" s="960"/>
      <c r="H84" s="960"/>
      <c r="I84" s="960"/>
      <c r="J84" s="960"/>
      <c r="K84" s="960"/>
      <c r="L84" s="960"/>
      <c r="M84" s="960"/>
      <c r="N84" s="960"/>
      <c r="O84" s="960"/>
      <c r="P84" s="960"/>
      <c r="Q84" s="960"/>
      <c r="R84" s="960"/>
      <c r="S84" s="960"/>
      <c r="T84" s="960"/>
      <c r="U84" s="960"/>
      <c r="V84" s="960"/>
      <c r="W84" s="960"/>
      <c r="X84" s="960"/>
      <c r="Y84" s="961"/>
    </row>
    <row r="85" spans="1:25" ht="18" customHeight="1" thickBot="1" x14ac:dyDescent="0.4">
      <c r="A85" s="88" t="s">
        <v>211</v>
      </c>
      <c r="B85" s="87"/>
      <c r="C85" s="87"/>
      <c r="D85" s="100"/>
      <c r="E85" s="87"/>
      <c r="F85" s="87"/>
      <c r="G85" s="87"/>
      <c r="H85" s="87"/>
      <c r="I85" s="87"/>
      <c r="J85" s="87"/>
      <c r="K85" s="87"/>
      <c r="M85" s="88" t="s">
        <v>212</v>
      </c>
      <c r="Q85" s="88" t="s">
        <v>213</v>
      </c>
      <c r="V85" s="978" t="s">
        <v>66</v>
      </c>
      <c r="W85" s="979"/>
      <c r="X85" s="980"/>
    </row>
    <row r="86" spans="1:25" ht="15" customHeight="1" thickBot="1" x14ac:dyDescent="0.4">
      <c r="A86" s="143" t="s">
        <v>68</v>
      </c>
      <c r="B86" s="144" t="s">
        <v>69</v>
      </c>
      <c r="C86" s="144" t="s">
        <v>70</v>
      </c>
      <c r="D86" s="144" t="s">
        <v>71</v>
      </c>
      <c r="E86" s="144" t="s">
        <v>72</v>
      </c>
      <c r="F86" s="144" t="s">
        <v>73</v>
      </c>
      <c r="G86" s="144" t="s">
        <v>74</v>
      </c>
      <c r="H86" s="144" t="s">
        <v>75</v>
      </c>
      <c r="I86" s="144" t="s">
        <v>76</v>
      </c>
      <c r="J86" s="144" t="s">
        <v>77</v>
      </c>
      <c r="K86" s="144" t="s">
        <v>78</v>
      </c>
      <c r="M86" s="145" t="s">
        <v>79</v>
      </c>
      <c r="N86" s="145" t="s">
        <v>80</v>
      </c>
      <c r="O86" s="145" t="s">
        <v>81</v>
      </c>
      <c r="Q86" s="145" t="s">
        <v>79</v>
      </c>
      <c r="R86" s="145" t="s">
        <v>80</v>
      </c>
      <c r="S86" s="145" t="s">
        <v>81</v>
      </c>
      <c r="U86" s="217"/>
      <c r="V86" s="218" t="s">
        <v>82</v>
      </c>
      <c r="W86" s="832" t="s">
        <v>83</v>
      </c>
      <c r="X86" s="219" t="s">
        <v>84</v>
      </c>
      <c r="Y86" s="839" t="s">
        <v>85</v>
      </c>
    </row>
    <row r="87" spans="1:25" ht="15" customHeight="1" thickTop="1" thickBot="1" x14ac:dyDescent="0.4">
      <c r="A87" s="992"/>
      <c r="B87" s="993"/>
      <c r="C87" s="993"/>
      <c r="D87" s="994"/>
      <c r="E87" s="146">
        <v>8006585</v>
      </c>
      <c r="F87" s="146" t="s">
        <v>214</v>
      </c>
      <c r="G87" s="147">
        <v>10800</v>
      </c>
      <c r="H87" s="146" t="s">
        <v>87</v>
      </c>
      <c r="I87" s="146"/>
      <c r="J87" s="146"/>
      <c r="K87" s="148"/>
      <c r="M87" s="149" t="s">
        <v>144</v>
      </c>
      <c r="N87" s="149" t="s">
        <v>215</v>
      </c>
      <c r="O87" s="149" t="s">
        <v>216</v>
      </c>
      <c r="Q87" s="149" t="s">
        <v>91</v>
      </c>
      <c r="R87" s="149" t="s">
        <v>92</v>
      </c>
      <c r="S87" s="149" t="s">
        <v>146</v>
      </c>
      <c r="U87" s="220" t="s">
        <v>94</v>
      </c>
      <c r="V87" s="138">
        <v>352.75328201536416</v>
      </c>
      <c r="W87" s="833">
        <v>9968</v>
      </c>
      <c r="X87" s="139">
        <v>846</v>
      </c>
      <c r="Y87" s="840">
        <v>11166.753282015365</v>
      </c>
    </row>
    <row r="88" spans="1:25" ht="15" customHeight="1" thickBot="1" x14ac:dyDescent="0.4">
      <c r="A88" s="150">
        <v>10</v>
      </c>
      <c r="B88" s="968" t="s">
        <v>217</v>
      </c>
      <c r="C88" s="969"/>
      <c r="D88" s="969"/>
      <c r="E88" s="969"/>
      <c r="F88" s="969"/>
      <c r="G88" s="969"/>
      <c r="H88" s="969"/>
      <c r="I88" s="969"/>
      <c r="J88" s="969"/>
      <c r="K88" s="970"/>
      <c r="M88" s="151"/>
      <c r="N88" s="152" t="s">
        <v>218</v>
      </c>
      <c r="O88" s="152" t="s">
        <v>219</v>
      </c>
      <c r="Q88" s="151"/>
      <c r="R88" s="152" t="s">
        <v>220</v>
      </c>
      <c r="S88" s="152" t="s">
        <v>146</v>
      </c>
      <c r="U88" s="221" t="s">
        <v>98</v>
      </c>
      <c r="V88" s="222" t="s">
        <v>99</v>
      </c>
      <c r="W88" s="834">
        <v>576</v>
      </c>
      <c r="X88" s="223" t="s">
        <v>99</v>
      </c>
      <c r="Y88" s="841">
        <v>576</v>
      </c>
    </row>
    <row r="89" spans="1:25" ht="15" customHeight="1" thickBot="1" x14ac:dyDescent="0.4">
      <c r="A89" s="759">
        <v>20</v>
      </c>
      <c r="B89" s="153" t="s">
        <v>101</v>
      </c>
      <c r="C89" s="153">
        <v>10</v>
      </c>
      <c r="D89" s="153" t="s">
        <v>102</v>
      </c>
      <c r="E89" s="153">
        <v>8005061</v>
      </c>
      <c r="F89" s="153" t="s">
        <v>221</v>
      </c>
      <c r="G89" s="154">
        <v>12200</v>
      </c>
      <c r="H89" s="153" t="s">
        <v>87</v>
      </c>
      <c r="I89" s="155">
        <v>30</v>
      </c>
      <c r="J89" s="760"/>
      <c r="K89" s="973" t="s">
        <v>104</v>
      </c>
      <c r="M89" s="678"/>
      <c r="N89" s="678"/>
      <c r="O89" s="678"/>
      <c r="Q89" s="156"/>
      <c r="R89" s="157" t="s">
        <v>222</v>
      </c>
      <c r="S89" s="157" t="s">
        <v>148</v>
      </c>
    </row>
    <row r="90" spans="1:25" ht="15" customHeight="1" thickBot="1" x14ac:dyDescent="0.4">
      <c r="A90" s="759">
        <v>20</v>
      </c>
      <c r="B90" s="153" t="s">
        <v>101</v>
      </c>
      <c r="C90" s="153">
        <v>20</v>
      </c>
      <c r="D90" s="153" t="s">
        <v>102</v>
      </c>
      <c r="E90" s="153">
        <v>3004574</v>
      </c>
      <c r="F90" s="153" t="s">
        <v>223</v>
      </c>
      <c r="G90" s="154">
        <v>25600</v>
      </c>
      <c r="H90" s="153" t="s">
        <v>87</v>
      </c>
      <c r="I90" s="155">
        <v>30</v>
      </c>
      <c r="J90" s="760"/>
      <c r="K90" s="974"/>
      <c r="M90" s="145" t="s">
        <v>80</v>
      </c>
      <c r="N90" s="145" t="s">
        <v>81</v>
      </c>
      <c r="O90" s="145" t="s">
        <v>105</v>
      </c>
      <c r="Q90" s="152" t="s">
        <v>144</v>
      </c>
      <c r="R90" s="152" t="s">
        <v>122</v>
      </c>
      <c r="S90" s="152" t="s">
        <v>224</v>
      </c>
    </row>
    <row r="91" spans="1:25" ht="15" customHeight="1" thickTop="1" thickBot="1" x14ac:dyDescent="0.4">
      <c r="A91" s="759">
        <v>30</v>
      </c>
      <c r="B91" s="153" t="s">
        <v>115</v>
      </c>
      <c r="C91" s="153">
        <v>30</v>
      </c>
      <c r="D91" s="153" t="s">
        <v>102</v>
      </c>
      <c r="E91" s="153">
        <v>3004613</v>
      </c>
      <c r="F91" s="153" t="s">
        <v>225</v>
      </c>
      <c r="G91" s="154">
        <v>59700</v>
      </c>
      <c r="H91" s="153" t="s">
        <v>87</v>
      </c>
      <c r="I91" s="155" t="s">
        <v>117</v>
      </c>
      <c r="J91" s="760"/>
      <c r="K91" s="974"/>
      <c r="M91" s="149" t="s">
        <v>96</v>
      </c>
      <c r="N91" s="149" t="s">
        <v>216</v>
      </c>
      <c r="O91" s="149" t="s">
        <v>111</v>
      </c>
      <c r="Q91" s="156"/>
      <c r="R91" s="157" t="s">
        <v>110</v>
      </c>
      <c r="S91" s="157" t="s">
        <v>226</v>
      </c>
    </row>
    <row r="92" spans="1:25" ht="15" customHeight="1" thickBot="1" x14ac:dyDescent="0.4">
      <c r="A92" s="759">
        <v>30</v>
      </c>
      <c r="B92" s="153" t="s">
        <v>115</v>
      </c>
      <c r="C92" s="153">
        <v>40</v>
      </c>
      <c r="D92" s="153" t="s">
        <v>102</v>
      </c>
      <c r="E92" s="153">
        <v>3004577</v>
      </c>
      <c r="F92" s="153" t="s">
        <v>116</v>
      </c>
      <c r="G92" s="154">
        <v>59600</v>
      </c>
      <c r="H92" s="153" t="s">
        <v>87</v>
      </c>
      <c r="I92" s="155" t="s">
        <v>117</v>
      </c>
      <c r="J92" s="760"/>
      <c r="K92" s="974"/>
      <c r="M92" s="152" t="s">
        <v>204</v>
      </c>
      <c r="N92" s="152" t="s">
        <v>219</v>
      </c>
      <c r="O92" s="152" t="s">
        <v>135</v>
      </c>
      <c r="Q92" s="151"/>
      <c r="R92" s="152" t="s">
        <v>92</v>
      </c>
      <c r="S92" s="152" t="s">
        <v>227</v>
      </c>
      <c r="V92">
        <f>297.9*1.1</f>
        <v>327.69</v>
      </c>
    </row>
    <row r="93" spans="1:25" ht="15" customHeight="1" thickBot="1" x14ac:dyDescent="0.4">
      <c r="A93" s="759">
        <v>30</v>
      </c>
      <c r="B93" s="153" t="s">
        <v>115</v>
      </c>
      <c r="C93" s="153">
        <v>50</v>
      </c>
      <c r="D93" s="153" t="s">
        <v>102</v>
      </c>
      <c r="E93" s="153">
        <v>7002074</v>
      </c>
      <c r="F93" s="153" t="s">
        <v>175</v>
      </c>
      <c r="G93" s="154">
        <v>110300</v>
      </c>
      <c r="H93" s="153" t="s">
        <v>87</v>
      </c>
      <c r="I93" s="155" t="s">
        <v>117</v>
      </c>
      <c r="J93" s="760"/>
      <c r="K93" s="974"/>
      <c r="Q93" s="156"/>
      <c r="R93" s="157" t="s">
        <v>228</v>
      </c>
      <c r="S93" s="157" t="s">
        <v>229</v>
      </c>
    </row>
    <row r="94" spans="1:25" ht="15" customHeight="1" thickBot="1" x14ac:dyDescent="0.4">
      <c r="A94" s="759">
        <v>30</v>
      </c>
      <c r="B94" s="153" t="s">
        <v>115</v>
      </c>
      <c r="C94" s="153">
        <v>60</v>
      </c>
      <c r="D94" s="153" t="s">
        <v>102</v>
      </c>
      <c r="E94" s="153">
        <v>7002074</v>
      </c>
      <c r="F94" s="153" t="s">
        <v>175</v>
      </c>
      <c r="G94" s="154">
        <v>20700</v>
      </c>
      <c r="H94" s="153" t="s">
        <v>87</v>
      </c>
      <c r="I94" s="155" t="s">
        <v>117</v>
      </c>
      <c r="J94" s="760"/>
      <c r="K94" s="974"/>
      <c r="M94" s="850" t="s">
        <v>120</v>
      </c>
      <c r="Q94" s="152" t="s">
        <v>121</v>
      </c>
      <c r="R94" s="152" t="s">
        <v>122</v>
      </c>
      <c r="S94" s="152" t="s">
        <v>230</v>
      </c>
    </row>
    <row r="95" spans="1:25" ht="15" customHeight="1" thickBot="1" x14ac:dyDescent="0.4">
      <c r="A95" s="759">
        <v>30</v>
      </c>
      <c r="B95" s="153" t="s">
        <v>115</v>
      </c>
      <c r="C95" s="153">
        <v>70</v>
      </c>
      <c r="D95" s="153" t="s">
        <v>102</v>
      </c>
      <c r="E95" s="153">
        <v>7002074</v>
      </c>
      <c r="F95" s="153" t="s">
        <v>175</v>
      </c>
      <c r="G95" s="154">
        <v>20700</v>
      </c>
      <c r="H95" s="153" t="s">
        <v>87</v>
      </c>
      <c r="I95" s="155" t="s">
        <v>117</v>
      </c>
      <c r="J95" s="760"/>
      <c r="K95" s="975"/>
      <c r="M95" s="145" t="s">
        <v>79</v>
      </c>
      <c r="N95" s="145" t="s">
        <v>80</v>
      </c>
      <c r="O95" s="145" t="s">
        <v>81</v>
      </c>
    </row>
    <row r="96" spans="1:25" ht="15" customHeight="1" thickTop="1" thickBot="1" x14ac:dyDescent="0.4">
      <c r="A96" s="761">
        <v>40</v>
      </c>
      <c r="B96" s="762" t="s">
        <v>131</v>
      </c>
      <c r="C96" s="762">
        <v>80</v>
      </c>
      <c r="D96" s="762" t="s">
        <v>102</v>
      </c>
      <c r="E96" s="762">
        <v>3004901</v>
      </c>
      <c r="F96" s="762" t="s">
        <v>132</v>
      </c>
      <c r="G96" s="762">
        <v>1</v>
      </c>
      <c r="H96" s="762" t="s">
        <v>133</v>
      </c>
      <c r="I96" s="158" t="s">
        <v>117</v>
      </c>
      <c r="J96" s="760"/>
      <c r="K96" s="762" t="s">
        <v>134</v>
      </c>
      <c r="M96" s="149" t="s">
        <v>144</v>
      </c>
      <c r="N96" s="149" t="s">
        <v>171</v>
      </c>
      <c r="O96" s="149" t="s">
        <v>231</v>
      </c>
      <c r="Q96" s="145" t="s">
        <v>80</v>
      </c>
      <c r="R96" s="145" t="s">
        <v>81</v>
      </c>
      <c r="S96" s="145" t="s">
        <v>105</v>
      </c>
    </row>
    <row r="97" spans="1:25" ht="15" customHeight="1" thickTop="1" thickBot="1" x14ac:dyDescent="0.4">
      <c r="A97" s="761">
        <v>40</v>
      </c>
      <c r="B97" s="762" t="s">
        <v>131</v>
      </c>
      <c r="C97" s="762">
        <v>90</v>
      </c>
      <c r="D97" s="762" t="s">
        <v>102</v>
      </c>
      <c r="E97" s="762">
        <v>4130900</v>
      </c>
      <c r="F97" s="762" t="s">
        <v>136</v>
      </c>
      <c r="G97" s="762">
        <v>2</v>
      </c>
      <c r="H97" s="762" t="s">
        <v>133</v>
      </c>
      <c r="I97" s="158" t="s">
        <v>117</v>
      </c>
      <c r="J97" s="763"/>
      <c r="K97" s="762" t="s">
        <v>117</v>
      </c>
      <c r="M97" s="758"/>
      <c r="N97" s="758" t="s">
        <v>124</v>
      </c>
      <c r="O97" s="758" t="s">
        <v>125</v>
      </c>
      <c r="Q97" s="1008" t="s">
        <v>96</v>
      </c>
      <c r="R97" s="765" t="s">
        <v>146</v>
      </c>
      <c r="S97" s="765" t="s">
        <v>135</v>
      </c>
    </row>
    <row r="98" spans="1:25" ht="15" customHeight="1" thickTop="1" thickBot="1" x14ac:dyDescent="0.4">
      <c r="M98" s="149"/>
      <c r="N98" s="149" t="s">
        <v>218</v>
      </c>
      <c r="O98" s="149" t="s">
        <v>232</v>
      </c>
      <c r="Q98" s="1009"/>
      <c r="R98" s="766" t="s">
        <v>229</v>
      </c>
      <c r="S98" s="766" t="s">
        <v>207</v>
      </c>
    </row>
    <row r="99" spans="1:25" ht="15" customHeight="1" thickBot="1" x14ac:dyDescent="0.4">
      <c r="Q99" s="971" t="s">
        <v>110</v>
      </c>
      <c r="R99" s="757" t="s">
        <v>148</v>
      </c>
      <c r="S99" s="757" t="s">
        <v>135</v>
      </c>
    </row>
    <row r="100" spans="1:25" ht="15" customHeight="1" thickBot="1" x14ac:dyDescent="0.4">
      <c r="M100" s="145" t="s">
        <v>80</v>
      </c>
      <c r="N100" s="145" t="s">
        <v>81</v>
      </c>
      <c r="O100" s="145" t="s">
        <v>105</v>
      </c>
      <c r="Q100" s="972"/>
      <c r="R100" s="758" t="s">
        <v>226</v>
      </c>
      <c r="S100" s="758" t="s">
        <v>207</v>
      </c>
    </row>
    <row r="101" spans="1:25" ht="15" customHeight="1" thickTop="1" thickBot="1" x14ac:dyDescent="0.4">
      <c r="M101" s="149" t="s">
        <v>171</v>
      </c>
      <c r="N101" s="149" t="s">
        <v>231</v>
      </c>
      <c r="O101" s="149" t="s">
        <v>233</v>
      </c>
      <c r="Q101" s="157" t="s">
        <v>112</v>
      </c>
      <c r="R101" s="157" t="s">
        <v>234</v>
      </c>
      <c r="S101" s="157" t="s">
        <v>207</v>
      </c>
    </row>
    <row r="102" spans="1:25" ht="15" customHeight="1" thickBot="1" x14ac:dyDescent="0.4">
      <c r="M102" s="851" t="s">
        <v>138</v>
      </c>
      <c r="N102" s="851" t="s">
        <v>125</v>
      </c>
      <c r="O102" s="851" t="s">
        <v>135</v>
      </c>
    </row>
    <row r="103" spans="1:25" ht="15" customHeight="1" thickBot="1" x14ac:dyDescent="0.4">
      <c r="M103" s="157" t="s">
        <v>204</v>
      </c>
      <c r="N103" s="157" t="s">
        <v>232</v>
      </c>
      <c r="O103" s="157" t="s">
        <v>135</v>
      </c>
    </row>
    <row r="106" spans="1:25" ht="15" customHeight="1" thickBot="1" x14ac:dyDescent="0.4"/>
    <row r="107" spans="1:25" ht="15" customHeight="1" x14ac:dyDescent="0.35">
      <c r="A107" s="956" t="s">
        <v>235</v>
      </c>
      <c r="B107" s="957"/>
      <c r="C107" s="957"/>
      <c r="D107" s="957"/>
      <c r="E107" s="957"/>
      <c r="F107" s="957"/>
      <c r="G107" s="957"/>
      <c r="H107" s="957"/>
      <c r="I107" s="957"/>
      <c r="J107" s="957"/>
      <c r="K107" s="957"/>
      <c r="L107" s="957"/>
      <c r="M107" s="957"/>
      <c r="N107" s="957"/>
      <c r="O107" s="957"/>
      <c r="P107" s="957"/>
      <c r="Q107" s="957"/>
      <c r="R107" s="957"/>
      <c r="S107" s="957"/>
      <c r="T107" s="957"/>
      <c r="U107" s="957"/>
      <c r="V107" s="957"/>
      <c r="W107" s="957"/>
      <c r="X107" s="957"/>
      <c r="Y107" s="958"/>
    </row>
    <row r="108" spans="1:25" ht="15" customHeight="1" thickBot="1" x14ac:dyDescent="0.4">
      <c r="A108" s="959"/>
      <c r="B108" s="960"/>
      <c r="C108" s="960"/>
      <c r="D108" s="960"/>
      <c r="E108" s="960"/>
      <c r="F108" s="960"/>
      <c r="G108" s="960"/>
      <c r="H108" s="960"/>
      <c r="I108" s="960"/>
      <c r="J108" s="960"/>
      <c r="K108" s="960"/>
      <c r="L108" s="960"/>
      <c r="M108" s="960"/>
      <c r="N108" s="960"/>
      <c r="O108" s="960"/>
      <c r="P108" s="960"/>
      <c r="Q108" s="960"/>
      <c r="R108" s="960"/>
      <c r="S108" s="960"/>
      <c r="T108" s="960"/>
      <c r="U108" s="960"/>
      <c r="V108" s="960"/>
      <c r="W108" s="960"/>
      <c r="X108" s="960"/>
      <c r="Y108" s="961"/>
    </row>
    <row r="109" spans="1:25" ht="18" customHeight="1" thickBot="1" x14ac:dyDescent="0.4">
      <c r="A109" s="88" t="s">
        <v>236</v>
      </c>
      <c r="B109" s="87"/>
      <c r="C109" s="87"/>
      <c r="D109" s="100"/>
      <c r="E109" s="87"/>
      <c r="F109" s="87"/>
      <c r="G109" s="87"/>
      <c r="H109" s="87"/>
      <c r="I109" s="87"/>
      <c r="J109" s="87"/>
      <c r="K109" s="87"/>
      <c r="M109" s="88" t="s">
        <v>237</v>
      </c>
      <c r="Q109" s="88" t="s">
        <v>238</v>
      </c>
      <c r="V109" s="1010" t="s">
        <v>66</v>
      </c>
      <c r="W109" s="1011"/>
      <c r="X109" s="1012"/>
    </row>
    <row r="110" spans="1:25" ht="15" customHeight="1" thickBot="1" x14ac:dyDescent="0.4">
      <c r="A110" s="143" t="s">
        <v>68</v>
      </c>
      <c r="B110" s="144" t="s">
        <v>69</v>
      </c>
      <c r="C110" s="144" t="s">
        <v>70</v>
      </c>
      <c r="D110" s="144" t="s">
        <v>71</v>
      </c>
      <c r="E110" s="144" t="s">
        <v>72</v>
      </c>
      <c r="F110" s="144" t="s">
        <v>73</v>
      </c>
      <c r="G110" s="144" t="s">
        <v>74</v>
      </c>
      <c r="H110" s="144" t="s">
        <v>75</v>
      </c>
      <c r="I110" s="144" t="s">
        <v>76</v>
      </c>
      <c r="J110" s="144" t="s">
        <v>77</v>
      </c>
      <c r="K110" s="144" t="s">
        <v>78</v>
      </c>
      <c r="M110" s="145" t="s">
        <v>79</v>
      </c>
      <c r="N110" s="145" t="s">
        <v>80</v>
      </c>
      <c r="O110" s="145" t="s">
        <v>81</v>
      </c>
      <c r="Q110" s="103" t="s">
        <v>79</v>
      </c>
      <c r="R110" s="103" t="s">
        <v>80</v>
      </c>
      <c r="S110" s="103" t="s">
        <v>81</v>
      </c>
      <c r="U110" s="217"/>
      <c r="V110" s="218" t="s">
        <v>82</v>
      </c>
      <c r="W110" s="832" t="s">
        <v>83</v>
      </c>
      <c r="X110" s="218" t="s">
        <v>84</v>
      </c>
      <c r="Y110" s="839" t="s">
        <v>85</v>
      </c>
    </row>
    <row r="111" spans="1:25" ht="15" customHeight="1" thickTop="1" thickBot="1" x14ac:dyDescent="0.4">
      <c r="A111" s="992"/>
      <c r="B111" s="993"/>
      <c r="C111" s="993"/>
      <c r="D111" s="994"/>
      <c r="E111" s="146">
        <v>8006808</v>
      </c>
      <c r="F111" s="146" t="s">
        <v>239</v>
      </c>
      <c r="G111" s="147">
        <v>16600</v>
      </c>
      <c r="H111" s="146" t="s">
        <v>87</v>
      </c>
      <c r="I111" s="146"/>
      <c r="J111" s="146"/>
      <c r="K111" s="146"/>
      <c r="M111" s="149" t="s">
        <v>144</v>
      </c>
      <c r="N111" s="149" t="s">
        <v>240</v>
      </c>
      <c r="O111" s="149" t="s">
        <v>241</v>
      </c>
      <c r="Q111" s="104" t="s">
        <v>91</v>
      </c>
      <c r="R111" s="104" t="s">
        <v>92</v>
      </c>
      <c r="S111" s="104" t="s">
        <v>242</v>
      </c>
      <c r="U111" s="220" t="s">
        <v>94</v>
      </c>
      <c r="V111" s="138">
        <v>767</v>
      </c>
      <c r="W111" s="835">
        <v>16254</v>
      </c>
      <c r="X111" s="138">
        <v>448</v>
      </c>
      <c r="Y111" s="842">
        <f>SUM(V111:X111)</f>
        <v>17469</v>
      </c>
    </row>
    <row r="112" spans="1:25" ht="15" customHeight="1" thickBot="1" x14ac:dyDescent="0.4">
      <c r="A112" s="150">
        <v>10</v>
      </c>
      <c r="B112" s="968" t="s">
        <v>243</v>
      </c>
      <c r="C112" s="969"/>
      <c r="D112" s="969"/>
      <c r="E112" s="969"/>
      <c r="F112" s="969"/>
      <c r="G112" s="969"/>
      <c r="H112" s="969"/>
      <c r="I112" s="969"/>
      <c r="J112" s="969"/>
      <c r="K112" s="970"/>
      <c r="M112" s="151"/>
      <c r="N112" s="152" t="s">
        <v>110</v>
      </c>
      <c r="O112" s="152" t="s">
        <v>244</v>
      </c>
      <c r="Q112" s="105"/>
      <c r="R112" s="106" t="s">
        <v>220</v>
      </c>
      <c r="S112" s="106" t="s">
        <v>97</v>
      </c>
      <c r="U112" s="221" t="s">
        <v>98</v>
      </c>
      <c r="V112" s="222">
        <v>606.29999999999995</v>
      </c>
      <c r="W112" s="834">
        <v>337</v>
      </c>
      <c r="X112" s="222" t="s">
        <v>99</v>
      </c>
      <c r="Y112" s="841">
        <f>V112+W112</f>
        <v>943.3</v>
      </c>
    </row>
    <row r="113" spans="1:22" ht="15" customHeight="1" thickBot="1" x14ac:dyDescent="0.4">
      <c r="A113" s="759">
        <v>20</v>
      </c>
      <c r="B113" s="153" t="s">
        <v>101</v>
      </c>
      <c r="C113" s="153">
        <v>10</v>
      </c>
      <c r="D113" s="153" t="s">
        <v>102</v>
      </c>
      <c r="E113" s="153">
        <v>8006584</v>
      </c>
      <c r="F113" s="153" t="s">
        <v>180</v>
      </c>
      <c r="G113" s="154">
        <v>16200</v>
      </c>
      <c r="H113" s="153" t="s">
        <v>87</v>
      </c>
      <c r="I113" s="155">
        <v>40</v>
      </c>
      <c r="J113" s="760"/>
      <c r="K113" s="973" t="s">
        <v>104</v>
      </c>
      <c r="M113" s="678"/>
      <c r="N113" s="678"/>
      <c r="O113" s="678"/>
      <c r="Q113" s="107"/>
      <c r="R113" s="108" t="s">
        <v>222</v>
      </c>
      <c r="S113" s="108" t="s">
        <v>245</v>
      </c>
    </row>
    <row r="114" spans="1:22" ht="15" customHeight="1" thickBot="1" x14ac:dyDescent="0.4">
      <c r="A114" s="759">
        <v>20</v>
      </c>
      <c r="B114" s="153" t="s">
        <v>101</v>
      </c>
      <c r="C114" s="153">
        <v>20</v>
      </c>
      <c r="D114" s="153" t="s">
        <v>102</v>
      </c>
      <c r="E114" s="153">
        <v>8006585</v>
      </c>
      <c r="F114" s="153" t="s">
        <v>214</v>
      </c>
      <c r="G114" s="154">
        <v>9000</v>
      </c>
      <c r="H114" s="153" t="s">
        <v>87</v>
      </c>
      <c r="I114" s="155">
        <v>40</v>
      </c>
      <c r="J114" s="763"/>
      <c r="K114" s="974"/>
      <c r="M114" s="145" t="s">
        <v>80</v>
      </c>
      <c r="N114" s="145" t="s">
        <v>81</v>
      </c>
      <c r="O114" s="145" t="s">
        <v>105</v>
      </c>
      <c r="Q114" s="106" t="s">
        <v>144</v>
      </c>
      <c r="R114" s="106" t="s">
        <v>122</v>
      </c>
      <c r="S114" s="106" t="s">
        <v>246</v>
      </c>
    </row>
    <row r="115" spans="1:22" ht="15" customHeight="1" thickTop="1" thickBot="1" x14ac:dyDescent="0.4">
      <c r="A115" s="759">
        <v>20</v>
      </c>
      <c r="B115" s="153" t="s">
        <v>101</v>
      </c>
      <c r="C115" s="153">
        <v>30</v>
      </c>
      <c r="D115" s="153" t="s">
        <v>102</v>
      </c>
      <c r="E115" s="153">
        <v>8005034</v>
      </c>
      <c r="F115" s="153" t="s">
        <v>247</v>
      </c>
      <c r="G115" s="153">
        <v>10</v>
      </c>
      <c r="H115" s="153" t="s">
        <v>87</v>
      </c>
      <c r="I115" s="155">
        <v>40</v>
      </c>
      <c r="J115" s="973" t="s">
        <v>150</v>
      </c>
      <c r="K115" s="974"/>
      <c r="M115" s="149" t="s">
        <v>248</v>
      </c>
      <c r="N115" s="149" t="s">
        <v>249</v>
      </c>
      <c r="O115" s="149" t="s">
        <v>135</v>
      </c>
      <c r="Q115" s="1016"/>
      <c r="R115" s="109" t="s">
        <v>250</v>
      </c>
      <c r="S115" s="109" t="s">
        <v>251</v>
      </c>
      <c r="V115">
        <f>629.2*1.1</f>
        <v>692.12000000000012</v>
      </c>
    </row>
    <row r="116" spans="1:22" ht="15" customHeight="1" thickBot="1" x14ac:dyDescent="0.4">
      <c r="A116" s="759">
        <v>20</v>
      </c>
      <c r="B116" s="153" t="s">
        <v>101</v>
      </c>
      <c r="C116" s="153">
        <v>40</v>
      </c>
      <c r="D116" s="153" t="s">
        <v>102</v>
      </c>
      <c r="E116" s="153">
        <v>8009062</v>
      </c>
      <c r="F116" s="153" t="s">
        <v>252</v>
      </c>
      <c r="G116" s="153">
        <v>10</v>
      </c>
      <c r="H116" s="153" t="s">
        <v>87</v>
      </c>
      <c r="I116" s="155">
        <v>40</v>
      </c>
      <c r="J116" s="975"/>
      <c r="K116" s="974"/>
      <c r="M116" s="152" t="s">
        <v>110</v>
      </c>
      <c r="N116" s="152" t="s">
        <v>244</v>
      </c>
      <c r="O116" s="152" t="s">
        <v>111</v>
      </c>
      <c r="Q116" s="1017"/>
      <c r="R116" s="768" t="s">
        <v>222</v>
      </c>
      <c r="S116" s="768" t="s">
        <v>253</v>
      </c>
    </row>
    <row r="117" spans="1:22" ht="15" customHeight="1" thickBot="1" x14ac:dyDescent="0.4">
      <c r="A117" s="759">
        <v>20</v>
      </c>
      <c r="B117" s="153" t="s">
        <v>101</v>
      </c>
      <c r="C117" s="153">
        <v>50</v>
      </c>
      <c r="D117" s="153" t="s">
        <v>102</v>
      </c>
      <c r="E117" s="153">
        <v>3004668</v>
      </c>
      <c r="F117" s="153" t="s">
        <v>157</v>
      </c>
      <c r="G117" s="154">
        <v>7800</v>
      </c>
      <c r="H117" s="153" t="s">
        <v>87</v>
      </c>
      <c r="I117" s="155">
        <v>40</v>
      </c>
      <c r="J117" s="760"/>
      <c r="K117" s="974"/>
      <c r="Q117" s="106" t="s">
        <v>88</v>
      </c>
      <c r="R117" s="106" t="s">
        <v>122</v>
      </c>
      <c r="S117" s="106" t="s">
        <v>254</v>
      </c>
      <c r="U117" s="876" t="s">
        <v>156</v>
      </c>
      <c r="V117">
        <f>657.8*1.1</f>
        <v>723.58</v>
      </c>
    </row>
    <row r="118" spans="1:22" ht="15" customHeight="1" thickBot="1" x14ac:dyDescent="0.4">
      <c r="A118" s="759">
        <v>20</v>
      </c>
      <c r="B118" s="153" t="s">
        <v>101</v>
      </c>
      <c r="C118" s="153">
        <v>60</v>
      </c>
      <c r="D118" s="153" t="s">
        <v>102</v>
      </c>
      <c r="E118" s="153">
        <v>3004682</v>
      </c>
      <c r="F118" s="153" t="s">
        <v>255</v>
      </c>
      <c r="G118" s="154">
        <v>16300</v>
      </c>
      <c r="H118" s="153" t="s">
        <v>87</v>
      </c>
      <c r="I118" s="155">
        <v>40</v>
      </c>
      <c r="J118" s="760"/>
      <c r="K118" s="974"/>
      <c r="M118" s="88" t="s">
        <v>256</v>
      </c>
      <c r="Q118" s="107"/>
      <c r="R118" s="108" t="s">
        <v>110</v>
      </c>
      <c r="S118" s="108" t="s">
        <v>257</v>
      </c>
    </row>
    <row r="119" spans="1:22" ht="15" customHeight="1" thickBot="1" x14ac:dyDescent="0.4">
      <c r="A119" s="759">
        <v>20</v>
      </c>
      <c r="B119" s="153" t="s">
        <v>101</v>
      </c>
      <c r="C119" s="153">
        <v>70</v>
      </c>
      <c r="D119" s="153" t="s">
        <v>102</v>
      </c>
      <c r="E119" s="153">
        <v>3004667</v>
      </c>
      <c r="F119" s="153" t="s">
        <v>258</v>
      </c>
      <c r="G119" s="154">
        <v>6600</v>
      </c>
      <c r="H119" s="153" t="s">
        <v>87</v>
      </c>
      <c r="I119" s="155">
        <v>40</v>
      </c>
      <c r="J119" s="760"/>
      <c r="K119" s="974"/>
      <c r="M119" s="145" t="s">
        <v>79</v>
      </c>
      <c r="N119" s="145" t="s">
        <v>80</v>
      </c>
      <c r="O119" s="145" t="s">
        <v>81</v>
      </c>
      <c r="Q119" s="105"/>
      <c r="R119" s="106" t="s">
        <v>228</v>
      </c>
      <c r="S119" s="106" t="s">
        <v>259</v>
      </c>
    </row>
    <row r="120" spans="1:22" ht="15" customHeight="1" thickTop="1" thickBot="1" x14ac:dyDescent="0.4">
      <c r="A120" s="759">
        <v>20</v>
      </c>
      <c r="B120" s="153" t="s">
        <v>101</v>
      </c>
      <c r="C120" s="153">
        <v>80</v>
      </c>
      <c r="D120" s="153" t="s">
        <v>102</v>
      </c>
      <c r="E120" s="153">
        <v>2140</v>
      </c>
      <c r="F120" s="153" t="s">
        <v>166</v>
      </c>
      <c r="G120" s="154">
        <v>20200</v>
      </c>
      <c r="H120" s="153" t="s">
        <v>87</v>
      </c>
      <c r="I120" s="155">
        <v>30</v>
      </c>
      <c r="J120" s="760"/>
      <c r="K120" s="975"/>
      <c r="M120" s="149" t="s">
        <v>144</v>
      </c>
      <c r="N120" s="149" t="s">
        <v>260</v>
      </c>
      <c r="O120" s="149" t="s">
        <v>249</v>
      </c>
      <c r="Q120" s="107"/>
      <c r="R120" s="108" t="s">
        <v>92</v>
      </c>
      <c r="S120" s="108" t="s">
        <v>165</v>
      </c>
    </row>
    <row r="121" spans="1:22" ht="30.65" customHeight="1" thickBot="1" x14ac:dyDescent="0.4">
      <c r="A121" s="761">
        <v>40</v>
      </c>
      <c r="B121" s="762" t="s">
        <v>115</v>
      </c>
      <c r="C121" s="762">
        <v>90</v>
      </c>
      <c r="D121" s="762" t="s">
        <v>102</v>
      </c>
      <c r="E121" s="762">
        <v>3005416</v>
      </c>
      <c r="F121" s="762" t="s">
        <v>261</v>
      </c>
      <c r="G121" s="762">
        <v>1</v>
      </c>
      <c r="H121" s="762" t="s">
        <v>133</v>
      </c>
      <c r="I121" s="158" t="s">
        <v>117</v>
      </c>
      <c r="J121" s="760"/>
      <c r="K121" s="762" t="s">
        <v>134</v>
      </c>
      <c r="M121" s="151"/>
      <c r="N121" s="152" t="s">
        <v>262</v>
      </c>
      <c r="O121" s="152" t="s">
        <v>216</v>
      </c>
      <c r="Q121" s="106" t="s">
        <v>121</v>
      </c>
      <c r="R121" s="106" t="s">
        <v>122</v>
      </c>
      <c r="S121" s="106" t="s">
        <v>263</v>
      </c>
    </row>
    <row r="122" spans="1:22" ht="15" customHeight="1" thickBot="1" x14ac:dyDescent="0.4">
      <c r="A122" s="759">
        <v>40</v>
      </c>
      <c r="B122" s="153" t="s">
        <v>115</v>
      </c>
      <c r="C122" s="153">
        <v>100</v>
      </c>
      <c r="D122" s="153" t="s">
        <v>102</v>
      </c>
      <c r="E122" s="153">
        <v>3004578</v>
      </c>
      <c r="F122" s="153" t="s">
        <v>264</v>
      </c>
      <c r="G122" s="154">
        <v>90200</v>
      </c>
      <c r="H122" s="153" t="s">
        <v>87</v>
      </c>
      <c r="I122" s="155" t="s">
        <v>117</v>
      </c>
      <c r="J122" s="996"/>
      <c r="K122" s="973" t="s">
        <v>104</v>
      </c>
      <c r="M122" s="157" t="s">
        <v>88</v>
      </c>
      <c r="N122" s="157" t="s">
        <v>110</v>
      </c>
      <c r="O122" s="157" t="s">
        <v>265</v>
      </c>
    </row>
    <row r="123" spans="1:22" ht="15" customHeight="1" thickBot="1" x14ac:dyDescent="0.4">
      <c r="A123" s="759">
        <v>40</v>
      </c>
      <c r="B123" s="153" t="s">
        <v>115</v>
      </c>
      <c r="C123" s="153">
        <v>110</v>
      </c>
      <c r="D123" s="153" t="s">
        <v>102</v>
      </c>
      <c r="E123" s="153">
        <v>3004573</v>
      </c>
      <c r="F123" s="153" t="s">
        <v>266</v>
      </c>
      <c r="G123" s="154">
        <v>130400</v>
      </c>
      <c r="H123" s="153" t="s">
        <v>87</v>
      </c>
      <c r="I123" s="155" t="s">
        <v>117</v>
      </c>
      <c r="J123" s="996"/>
      <c r="K123" s="974"/>
      <c r="M123" s="678"/>
      <c r="N123" s="678"/>
      <c r="O123" s="678"/>
      <c r="Q123" s="103" t="s">
        <v>80</v>
      </c>
      <c r="R123" s="103" t="s">
        <v>81</v>
      </c>
      <c r="S123" s="103" t="s">
        <v>105</v>
      </c>
    </row>
    <row r="124" spans="1:22" ht="15" customHeight="1" thickTop="1" thickBot="1" x14ac:dyDescent="0.4">
      <c r="A124" s="759">
        <v>40</v>
      </c>
      <c r="B124" s="153" t="s">
        <v>115</v>
      </c>
      <c r="C124" s="153">
        <v>120</v>
      </c>
      <c r="D124" s="153" t="s">
        <v>102</v>
      </c>
      <c r="E124" s="153">
        <v>3004573</v>
      </c>
      <c r="F124" s="153" t="s">
        <v>266</v>
      </c>
      <c r="G124" s="154">
        <v>130400</v>
      </c>
      <c r="H124" s="153" t="s">
        <v>87</v>
      </c>
      <c r="I124" s="155" t="s">
        <v>117</v>
      </c>
      <c r="J124" s="996"/>
      <c r="K124" s="974"/>
      <c r="M124" s="145" t="s">
        <v>80</v>
      </c>
      <c r="N124" s="145" t="s">
        <v>81</v>
      </c>
      <c r="O124" s="145" t="s">
        <v>105</v>
      </c>
      <c r="Q124" s="1018" t="s">
        <v>96</v>
      </c>
      <c r="R124" s="767" t="s">
        <v>97</v>
      </c>
      <c r="S124" s="767" t="s">
        <v>135</v>
      </c>
    </row>
    <row r="125" spans="1:22" ht="15" customHeight="1" thickTop="1" thickBot="1" x14ac:dyDescent="0.4">
      <c r="A125" s="759">
        <v>40</v>
      </c>
      <c r="B125" s="153" t="s">
        <v>115</v>
      </c>
      <c r="C125" s="153">
        <v>130</v>
      </c>
      <c r="D125" s="153" t="s">
        <v>102</v>
      </c>
      <c r="E125" s="153">
        <v>3004573</v>
      </c>
      <c r="F125" s="153" t="s">
        <v>266</v>
      </c>
      <c r="G125" s="154">
        <v>26100</v>
      </c>
      <c r="H125" s="153" t="s">
        <v>87</v>
      </c>
      <c r="I125" s="155" t="s">
        <v>117</v>
      </c>
      <c r="J125" s="996"/>
      <c r="K125" s="974"/>
      <c r="M125" s="149" t="s">
        <v>267</v>
      </c>
      <c r="N125" s="149" t="s">
        <v>268</v>
      </c>
      <c r="O125" s="149" t="s">
        <v>135</v>
      </c>
      <c r="Q125" s="1019"/>
      <c r="R125" s="768" t="s">
        <v>259</v>
      </c>
      <c r="S125" s="768" t="s">
        <v>207</v>
      </c>
    </row>
    <row r="126" spans="1:22" ht="15" customHeight="1" thickBot="1" x14ac:dyDescent="0.4">
      <c r="A126" s="759">
        <v>40</v>
      </c>
      <c r="B126" s="153" t="s">
        <v>115</v>
      </c>
      <c r="C126" s="153">
        <v>140</v>
      </c>
      <c r="D126" s="153" t="s">
        <v>102</v>
      </c>
      <c r="E126" s="153">
        <v>3004573</v>
      </c>
      <c r="F126" s="153" t="s">
        <v>266</v>
      </c>
      <c r="G126" s="154">
        <v>19600</v>
      </c>
      <c r="H126" s="153" t="s">
        <v>87</v>
      </c>
      <c r="I126" s="155" t="s">
        <v>117</v>
      </c>
      <c r="J126" s="1003"/>
      <c r="K126" s="975"/>
      <c r="M126" s="152" t="s">
        <v>110</v>
      </c>
      <c r="N126" s="152" t="s">
        <v>269</v>
      </c>
      <c r="O126" s="152" t="s">
        <v>111</v>
      </c>
      <c r="Q126" s="1020" t="s">
        <v>110</v>
      </c>
      <c r="R126" s="769" t="s">
        <v>270</v>
      </c>
      <c r="S126" s="769" t="s">
        <v>135</v>
      </c>
    </row>
    <row r="127" spans="1:22" ht="15" customHeight="1" thickBot="1" x14ac:dyDescent="0.4">
      <c r="A127" s="759">
        <v>40</v>
      </c>
      <c r="B127" s="153" t="s">
        <v>115</v>
      </c>
      <c r="C127" s="153">
        <v>150</v>
      </c>
      <c r="D127" s="153" t="s">
        <v>102</v>
      </c>
      <c r="E127" s="153">
        <v>3004573</v>
      </c>
      <c r="F127" s="153" t="s">
        <v>266</v>
      </c>
      <c r="G127" s="154">
        <v>19600</v>
      </c>
      <c r="H127" s="153" t="s">
        <v>87</v>
      </c>
      <c r="I127" s="155" t="s">
        <v>117</v>
      </c>
      <c r="J127" s="760"/>
      <c r="K127" s="973" t="s">
        <v>104</v>
      </c>
      <c r="Q127" s="1021"/>
      <c r="R127" s="770" t="s">
        <v>271</v>
      </c>
      <c r="S127" s="770" t="s">
        <v>207</v>
      </c>
    </row>
    <row r="128" spans="1:22" ht="15" customHeight="1" thickBot="1" x14ac:dyDescent="0.4">
      <c r="A128" s="759">
        <v>40</v>
      </c>
      <c r="B128" s="153" t="s">
        <v>115</v>
      </c>
      <c r="C128" s="153">
        <v>160</v>
      </c>
      <c r="D128" s="153" t="s">
        <v>102</v>
      </c>
      <c r="E128" s="153">
        <v>3004573</v>
      </c>
      <c r="F128" s="153" t="s">
        <v>266</v>
      </c>
      <c r="G128" s="154">
        <v>52200</v>
      </c>
      <c r="H128" s="153" t="s">
        <v>87</v>
      </c>
      <c r="I128" s="155" t="s">
        <v>117</v>
      </c>
      <c r="J128" s="760"/>
      <c r="K128" s="974"/>
      <c r="Q128" s="108" t="s">
        <v>112</v>
      </c>
      <c r="R128" s="108" t="s">
        <v>272</v>
      </c>
      <c r="S128" s="108" t="s">
        <v>207</v>
      </c>
    </row>
    <row r="129" spans="1:25" ht="15" customHeight="1" thickBot="1" x14ac:dyDescent="0.4">
      <c r="A129" s="759">
        <v>40</v>
      </c>
      <c r="B129" s="153" t="s">
        <v>115</v>
      </c>
      <c r="C129" s="153">
        <v>170</v>
      </c>
      <c r="D129" s="153" t="s">
        <v>102</v>
      </c>
      <c r="E129" s="153">
        <v>7002071</v>
      </c>
      <c r="F129" s="153" t="s">
        <v>119</v>
      </c>
      <c r="G129" s="154">
        <v>233800</v>
      </c>
      <c r="H129" s="153" t="s">
        <v>87</v>
      </c>
      <c r="I129" s="155" t="s">
        <v>117</v>
      </c>
      <c r="J129" s="760"/>
      <c r="K129" s="975"/>
      <c r="M129" s="850" t="s">
        <v>120</v>
      </c>
    </row>
    <row r="130" spans="1:25" ht="15" customHeight="1" thickBot="1" x14ac:dyDescent="0.4">
      <c r="A130" s="759">
        <v>40</v>
      </c>
      <c r="B130" s="153" t="s">
        <v>115</v>
      </c>
      <c r="C130" s="153">
        <v>180</v>
      </c>
      <c r="D130" s="153" t="s">
        <v>102</v>
      </c>
      <c r="E130" s="153">
        <v>7002071</v>
      </c>
      <c r="F130" s="153" t="s">
        <v>119</v>
      </c>
      <c r="G130" s="154">
        <v>36000</v>
      </c>
      <c r="H130" s="153" t="s">
        <v>87</v>
      </c>
      <c r="I130" s="155" t="s">
        <v>117</v>
      </c>
      <c r="J130" s="760"/>
      <c r="K130" s="153" t="s">
        <v>273</v>
      </c>
      <c r="M130" s="145" t="s">
        <v>79</v>
      </c>
      <c r="N130" s="145" t="s">
        <v>80</v>
      </c>
      <c r="O130" s="145" t="s">
        <v>81</v>
      </c>
    </row>
    <row r="131" spans="1:25" ht="15" customHeight="1" thickTop="1" thickBot="1" x14ac:dyDescent="0.4">
      <c r="A131" s="761">
        <v>50</v>
      </c>
      <c r="B131" s="762" t="s">
        <v>131</v>
      </c>
      <c r="C131" s="762">
        <v>190</v>
      </c>
      <c r="D131" s="762" t="s">
        <v>102</v>
      </c>
      <c r="E131" s="762">
        <v>3004901</v>
      </c>
      <c r="F131" s="762" t="s">
        <v>132</v>
      </c>
      <c r="G131" s="762">
        <v>1</v>
      </c>
      <c r="H131" s="762" t="s">
        <v>133</v>
      </c>
      <c r="I131" s="158" t="s">
        <v>117</v>
      </c>
      <c r="J131" s="760"/>
      <c r="K131" s="762" t="s">
        <v>134</v>
      </c>
      <c r="M131" s="1027" t="s">
        <v>144</v>
      </c>
      <c r="N131" s="149" t="s">
        <v>110</v>
      </c>
      <c r="O131" s="149" t="s">
        <v>274</v>
      </c>
    </row>
    <row r="132" spans="1:25" ht="15" customHeight="1" thickBot="1" x14ac:dyDescent="0.4">
      <c r="A132" s="761">
        <v>50</v>
      </c>
      <c r="B132" s="762" t="s">
        <v>131</v>
      </c>
      <c r="C132" s="762">
        <v>200</v>
      </c>
      <c r="D132" s="762" t="s">
        <v>102</v>
      </c>
      <c r="E132" s="762">
        <v>4130900</v>
      </c>
      <c r="F132" s="762" t="s">
        <v>136</v>
      </c>
      <c r="G132" s="762">
        <v>4</v>
      </c>
      <c r="H132" s="762" t="s">
        <v>133</v>
      </c>
      <c r="I132" s="158" t="s">
        <v>117</v>
      </c>
      <c r="J132" s="763"/>
      <c r="K132" s="762" t="s">
        <v>117</v>
      </c>
      <c r="M132" s="1028"/>
      <c r="N132" s="851" t="s">
        <v>260</v>
      </c>
      <c r="O132" s="851" t="s">
        <v>275</v>
      </c>
    </row>
    <row r="133" spans="1:25" ht="15" customHeight="1" thickTop="1" thickBot="1" x14ac:dyDescent="0.4">
      <c r="M133" s="149" t="s">
        <v>88</v>
      </c>
      <c r="N133" s="149" t="s">
        <v>110</v>
      </c>
      <c r="O133" s="149" t="s">
        <v>167</v>
      </c>
    </row>
    <row r="134" spans="1:25" ht="15" customHeight="1" thickBot="1" x14ac:dyDescent="0.4"/>
    <row r="135" spans="1:25" ht="15" customHeight="1" thickBot="1" x14ac:dyDescent="0.4">
      <c r="M135" s="145" t="s">
        <v>80</v>
      </c>
      <c r="N135" s="145" t="s">
        <v>81</v>
      </c>
      <c r="O135" s="145" t="s">
        <v>105</v>
      </c>
    </row>
    <row r="136" spans="1:25" ht="15" customHeight="1" thickTop="1" thickBot="1" x14ac:dyDescent="0.4">
      <c r="M136" s="149" t="s">
        <v>267</v>
      </c>
      <c r="N136" s="149" t="s">
        <v>275</v>
      </c>
      <c r="O136" s="149" t="s">
        <v>135</v>
      </c>
    </row>
    <row r="137" spans="1:25" ht="15" customHeight="1" x14ac:dyDescent="0.35">
      <c r="M137" s="851" t="s">
        <v>110</v>
      </c>
      <c r="N137" s="851" t="s">
        <v>276</v>
      </c>
      <c r="O137" s="851" t="s">
        <v>111</v>
      </c>
    </row>
    <row r="139" spans="1:25" ht="15" customHeight="1" thickBot="1" x14ac:dyDescent="0.4"/>
    <row r="140" spans="1:25" ht="15" customHeight="1" x14ac:dyDescent="0.35">
      <c r="A140" s="1029" t="s">
        <v>277</v>
      </c>
      <c r="B140" s="1030"/>
      <c r="C140" s="1030"/>
      <c r="D140" s="1030"/>
      <c r="E140" s="1030"/>
      <c r="F140" s="1030"/>
      <c r="G140" s="1030"/>
      <c r="H140" s="1030"/>
      <c r="I140" s="1030"/>
      <c r="J140" s="1030"/>
      <c r="K140" s="1030"/>
      <c r="L140" s="1030"/>
      <c r="M140" s="1030"/>
      <c r="N140" s="1030"/>
      <c r="O140" s="1030"/>
      <c r="P140" s="1030"/>
      <c r="Q140" s="1030"/>
      <c r="R140" s="1030"/>
      <c r="S140" s="1030"/>
      <c r="T140" s="1030"/>
      <c r="U140" s="1030"/>
      <c r="V140" s="1030"/>
      <c r="W140" s="1030"/>
      <c r="X140" s="1030"/>
      <c r="Y140" s="1031"/>
    </row>
    <row r="141" spans="1:25" ht="15" customHeight="1" x14ac:dyDescent="0.35">
      <c r="A141" s="962"/>
      <c r="B141" s="963"/>
      <c r="C141" s="963"/>
      <c r="D141" s="963"/>
      <c r="E141" s="963"/>
      <c r="F141" s="963"/>
      <c r="G141" s="963"/>
      <c r="H141" s="963"/>
      <c r="I141" s="963"/>
      <c r="J141" s="963"/>
      <c r="K141" s="963"/>
      <c r="L141" s="963"/>
      <c r="M141" s="963"/>
      <c r="N141" s="963"/>
      <c r="O141" s="963"/>
      <c r="P141" s="963"/>
      <c r="Q141" s="963"/>
      <c r="R141" s="963"/>
      <c r="S141" s="963"/>
      <c r="T141" s="963"/>
      <c r="U141" s="963"/>
      <c r="V141" s="963"/>
      <c r="W141" s="963"/>
      <c r="X141" s="963"/>
      <c r="Y141" s="964"/>
    </row>
    <row r="142" spans="1:25" ht="15" customHeight="1" x14ac:dyDescent="0.35">
      <c r="J142" t="s">
        <v>278</v>
      </c>
      <c r="W142"/>
      <c r="Y142"/>
    </row>
    <row r="143" spans="1:25" ht="15" customHeight="1" x14ac:dyDescent="0.35">
      <c r="F143" t="s">
        <v>279</v>
      </c>
      <c r="G143" t="s">
        <v>280</v>
      </c>
      <c r="H143" s="870">
        <v>44606</v>
      </c>
      <c r="I143" s="873">
        <v>0.68055555555555547</v>
      </c>
      <c r="J143">
        <v>6985</v>
      </c>
      <c r="K143">
        <v>6923</v>
      </c>
      <c r="L143">
        <f>J143-K143</f>
        <v>62</v>
      </c>
      <c r="M143" t="s">
        <v>281</v>
      </c>
      <c r="N143">
        <v>41</v>
      </c>
      <c r="W143"/>
      <c r="Y143"/>
    </row>
    <row r="144" spans="1:25" ht="15" customHeight="1" x14ac:dyDescent="0.35">
      <c r="G144" t="s">
        <v>282</v>
      </c>
      <c r="H144" s="870">
        <v>44603</v>
      </c>
      <c r="I144" s="873">
        <v>0.86875000000000002</v>
      </c>
      <c r="J144">
        <v>7010</v>
      </c>
      <c r="K144">
        <v>6971</v>
      </c>
      <c r="L144">
        <f t="shared" ref="L144:L145" si="0">J144-K144</f>
        <v>39</v>
      </c>
      <c r="W144"/>
      <c r="Y144"/>
    </row>
    <row r="145" spans="6:25" ht="15" customHeight="1" x14ac:dyDescent="0.35">
      <c r="G145" t="s">
        <v>283</v>
      </c>
      <c r="H145" s="870">
        <v>44420</v>
      </c>
      <c r="I145" s="873">
        <v>0.64861111111111114</v>
      </c>
      <c r="J145">
        <v>9762</v>
      </c>
      <c r="K145">
        <v>9741</v>
      </c>
      <c r="L145">
        <f t="shared" si="0"/>
        <v>21</v>
      </c>
      <c r="W145"/>
      <c r="Y145"/>
    </row>
    <row r="146" spans="6:25" ht="15" customHeight="1" x14ac:dyDescent="0.35">
      <c r="W146"/>
      <c r="Y146"/>
    </row>
    <row r="147" spans="6:25" ht="15" customHeight="1" x14ac:dyDescent="0.35">
      <c r="W147"/>
      <c r="Y147"/>
    </row>
    <row r="148" spans="6:25" ht="15" customHeight="1" x14ac:dyDescent="0.35">
      <c r="W148"/>
      <c r="Y148"/>
    </row>
    <row r="149" spans="6:25" ht="15" customHeight="1" x14ac:dyDescent="0.35">
      <c r="F149" t="s">
        <v>284</v>
      </c>
      <c r="G149" t="s">
        <v>285</v>
      </c>
      <c r="H149" s="870">
        <v>44564.898611111108</v>
      </c>
      <c r="I149" s="871">
        <v>0.89861111111111114</v>
      </c>
      <c r="J149">
        <v>6074</v>
      </c>
      <c r="K149">
        <v>6052</v>
      </c>
      <c r="L149">
        <f t="shared" ref="L149:L151" si="1">J149-K149</f>
        <v>22</v>
      </c>
      <c r="M149" t="s">
        <v>281</v>
      </c>
      <c r="N149">
        <v>61</v>
      </c>
      <c r="W149"/>
      <c r="Y149"/>
    </row>
    <row r="150" spans="6:25" ht="15" customHeight="1" x14ac:dyDescent="0.35">
      <c r="G150" t="s">
        <v>286</v>
      </c>
      <c r="H150" s="870">
        <v>44525</v>
      </c>
      <c r="I150" s="872">
        <v>5.8333333333333327E-2</v>
      </c>
      <c r="J150">
        <v>9228</v>
      </c>
      <c r="K150">
        <v>9083</v>
      </c>
      <c r="L150">
        <f t="shared" si="1"/>
        <v>145</v>
      </c>
      <c r="W150"/>
      <c r="Y150"/>
    </row>
    <row r="151" spans="6:25" ht="15" customHeight="1" x14ac:dyDescent="0.35">
      <c r="G151" t="s">
        <v>287</v>
      </c>
      <c r="H151" s="870">
        <v>44498</v>
      </c>
      <c r="I151" s="873">
        <v>0.63680555555555551</v>
      </c>
      <c r="J151">
        <v>9781</v>
      </c>
      <c r="K151">
        <v>9766</v>
      </c>
      <c r="L151">
        <f t="shared" si="1"/>
        <v>15</v>
      </c>
      <c r="W151"/>
      <c r="Y151"/>
    </row>
    <row r="152" spans="6:25" ht="15" customHeight="1" x14ac:dyDescent="0.35">
      <c r="J152" t="s">
        <v>288</v>
      </c>
      <c r="K152" t="s">
        <v>289</v>
      </c>
      <c r="L152" t="s">
        <v>290</v>
      </c>
      <c r="W152"/>
      <c r="Y152"/>
    </row>
    <row r="153" spans="6:25" ht="15" customHeight="1" x14ac:dyDescent="0.35">
      <c r="W153"/>
      <c r="Y153"/>
    </row>
    <row r="154" spans="6:25" ht="15" customHeight="1" x14ac:dyDescent="0.35">
      <c r="W154"/>
      <c r="Y154"/>
    </row>
    <row r="155" spans="6:25" ht="15" customHeight="1" x14ac:dyDescent="0.35">
      <c r="W155"/>
      <c r="Y155"/>
    </row>
    <row r="156" spans="6:25" ht="15" customHeight="1" x14ac:dyDescent="0.35">
      <c r="W156"/>
      <c r="Y156"/>
    </row>
    <row r="157" spans="6:25" ht="15" customHeight="1" x14ac:dyDescent="0.35">
      <c r="W157"/>
      <c r="Y157"/>
    </row>
    <row r="158" spans="6:25" ht="15" customHeight="1" x14ac:dyDescent="0.35">
      <c r="W158"/>
      <c r="Y158"/>
    </row>
    <row r="159" spans="6:25" ht="15" customHeight="1" x14ac:dyDescent="0.35">
      <c r="W159"/>
      <c r="Y159"/>
    </row>
    <row r="160" spans="6:25" ht="15" customHeight="1" x14ac:dyDescent="0.35">
      <c r="W160"/>
      <c r="Y160"/>
    </row>
    <row r="161" spans="1:25" ht="15" customHeight="1" x14ac:dyDescent="0.35">
      <c r="W161"/>
      <c r="Y161"/>
    </row>
    <row r="162" spans="1:25" ht="15" customHeight="1" x14ac:dyDescent="0.35">
      <c r="A162" s="962" t="s">
        <v>291</v>
      </c>
      <c r="B162" s="963"/>
      <c r="C162" s="963"/>
      <c r="D162" s="963"/>
      <c r="E162" s="963"/>
      <c r="F162" s="963"/>
      <c r="G162" s="963"/>
      <c r="H162" s="963"/>
      <c r="I162" s="963"/>
      <c r="J162" s="963"/>
      <c r="K162" s="963"/>
      <c r="L162" s="963"/>
      <c r="M162" s="963"/>
      <c r="N162" s="963"/>
      <c r="O162" s="963"/>
      <c r="P162" s="963"/>
      <c r="Q162" s="963"/>
      <c r="R162" s="963"/>
      <c r="S162" s="963"/>
      <c r="T162" s="963"/>
      <c r="U162" s="963"/>
      <c r="V162" s="963"/>
      <c r="W162" s="963"/>
      <c r="X162" s="963"/>
      <c r="Y162" s="964"/>
    </row>
    <row r="163" spans="1:25" ht="15" customHeight="1" thickBot="1" x14ac:dyDescent="0.4">
      <c r="A163" s="965"/>
      <c r="B163" s="966"/>
      <c r="C163" s="966"/>
      <c r="D163" s="966"/>
      <c r="E163" s="966"/>
      <c r="F163" s="966"/>
      <c r="G163" s="966"/>
      <c r="H163" s="966"/>
      <c r="I163" s="966"/>
      <c r="J163" s="966"/>
      <c r="K163" s="966"/>
      <c r="L163" s="966"/>
      <c r="M163" s="966"/>
      <c r="N163" s="966"/>
      <c r="O163" s="966"/>
      <c r="P163" s="966"/>
      <c r="Q163" s="966"/>
      <c r="R163" s="966"/>
      <c r="S163" s="966"/>
      <c r="T163" s="966"/>
      <c r="U163" s="966"/>
      <c r="V163" s="966"/>
      <c r="W163" s="966"/>
      <c r="X163" s="966"/>
      <c r="Y163" s="967"/>
    </row>
    <row r="164" spans="1:25" ht="15" customHeight="1" thickBot="1" x14ac:dyDescent="0.4">
      <c r="A164" s="88" t="s">
        <v>292</v>
      </c>
      <c r="B164" s="87"/>
      <c r="C164" s="87"/>
      <c r="D164" s="87"/>
      <c r="E164" s="87"/>
      <c r="F164" s="87"/>
      <c r="G164" s="87"/>
      <c r="H164" s="87"/>
      <c r="I164" s="87"/>
      <c r="J164" s="87"/>
      <c r="K164" s="87"/>
    </row>
    <row r="165" spans="1:25" ht="28.5" customHeight="1" thickBot="1" x14ac:dyDescent="0.4">
      <c r="A165" s="98" t="s">
        <v>68</v>
      </c>
      <c r="B165" s="97" t="s">
        <v>69</v>
      </c>
      <c r="C165" s="97" t="s">
        <v>70</v>
      </c>
      <c r="D165" s="97" t="s">
        <v>71</v>
      </c>
      <c r="E165" s="97" t="s">
        <v>72</v>
      </c>
      <c r="F165" s="97" t="s">
        <v>73</v>
      </c>
      <c r="G165" s="97" t="s">
        <v>74</v>
      </c>
      <c r="H165" s="97" t="s">
        <v>75</v>
      </c>
      <c r="I165" s="97" t="s">
        <v>76</v>
      </c>
      <c r="J165" s="97" t="s">
        <v>77</v>
      </c>
      <c r="K165" s="97" t="s">
        <v>78</v>
      </c>
    </row>
    <row r="166" spans="1:25" ht="15" customHeight="1" thickBot="1" x14ac:dyDescent="0.4">
      <c r="A166" s="1022" t="s">
        <v>293</v>
      </c>
      <c r="B166" s="1023"/>
      <c r="C166" s="1023"/>
      <c r="D166" s="1024"/>
      <c r="E166" s="95">
        <v>8006514</v>
      </c>
      <c r="F166" s="95" t="s">
        <v>294</v>
      </c>
      <c r="G166" s="96">
        <v>17400</v>
      </c>
      <c r="H166" s="95" t="s">
        <v>87</v>
      </c>
      <c r="I166" s="95"/>
      <c r="J166" s="95"/>
      <c r="K166" s="99"/>
    </row>
    <row r="167" spans="1:25" ht="15" customHeight="1" thickBot="1" x14ac:dyDescent="0.4">
      <c r="A167" s="93">
        <v>10</v>
      </c>
      <c r="B167" s="1013" t="s">
        <v>295</v>
      </c>
      <c r="C167" s="1014"/>
      <c r="D167" s="1014"/>
      <c r="E167" s="1014"/>
      <c r="F167" s="1014"/>
      <c r="G167" s="1014"/>
      <c r="H167" s="1014"/>
      <c r="I167" s="1014"/>
      <c r="J167" s="1014"/>
      <c r="K167" s="1015"/>
    </row>
    <row r="168" spans="1:25" ht="15" customHeight="1" thickBot="1" x14ac:dyDescent="0.4">
      <c r="A168" s="141">
        <v>20</v>
      </c>
      <c r="B168" s="90" t="s">
        <v>296</v>
      </c>
      <c r="C168" s="90">
        <v>10</v>
      </c>
      <c r="D168" s="90" t="s">
        <v>102</v>
      </c>
      <c r="E168" s="90">
        <v>8006808</v>
      </c>
      <c r="F168" s="90" t="s">
        <v>239</v>
      </c>
      <c r="G168" s="92">
        <v>17400</v>
      </c>
      <c r="H168" s="90" t="s">
        <v>87</v>
      </c>
      <c r="I168" s="90" t="s">
        <v>117</v>
      </c>
      <c r="J168" s="91"/>
      <c r="K168" s="90" t="s">
        <v>117</v>
      </c>
    </row>
    <row r="169" spans="1:25" ht="15" customHeight="1" thickBot="1" x14ac:dyDescent="0.4">
      <c r="A169" s="771">
        <v>20</v>
      </c>
      <c r="B169" s="142" t="s">
        <v>296</v>
      </c>
      <c r="C169" s="142">
        <v>20</v>
      </c>
      <c r="D169" s="142" t="s">
        <v>102</v>
      </c>
      <c r="E169" s="142">
        <v>3004540</v>
      </c>
      <c r="F169" s="142" t="s">
        <v>297</v>
      </c>
      <c r="G169" s="142">
        <v>12</v>
      </c>
      <c r="H169" s="142" t="s">
        <v>133</v>
      </c>
      <c r="I169" s="142" t="s">
        <v>117</v>
      </c>
      <c r="J169" s="91"/>
      <c r="K169" s="1025" t="s">
        <v>117</v>
      </c>
    </row>
    <row r="170" spans="1:25" ht="15" customHeight="1" thickBot="1" x14ac:dyDescent="0.4">
      <c r="A170" s="771">
        <v>20</v>
      </c>
      <c r="B170" s="142" t="s">
        <v>296</v>
      </c>
      <c r="C170" s="142">
        <v>30</v>
      </c>
      <c r="D170" s="142" t="s">
        <v>102</v>
      </c>
      <c r="E170" s="142">
        <v>4130900</v>
      </c>
      <c r="F170" s="142" t="s">
        <v>136</v>
      </c>
      <c r="G170" s="142">
        <v>12</v>
      </c>
      <c r="H170" s="142" t="s">
        <v>133</v>
      </c>
      <c r="I170" s="142" t="s">
        <v>117</v>
      </c>
      <c r="J170" s="89"/>
      <c r="K170" s="1026"/>
    </row>
    <row r="171" spans="1:25" ht="15" customHeight="1" x14ac:dyDescent="0.35">
      <c r="A171" s="87"/>
      <c r="B171" s="87"/>
      <c r="C171" s="87"/>
      <c r="D171" s="87"/>
      <c r="E171" s="87"/>
      <c r="F171" s="87"/>
      <c r="G171" s="87"/>
      <c r="H171" s="87"/>
      <c r="I171" s="87"/>
      <c r="J171" s="87"/>
      <c r="K171" s="87"/>
    </row>
    <row r="172" spans="1:25" ht="15" customHeight="1" thickBot="1" x14ac:dyDescent="0.4">
      <c r="A172" s="88" t="s">
        <v>298</v>
      </c>
      <c r="B172" s="87"/>
      <c r="C172" s="87"/>
      <c r="D172" s="87"/>
      <c r="E172" s="87"/>
      <c r="F172" s="87"/>
      <c r="G172" s="87"/>
      <c r="H172" s="87"/>
      <c r="I172" s="87"/>
      <c r="J172" s="87"/>
      <c r="K172" s="87"/>
    </row>
    <row r="173" spans="1:25" ht="15" customHeight="1" thickBot="1" x14ac:dyDescent="0.4">
      <c r="A173" s="98" t="s">
        <v>68</v>
      </c>
      <c r="B173" s="97" t="s">
        <v>69</v>
      </c>
      <c r="C173" s="97" t="s">
        <v>70</v>
      </c>
      <c r="D173" s="97" t="s">
        <v>71</v>
      </c>
      <c r="E173" s="97" t="s">
        <v>72</v>
      </c>
      <c r="F173" s="97" t="s">
        <v>73</v>
      </c>
      <c r="G173" s="97" t="s">
        <v>74</v>
      </c>
      <c r="H173" s="97" t="s">
        <v>75</v>
      </c>
      <c r="I173" s="97" t="s">
        <v>76</v>
      </c>
      <c r="J173" s="97" t="s">
        <v>77</v>
      </c>
      <c r="K173" s="97" t="s">
        <v>78</v>
      </c>
    </row>
    <row r="174" spans="1:25" ht="15" customHeight="1" thickBot="1" x14ac:dyDescent="0.4">
      <c r="A174" s="1022" t="s">
        <v>299</v>
      </c>
      <c r="B174" s="1023"/>
      <c r="C174" s="1023"/>
      <c r="D174" s="1024"/>
      <c r="E174" s="95">
        <v>8006809</v>
      </c>
      <c r="F174" s="95" t="s">
        <v>300</v>
      </c>
      <c r="G174" s="96">
        <v>10000</v>
      </c>
      <c r="H174" s="95" t="s">
        <v>87</v>
      </c>
      <c r="I174" s="95"/>
      <c r="J174" s="95"/>
      <c r="K174" s="94"/>
    </row>
    <row r="175" spans="1:25" ht="15" customHeight="1" thickBot="1" x14ac:dyDescent="0.4">
      <c r="A175" s="93">
        <v>10</v>
      </c>
      <c r="B175" s="1013" t="s">
        <v>301</v>
      </c>
      <c r="C175" s="1014"/>
      <c r="D175" s="1014"/>
      <c r="E175" s="1014"/>
      <c r="F175" s="1014"/>
      <c r="G175" s="1014"/>
      <c r="H175" s="1014"/>
      <c r="I175" s="1014"/>
      <c r="J175" s="1014"/>
      <c r="K175" s="1015"/>
    </row>
    <row r="176" spans="1:25" ht="15" customHeight="1" thickBot="1" x14ac:dyDescent="0.4">
      <c r="A176" s="141">
        <v>20</v>
      </c>
      <c r="B176" s="90" t="s">
        <v>296</v>
      </c>
      <c r="C176" s="90">
        <v>10</v>
      </c>
      <c r="D176" s="90" t="s">
        <v>102</v>
      </c>
      <c r="E176" s="90">
        <v>8006808</v>
      </c>
      <c r="F176" s="90" t="s">
        <v>239</v>
      </c>
      <c r="G176" s="92">
        <v>10000</v>
      </c>
      <c r="H176" s="90" t="s">
        <v>87</v>
      </c>
      <c r="I176" s="90" t="s">
        <v>117</v>
      </c>
      <c r="J176" s="91"/>
      <c r="K176" s="90" t="s">
        <v>117</v>
      </c>
    </row>
    <row r="177" spans="1:11" ht="15" customHeight="1" thickBot="1" x14ac:dyDescent="0.4">
      <c r="A177" s="771">
        <v>20</v>
      </c>
      <c r="B177" s="142" t="s">
        <v>296</v>
      </c>
      <c r="C177" s="142">
        <v>20</v>
      </c>
      <c r="D177" s="142" t="s">
        <v>102</v>
      </c>
      <c r="E177" s="142">
        <v>4130900</v>
      </c>
      <c r="F177" s="142" t="s">
        <v>136</v>
      </c>
      <c r="G177" s="142">
        <v>2</v>
      </c>
      <c r="H177" s="142" t="s">
        <v>133</v>
      </c>
      <c r="I177" s="142" t="s">
        <v>117</v>
      </c>
      <c r="J177" s="89"/>
      <c r="K177" s="142" t="s">
        <v>117</v>
      </c>
    </row>
    <row r="178" spans="1:11" ht="15" customHeight="1" thickBot="1" x14ac:dyDescent="0.4"/>
    <row r="179" spans="1:11" ht="15" customHeight="1" x14ac:dyDescent="0.35">
      <c r="A179" s="1029" t="s">
        <v>302</v>
      </c>
      <c r="B179" s="1030"/>
      <c r="C179" s="1030"/>
      <c r="D179" s="1030"/>
      <c r="E179" s="1030"/>
      <c r="F179" s="1030"/>
      <c r="G179" s="1030"/>
      <c r="H179" s="1030"/>
      <c r="I179" s="1030"/>
      <c r="J179" s="1030"/>
      <c r="K179" s="1031"/>
    </row>
    <row r="180" spans="1:11" ht="15" customHeight="1" thickBot="1" x14ac:dyDescent="0.4">
      <c r="A180" s="965"/>
      <c r="B180" s="966"/>
      <c r="C180" s="966"/>
      <c r="D180" s="966"/>
      <c r="E180" s="966"/>
      <c r="F180" s="966"/>
      <c r="G180" s="966"/>
      <c r="H180" s="966"/>
      <c r="I180" s="966"/>
      <c r="J180" s="966"/>
      <c r="K180" s="967"/>
    </row>
    <row r="181" spans="1:11" ht="15" customHeight="1" thickBot="1" x14ac:dyDescent="0.4">
      <c r="A181" s="1033" t="s">
        <v>303</v>
      </c>
      <c r="B181" s="1034"/>
      <c r="C181" s="1034"/>
      <c r="D181" s="1034"/>
      <c r="E181" s="1035"/>
    </row>
    <row r="182" spans="1:11" ht="15" customHeight="1" thickBot="1" x14ac:dyDescent="0.4">
      <c r="A182" s="208" t="s">
        <v>304</v>
      </c>
      <c r="B182" s="209" t="s">
        <v>305</v>
      </c>
      <c r="C182" s="205"/>
      <c r="D182" s="210" t="s">
        <v>306</v>
      </c>
      <c r="E182" s="209" t="s">
        <v>305</v>
      </c>
    </row>
    <row r="183" spans="1:11" ht="15" customHeight="1" thickTop="1" thickBot="1" x14ac:dyDescent="0.4">
      <c r="A183" s="1036" t="s">
        <v>307</v>
      </c>
      <c r="B183" s="226" t="s">
        <v>308</v>
      </c>
      <c r="C183" s="205"/>
      <c r="D183" s="1039" t="s">
        <v>309</v>
      </c>
      <c r="E183" s="226" t="s">
        <v>310</v>
      </c>
    </row>
    <row r="184" spans="1:11" ht="15" customHeight="1" thickTop="1" thickBot="1" x14ac:dyDescent="0.4">
      <c r="A184" s="1037"/>
      <c r="B184" s="226" t="s">
        <v>311</v>
      </c>
      <c r="C184" s="205"/>
      <c r="D184" s="1040"/>
      <c r="E184" s="226" t="s">
        <v>312</v>
      </c>
    </row>
    <row r="185" spans="1:11" ht="15" customHeight="1" thickTop="1" thickBot="1" x14ac:dyDescent="0.4">
      <c r="A185" s="1037"/>
      <c r="B185" s="226" t="s">
        <v>313</v>
      </c>
      <c r="C185" s="205"/>
    </row>
    <row r="186" spans="1:11" ht="15" customHeight="1" thickTop="1" thickBot="1" x14ac:dyDescent="0.4">
      <c r="A186" s="1038"/>
      <c r="B186" s="226" t="s">
        <v>314</v>
      </c>
      <c r="C186" s="205"/>
      <c r="D186" s="206" t="s">
        <v>315</v>
      </c>
      <c r="E186" s="204" t="s">
        <v>305</v>
      </c>
    </row>
    <row r="187" spans="1:11" ht="15" customHeight="1" thickTop="1" thickBot="1" x14ac:dyDescent="0.4">
      <c r="A187" s="207" t="s">
        <v>316</v>
      </c>
      <c r="B187" s="209" t="s">
        <v>305</v>
      </c>
      <c r="C187" s="205"/>
      <c r="D187" s="1037" t="s">
        <v>317</v>
      </c>
      <c r="E187" s="226" t="s">
        <v>318</v>
      </c>
    </row>
    <row r="188" spans="1:11" ht="15" customHeight="1" thickTop="1" thickBot="1" x14ac:dyDescent="0.4">
      <c r="A188" s="1036" t="s">
        <v>307</v>
      </c>
      <c r="B188" s="226" t="s">
        <v>308</v>
      </c>
      <c r="C188" s="205"/>
      <c r="D188" s="1037"/>
      <c r="E188" s="226" t="s">
        <v>319</v>
      </c>
    </row>
    <row r="189" spans="1:11" ht="16.399999999999999" customHeight="1" thickTop="1" thickBot="1" x14ac:dyDescent="0.4">
      <c r="A189" s="1037"/>
      <c r="B189" s="226" t="s">
        <v>311</v>
      </c>
      <c r="C189" s="205"/>
      <c r="D189" s="1037"/>
      <c r="E189" s="226" t="s">
        <v>320</v>
      </c>
    </row>
    <row r="190" spans="1:11" ht="18" customHeight="1" thickTop="1" thickBot="1" x14ac:dyDescent="0.4">
      <c r="A190" s="1037"/>
      <c r="B190" s="226" t="s">
        <v>313</v>
      </c>
      <c r="C190" s="205"/>
      <c r="D190" s="1037"/>
      <c r="E190" s="226" t="s">
        <v>314</v>
      </c>
    </row>
    <row r="191" spans="1:11" ht="22.4" customHeight="1" thickTop="1" thickBot="1" x14ac:dyDescent="0.4">
      <c r="A191" s="1038"/>
      <c r="B191" s="226" t="s">
        <v>314</v>
      </c>
      <c r="C191" s="205"/>
      <c r="D191" s="1037"/>
      <c r="E191" s="226" t="s">
        <v>321</v>
      </c>
    </row>
    <row r="192" spans="1:11" ht="28.4" customHeight="1" thickTop="1" thickBot="1" x14ac:dyDescent="0.4">
      <c r="A192" s="207" t="s">
        <v>322</v>
      </c>
      <c r="B192" s="209" t="s">
        <v>305</v>
      </c>
      <c r="C192" s="205"/>
      <c r="D192" s="1037"/>
      <c r="E192" s="226" t="s">
        <v>323</v>
      </c>
    </row>
    <row r="193" spans="1:5" ht="15" customHeight="1" thickTop="1" thickBot="1" x14ac:dyDescent="0.4">
      <c r="A193" s="1036" t="s">
        <v>317</v>
      </c>
      <c r="B193" s="226" t="s">
        <v>308</v>
      </c>
      <c r="C193" s="205"/>
      <c r="D193" s="1041"/>
      <c r="E193" s="227" t="s">
        <v>324</v>
      </c>
    </row>
    <row r="194" spans="1:5" ht="15" customHeight="1" thickTop="1" thickBot="1" x14ac:dyDescent="0.4">
      <c r="A194" s="1037"/>
      <c r="B194" s="226" t="s">
        <v>311</v>
      </c>
      <c r="C194" s="205"/>
      <c r="D194" s="205"/>
      <c r="E194" s="205"/>
    </row>
    <row r="195" spans="1:5" ht="15" customHeight="1" thickTop="1" thickBot="1" x14ac:dyDescent="0.4">
      <c r="A195" s="1037"/>
      <c r="B195" s="226" t="s">
        <v>313</v>
      </c>
      <c r="C195" s="205"/>
      <c r="D195" s="205"/>
      <c r="E195" s="205"/>
    </row>
    <row r="196" spans="1:5" ht="16.399999999999999" customHeight="1" thickTop="1" thickBot="1" x14ac:dyDescent="0.4">
      <c r="A196" s="1037"/>
      <c r="B196" s="226" t="s">
        <v>314</v>
      </c>
      <c r="C196" s="205"/>
      <c r="D196" s="205"/>
      <c r="E196" s="205"/>
    </row>
    <row r="197" spans="1:5" ht="26.9" customHeight="1" thickTop="1" thickBot="1" x14ac:dyDescent="0.4">
      <c r="A197" s="1037"/>
      <c r="B197" s="226" t="s">
        <v>321</v>
      </c>
      <c r="C197" s="205"/>
      <c r="D197" s="205"/>
      <c r="E197" s="205"/>
    </row>
    <row r="198" spans="1:5" ht="36" customHeight="1" thickTop="1" thickBot="1" x14ac:dyDescent="0.4">
      <c r="A198" s="1037"/>
      <c r="B198" s="226" t="s">
        <v>323</v>
      </c>
      <c r="C198" s="205"/>
      <c r="D198" s="205"/>
      <c r="E198" s="205"/>
    </row>
    <row r="199" spans="1:5" ht="30" customHeight="1" thickTop="1" thickBot="1" x14ac:dyDescent="0.4">
      <c r="A199" s="1038"/>
      <c r="B199" s="226" t="s">
        <v>325</v>
      </c>
      <c r="C199" s="205"/>
      <c r="D199" s="205"/>
      <c r="E199" s="205"/>
    </row>
    <row r="200" spans="1:5" ht="15" customHeight="1" thickTop="1" x14ac:dyDescent="0.35"/>
    <row r="201" spans="1:5" ht="15" customHeight="1" x14ac:dyDescent="0.35">
      <c r="A201" s="1032" t="s">
        <v>326</v>
      </c>
      <c r="B201" s="1032"/>
    </row>
  </sheetData>
  <mergeCells count="83">
    <mergeCell ref="A201:B201"/>
    <mergeCell ref="A179:K180"/>
    <mergeCell ref="A181:E181"/>
    <mergeCell ref="A183:A186"/>
    <mergeCell ref="D183:D184"/>
    <mergeCell ref="D187:D193"/>
    <mergeCell ref="A188:A191"/>
    <mergeCell ref="A193:A199"/>
    <mergeCell ref="B175:K175"/>
    <mergeCell ref="B112:K112"/>
    <mergeCell ref="K113:K120"/>
    <mergeCell ref="J115:J116"/>
    <mergeCell ref="Q115:Q116"/>
    <mergeCell ref="J122:J126"/>
    <mergeCell ref="K122:K126"/>
    <mergeCell ref="Q124:Q125"/>
    <mergeCell ref="Q126:Q127"/>
    <mergeCell ref="K127:K129"/>
    <mergeCell ref="A166:D166"/>
    <mergeCell ref="B167:K167"/>
    <mergeCell ref="K169:K170"/>
    <mergeCell ref="A174:D174"/>
    <mergeCell ref="M131:M132"/>
    <mergeCell ref="A140:Y141"/>
    <mergeCell ref="I75:I76"/>
    <mergeCell ref="A111:D111"/>
    <mergeCell ref="J78:J79"/>
    <mergeCell ref="K78:K79"/>
    <mergeCell ref="V85:X85"/>
    <mergeCell ref="A87:D87"/>
    <mergeCell ref="B88:K88"/>
    <mergeCell ref="K89:K95"/>
    <mergeCell ref="Q97:Q98"/>
    <mergeCell ref="Q99:Q100"/>
    <mergeCell ref="V109:X109"/>
    <mergeCell ref="K56:K57"/>
    <mergeCell ref="K75:K76"/>
    <mergeCell ref="V62:X62"/>
    <mergeCell ref="A64:D64"/>
    <mergeCell ref="B65:K65"/>
    <mergeCell ref="J66:J76"/>
    <mergeCell ref="K66:K72"/>
    <mergeCell ref="K73:K74"/>
    <mergeCell ref="A75:A76"/>
    <mergeCell ref="B75:B76"/>
    <mergeCell ref="C75:C76"/>
    <mergeCell ref="D75:D76"/>
    <mergeCell ref="E75:E76"/>
    <mergeCell ref="F75:F76"/>
    <mergeCell ref="G75:G76"/>
    <mergeCell ref="H75:H76"/>
    <mergeCell ref="J38:J55"/>
    <mergeCell ref="A56:A57"/>
    <mergeCell ref="B56:B57"/>
    <mergeCell ref="C56:C57"/>
    <mergeCell ref="D56:D57"/>
    <mergeCell ref="E56:E57"/>
    <mergeCell ref="F56:F57"/>
    <mergeCell ref="G56:G57"/>
    <mergeCell ref="H56:H57"/>
    <mergeCell ref="I56:I57"/>
    <mergeCell ref="J56:J57"/>
    <mergeCell ref="H2:J2"/>
    <mergeCell ref="A7:Y8"/>
    <mergeCell ref="AB7:AC8"/>
    <mergeCell ref="V9:X9"/>
    <mergeCell ref="A11:D11"/>
    <mergeCell ref="A60:Y61"/>
    <mergeCell ref="A83:Y84"/>
    <mergeCell ref="A162:Y163"/>
    <mergeCell ref="A107:Y108"/>
    <mergeCell ref="B12:K12"/>
    <mergeCell ref="Q45:Q46"/>
    <mergeCell ref="K13:K19"/>
    <mergeCell ref="Q20:Q21"/>
    <mergeCell ref="A29:Y30"/>
    <mergeCell ref="V31:X31"/>
    <mergeCell ref="A33:D33"/>
    <mergeCell ref="B34:K34"/>
    <mergeCell ref="K35:K55"/>
    <mergeCell ref="A36:A37"/>
    <mergeCell ref="B36:B37"/>
    <mergeCell ref="J36:J37"/>
  </mergeCells>
  <hyperlinks>
    <hyperlink ref="H2:J2" r:id="rId1" display="F&amp;E Dashboard" xr:uid="{85081418-BE67-4C81-82A7-82E9FF42EAA5}"/>
  </hyperlinks>
  <pageMargins left="0.7" right="0.7" top="0.75" bottom="0.75" header="0.3" footer="0.3"/>
  <pageSetup orientation="portrait" horizontalDpi="200" verticalDpi="200" r:id="rId2"/>
  <headerFooter>
    <oddFooter>&amp;C&amp;1#&amp;"Calibri"&amp;10&amp;K000000 Non-Amgen</oddFooter>
  </headerFooter>
  <drawing r:id="rId3"/>
  <legacyDrawing r:id="rId4"/>
  <controls>
    <mc:AlternateContent xmlns:mc="http://schemas.openxmlformats.org/markup-compatibility/2006">
      <mc:Choice Requires="x14">
        <control shapeId="402433" r:id="rId5" name="CommandButton1">
          <controlPr defaultSize="0" autoLine="0" r:id="rId6">
            <anchor>
              <from>
                <xdr:col>0</xdr:col>
                <xdr:colOff>609600</xdr:colOff>
                <xdr:row>1</xdr:row>
                <xdr:rowOff>31750</xdr:rowOff>
              </from>
              <to>
                <xdr:col>1</xdr:col>
                <xdr:colOff>501650</xdr:colOff>
                <xdr:row>2</xdr:row>
                <xdr:rowOff>50800</xdr:rowOff>
              </to>
            </anchor>
          </controlPr>
        </control>
      </mc:Choice>
      <mc:Fallback>
        <control shapeId="402433" r:id="rId5" name="CommandButton1"/>
      </mc:Fallback>
    </mc:AlternateContent>
    <mc:AlternateContent xmlns:mc="http://schemas.openxmlformats.org/markup-compatibility/2006">
      <mc:Choice Requires="x14">
        <control shapeId="402434" r:id="rId7" name="CommandButton2">
          <controlPr defaultSize="0" autoLine="0" r:id="rId8">
            <anchor>
              <from>
                <xdr:col>1</xdr:col>
                <xdr:colOff>1752600</xdr:colOff>
                <xdr:row>1</xdr:row>
                <xdr:rowOff>0</xdr:rowOff>
              </from>
              <to>
                <xdr:col>3</xdr:col>
                <xdr:colOff>419100</xdr:colOff>
                <xdr:row>2</xdr:row>
                <xdr:rowOff>152400</xdr:rowOff>
              </to>
            </anchor>
          </controlPr>
        </control>
      </mc:Choice>
      <mc:Fallback>
        <control shapeId="402434" r:id="rId7" name="CommandButton2"/>
      </mc:Fallback>
    </mc:AlternateContent>
    <mc:AlternateContent xmlns:mc="http://schemas.openxmlformats.org/markup-compatibility/2006">
      <mc:Choice Requires="x14">
        <control shapeId="402435" r:id="rId9" name="CommandButton6">
          <controlPr defaultSize="0" autoLine="0" r:id="rId10">
            <anchor>
              <from>
                <xdr:col>7</xdr:col>
                <xdr:colOff>184150</xdr:colOff>
                <xdr:row>1</xdr:row>
                <xdr:rowOff>0</xdr:rowOff>
              </from>
              <to>
                <xdr:col>7</xdr:col>
                <xdr:colOff>908050</xdr:colOff>
                <xdr:row>2</xdr:row>
                <xdr:rowOff>38100</xdr:rowOff>
              </to>
            </anchor>
          </controlPr>
        </control>
      </mc:Choice>
      <mc:Fallback>
        <control shapeId="402435" r:id="rId9" name="CommandButton6"/>
      </mc:Fallback>
    </mc:AlternateContent>
    <mc:AlternateContent xmlns:mc="http://schemas.openxmlformats.org/markup-compatibility/2006">
      <mc:Choice Requires="x14">
        <control shapeId="402436" r:id="rId11" name="CommandButton5">
          <controlPr defaultSize="0" autoLine="0" r:id="rId12">
            <anchor>
              <from>
                <xdr:col>5</xdr:col>
                <xdr:colOff>2019300</xdr:colOff>
                <xdr:row>0</xdr:row>
                <xdr:rowOff>184150</xdr:rowOff>
              </from>
              <to>
                <xdr:col>6</xdr:col>
                <xdr:colOff>158750</xdr:colOff>
                <xdr:row>2</xdr:row>
                <xdr:rowOff>184150</xdr:rowOff>
              </to>
            </anchor>
          </controlPr>
        </control>
      </mc:Choice>
      <mc:Fallback>
        <control shapeId="402436" r:id="rId11" name="CommandButton5"/>
      </mc:Fallback>
    </mc:AlternateContent>
    <mc:AlternateContent xmlns:mc="http://schemas.openxmlformats.org/markup-compatibility/2006">
      <mc:Choice Requires="x14">
        <control shapeId="402437" r:id="rId13" name="CommandButton4">
          <controlPr defaultSize="0" autoLine="0" r:id="rId14">
            <anchor>
              <from>
                <xdr:col>5</xdr:col>
                <xdr:colOff>0</xdr:colOff>
                <xdr:row>0</xdr:row>
                <xdr:rowOff>184150</xdr:rowOff>
              </from>
              <to>
                <xdr:col>5</xdr:col>
                <xdr:colOff>1117600</xdr:colOff>
                <xdr:row>2</xdr:row>
                <xdr:rowOff>184150</xdr:rowOff>
              </to>
            </anchor>
          </controlPr>
        </control>
      </mc:Choice>
      <mc:Fallback>
        <control shapeId="402437" r:id="rId13" name="CommandButton4"/>
      </mc:Fallback>
    </mc:AlternateContent>
    <mc:AlternateContent xmlns:mc="http://schemas.openxmlformats.org/markup-compatibility/2006">
      <mc:Choice Requires="x14">
        <control shapeId="402438" r:id="rId15" name="CommandButton3">
          <controlPr defaultSize="0" autoLine="0" r:id="rId16">
            <anchor>
              <from>
                <xdr:col>4</xdr:col>
                <xdr:colOff>266700</xdr:colOff>
                <xdr:row>0</xdr:row>
                <xdr:rowOff>184150</xdr:rowOff>
              </from>
              <to>
                <xdr:col>4</xdr:col>
                <xdr:colOff>1263650</xdr:colOff>
                <xdr:row>2</xdr:row>
                <xdr:rowOff>184150</xdr:rowOff>
              </to>
            </anchor>
          </controlPr>
        </control>
      </mc:Choice>
      <mc:Fallback>
        <control shapeId="402438" r:id="rId15" name="CommandButton3"/>
      </mc:Fallback>
    </mc:AlternateContent>
    <mc:AlternateContent xmlns:mc="http://schemas.openxmlformats.org/markup-compatibility/2006">
      <mc:Choice Requires="x14">
        <control shapeId="402439" r:id="rId17" name="Reference">
          <controlPr defaultSize="0" autoLine="0" r:id="rId18">
            <anchor>
              <from>
                <xdr:col>8</xdr:col>
                <xdr:colOff>419100</xdr:colOff>
                <xdr:row>1</xdr:row>
                <xdr:rowOff>0</xdr:rowOff>
              </from>
              <to>
                <xdr:col>10</xdr:col>
                <xdr:colOff>342900</xdr:colOff>
                <xdr:row>3</xdr:row>
                <xdr:rowOff>0</xdr:rowOff>
              </to>
            </anchor>
          </controlPr>
        </control>
      </mc:Choice>
      <mc:Fallback>
        <control shapeId="402439" r:id="rId17" name="Reference"/>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6D0A90-68D5-4DFE-AEDD-506C2C53CD59}">
  <sheetPr codeName="Sheet22"/>
  <dimension ref="A1:K53"/>
  <sheetViews>
    <sheetView zoomScale="90" zoomScaleNormal="90" workbookViewId="0">
      <pane ySplit="11" topLeftCell="A12" activePane="bottomLeft" state="frozen"/>
      <selection activeCell="C1" sqref="C1"/>
      <selection pane="bottomLeft" activeCell="A12" sqref="A12:XFD12"/>
    </sheetView>
  </sheetViews>
  <sheetFormatPr defaultRowHeight="14.5" x14ac:dyDescent="0.35"/>
  <cols>
    <col min="1" max="1" width="6.453125" style="130" customWidth="1"/>
    <col min="2" max="2" width="13.54296875" style="311" customWidth="1"/>
    <col min="3" max="3" width="45.54296875" style="130" customWidth="1"/>
    <col min="4" max="4" width="36.453125" style="130" customWidth="1"/>
    <col min="5" max="5" width="39.453125" style="130" customWidth="1"/>
    <col min="6" max="6" width="18.54296875" style="311" customWidth="1"/>
    <col min="7" max="7" width="15.453125" style="130" customWidth="1"/>
    <col min="8" max="8" width="16.453125" style="130" customWidth="1"/>
    <col min="9" max="9" width="48.54296875" style="130" customWidth="1"/>
    <col min="10" max="11" width="8.54296875" style="125"/>
  </cols>
  <sheetData>
    <row r="1" spans="1:9" s="368" customFormat="1" ht="29" x14ac:dyDescent="0.35">
      <c r="A1" s="366" t="s">
        <v>327</v>
      </c>
      <c r="B1" s="367" t="s">
        <v>328</v>
      </c>
      <c r="C1" s="366" t="s">
        <v>329</v>
      </c>
      <c r="D1" s="366" t="s">
        <v>330</v>
      </c>
      <c r="E1" s="366" t="s">
        <v>331</v>
      </c>
      <c r="F1" s="367" t="s">
        <v>332</v>
      </c>
      <c r="G1" s="366" t="s">
        <v>333</v>
      </c>
      <c r="H1" s="366" t="s">
        <v>334</v>
      </c>
      <c r="I1" s="366" t="s">
        <v>335</v>
      </c>
    </row>
    <row r="2" spans="1:9" ht="72.5" hidden="1" x14ac:dyDescent="0.35">
      <c r="A2" s="401">
        <v>1</v>
      </c>
      <c r="B2" s="402">
        <v>43915</v>
      </c>
      <c r="C2" s="403" t="s">
        <v>336</v>
      </c>
      <c r="D2" s="403" t="s">
        <v>337</v>
      </c>
      <c r="E2" s="440" t="s">
        <v>338</v>
      </c>
      <c r="F2" s="402">
        <v>43951</v>
      </c>
      <c r="G2" s="401" t="s">
        <v>339</v>
      </c>
      <c r="H2" s="401" t="s">
        <v>340</v>
      </c>
      <c r="I2" s="403" t="s">
        <v>341</v>
      </c>
    </row>
    <row r="3" spans="1:9" ht="29" hidden="1" x14ac:dyDescent="0.35">
      <c r="A3" s="401">
        <v>2</v>
      </c>
      <c r="B3" s="402">
        <v>43915</v>
      </c>
      <c r="C3" s="403" t="s">
        <v>342</v>
      </c>
      <c r="D3" s="403" t="s">
        <v>343</v>
      </c>
      <c r="E3" s="403" t="s">
        <v>344</v>
      </c>
      <c r="F3" s="402">
        <v>43917</v>
      </c>
      <c r="G3" s="401" t="s">
        <v>345</v>
      </c>
      <c r="H3" s="401" t="s">
        <v>340</v>
      </c>
      <c r="I3" s="404"/>
    </row>
    <row r="4" spans="1:9" ht="72.5" hidden="1" x14ac:dyDescent="0.35">
      <c r="A4" s="401">
        <v>3</v>
      </c>
      <c r="B4" s="402">
        <v>43922</v>
      </c>
      <c r="C4" s="403" t="s">
        <v>346</v>
      </c>
      <c r="D4" s="403" t="s">
        <v>347</v>
      </c>
      <c r="E4" s="403" t="s">
        <v>348</v>
      </c>
      <c r="F4" s="402">
        <v>43938</v>
      </c>
      <c r="G4" s="447" t="s">
        <v>349</v>
      </c>
      <c r="H4" s="401" t="s">
        <v>340</v>
      </c>
      <c r="I4" s="403" t="s">
        <v>350</v>
      </c>
    </row>
    <row r="5" spans="1:9" ht="101.5" hidden="1" x14ac:dyDescent="0.35">
      <c r="A5" s="401">
        <v>4</v>
      </c>
      <c r="B5" s="402">
        <v>43929</v>
      </c>
      <c r="C5" s="403" t="s">
        <v>351</v>
      </c>
      <c r="D5" s="403" t="s">
        <v>352</v>
      </c>
      <c r="E5" s="403" t="s">
        <v>353</v>
      </c>
      <c r="F5" s="402">
        <v>43938</v>
      </c>
      <c r="G5" s="447" t="s">
        <v>339</v>
      </c>
      <c r="H5" s="401" t="s">
        <v>340</v>
      </c>
      <c r="I5" s="403" t="s">
        <v>354</v>
      </c>
    </row>
    <row r="6" spans="1:9" ht="72.5" hidden="1" x14ac:dyDescent="0.35">
      <c r="A6" s="401">
        <v>5</v>
      </c>
      <c r="B6" s="402">
        <v>43971</v>
      </c>
      <c r="C6" s="403" t="s">
        <v>355</v>
      </c>
      <c r="D6" s="403" t="s">
        <v>356</v>
      </c>
      <c r="E6" s="403" t="s">
        <v>357</v>
      </c>
      <c r="F6" s="402">
        <v>43997</v>
      </c>
      <c r="G6" s="401" t="s">
        <v>358</v>
      </c>
      <c r="H6" s="401" t="s">
        <v>340</v>
      </c>
      <c r="I6" s="729" t="s">
        <v>359</v>
      </c>
    </row>
    <row r="7" spans="1:9" ht="362.5" hidden="1" x14ac:dyDescent="0.35">
      <c r="A7" s="401">
        <v>6</v>
      </c>
      <c r="B7" s="402">
        <v>44293</v>
      </c>
      <c r="C7" s="403" t="s">
        <v>360</v>
      </c>
      <c r="D7" s="403" t="s">
        <v>361</v>
      </c>
      <c r="E7" s="403" t="s">
        <v>362</v>
      </c>
      <c r="F7" s="402">
        <v>44382</v>
      </c>
      <c r="G7" s="401" t="s">
        <v>363</v>
      </c>
      <c r="H7" s="401" t="s">
        <v>340</v>
      </c>
      <c r="I7" s="729" t="s">
        <v>364</v>
      </c>
    </row>
    <row r="8" spans="1:9" ht="43.5" hidden="1" x14ac:dyDescent="0.35">
      <c r="A8" s="401">
        <v>7</v>
      </c>
      <c r="B8" s="402">
        <v>44293</v>
      </c>
      <c r="C8" s="403" t="s">
        <v>365</v>
      </c>
      <c r="D8" s="403" t="s">
        <v>366</v>
      </c>
      <c r="E8" s="404" t="s">
        <v>367</v>
      </c>
      <c r="F8" s="402">
        <v>44295</v>
      </c>
      <c r="G8" s="401" t="s">
        <v>368</v>
      </c>
      <c r="H8" s="401" t="s">
        <v>340</v>
      </c>
      <c r="I8" s="401"/>
    </row>
    <row r="9" spans="1:9" ht="188.5" hidden="1" x14ac:dyDescent="0.35">
      <c r="A9" s="401">
        <v>8</v>
      </c>
      <c r="B9" s="402">
        <v>44300</v>
      </c>
      <c r="C9" s="403" t="s">
        <v>369</v>
      </c>
      <c r="D9" s="403" t="s">
        <v>370</v>
      </c>
      <c r="E9" s="403" t="s">
        <v>371</v>
      </c>
      <c r="F9" s="402">
        <v>44375</v>
      </c>
      <c r="G9" s="401" t="s">
        <v>372</v>
      </c>
      <c r="H9" s="401" t="s">
        <v>340</v>
      </c>
      <c r="I9" s="729" t="s">
        <v>373</v>
      </c>
    </row>
    <row r="10" spans="1:9" ht="348" hidden="1" x14ac:dyDescent="0.35">
      <c r="A10" s="401">
        <v>9</v>
      </c>
      <c r="B10" s="402">
        <v>44307</v>
      </c>
      <c r="C10" s="403" t="s">
        <v>374</v>
      </c>
      <c r="D10" s="403" t="s">
        <v>375</v>
      </c>
      <c r="E10" s="403" t="s">
        <v>376</v>
      </c>
      <c r="F10" s="402">
        <v>44397</v>
      </c>
      <c r="G10" s="401" t="s">
        <v>377</v>
      </c>
      <c r="H10" s="401" t="s">
        <v>340</v>
      </c>
      <c r="I10" s="729" t="s">
        <v>378</v>
      </c>
    </row>
    <row r="11" spans="1:9" ht="87" hidden="1" x14ac:dyDescent="0.35">
      <c r="A11" s="401">
        <v>10</v>
      </c>
      <c r="B11" s="402">
        <v>44314</v>
      </c>
      <c r="C11" s="403" t="s">
        <v>379</v>
      </c>
      <c r="D11" s="403" t="s">
        <v>380</v>
      </c>
      <c r="E11" s="403" t="s">
        <v>381</v>
      </c>
      <c r="F11" s="402">
        <v>44378</v>
      </c>
      <c r="G11" s="401" t="s">
        <v>372</v>
      </c>
      <c r="H11" s="401" t="s">
        <v>340</v>
      </c>
      <c r="I11" s="403" t="s">
        <v>382</v>
      </c>
    </row>
    <row r="12" spans="1:9" ht="139.25" customHeight="1" x14ac:dyDescent="0.35">
      <c r="A12" s="131">
        <v>11</v>
      </c>
      <c r="B12" s="364">
        <v>44356</v>
      </c>
      <c r="C12" s="369" t="s">
        <v>383</v>
      </c>
      <c r="D12" s="369" t="s">
        <v>384</v>
      </c>
      <c r="E12" s="369" t="s">
        <v>385</v>
      </c>
      <c r="F12" s="364" t="s">
        <v>386</v>
      </c>
      <c r="G12" s="131" t="s">
        <v>387</v>
      </c>
      <c r="H12" s="131" t="s">
        <v>388</v>
      </c>
      <c r="I12" s="369" t="s">
        <v>389</v>
      </c>
    </row>
    <row r="13" spans="1:9" ht="159.5" hidden="1" x14ac:dyDescent="0.35">
      <c r="A13" s="401">
        <v>12</v>
      </c>
      <c r="B13" s="402">
        <v>44391</v>
      </c>
      <c r="C13" s="403" t="s">
        <v>390</v>
      </c>
      <c r="D13" s="403" t="s">
        <v>391</v>
      </c>
      <c r="E13" s="403" t="s">
        <v>392</v>
      </c>
      <c r="F13" s="402">
        <v>44412</v>
      </c>
      <c r="G13" s="401" t="s">
        <v>393</v>
      </c>
      <c r="H13" s="401" t="s">
        <v>340</v>
      </c>
      <c r="I13" s="729" t="s">
        <v>394</v>
      </c>
    </row>
    <row r="14" spans="1:9" ht="43.5" hidden="1" x14ac:dyDescent="0.35">
      <c r="A14" s="401">
        <v>13</v>
      </c>
      <c r="B14" s="402">
        <v>44405</v>
      </c>
      <c r="C14" s="403" t="s">
        <v>395</v>
      </c>
      <c r="D14" s="403" t="s">
        <v>396</v>
      </c>
      <c r="E14" s="403" t="s">
        <v>397</v>
      </c>
      <c r="F14" s="402">
        <v>44412</v>
      </c>
      <c r="G14" s="401" t="s">
        <v>398</v>
      </c>
      <c r="H14" s="401" t="s">
        <v>340</v>
      </c>
      <c r="I14" s="401"/>
    </row>
    <row r="15" spans="1:9" ht="58" hidden="1" x14ac:dyDescent="0.35">
      <c r="A15" s="401">
        <v>14</v>
      </c>
      <c r="B15" s="402">
        <v>44440</v>
      </c>
      <c r="C15" s="403" t="s">
        <v>399</v>
      </c>
      <c r="D15" s="403" t="s">
        <v>400</v>
      </c>
      <c r="E15" s="403" t="s">
        <v>401</v>
      </c>
      <c r="F15" s="402">
        <v>44496</v>
      </c>
      <c r="G15" s="401" t="s">
        <v>398</v>
      </c>
      <c r="H15" s="401" t="s">
        <v>340</v>
      </c>
      <c r="I15" s="729" t="s">
        <v>402</v>
      </c>
    </row>
    <row r="16" spans="1:9" ht="43.5" hidden="1" x14ac:dyDescent="0.35">
      <c r="A16" s="131">
        <v>15</v>
      </c>
      <c r="B16" s="364">
        <v>44482</v>
      </c>
      <c r="C16" s="369" t="s">
        <v>403</v>
      </c>
      <c r="D16" s="369" t="s">
        <v>404</v>
      </c>
      <c r="E16" s="369" t="s">
        <v>405</v>
      </c>
      <c r="F16" s="364">
        <v>44498</v>
      </c>
      <c r="G16" s="131" t="s">
        <v>368</v>
      </c>
      <c r="H16" s="131" t="s">
        <v>340</v>
      </c>
      <c r="I16" s="131"/>
    </row>
    <row r="17" spans="1:9" ht="12" hidden="1" customHeight="1" x14ac:dyDescent="0.35">
      <c r="A17" s="131">
        <v>16</v>
      </c>
      <c r="B17" s="364">
        <v>44502</v>
      </c>
      <c r="C17" s="369" t="s">
        <v>406</v>
      </c>
      <c r="D17" s="369" t="s">
        <v>407</v>
      </c>
      <c r="E17" s="365" t="s">
        <v>408</v>
      </c>
      <c r="F17" s="364">
        <v>44510</v>
      </c>
      <c r="G17" s="131" t="s">
        <v>368</v>
      </c>
      <c r="H17" s="131" t="s">
        <v>340</v>
      </c>
      <c r="I17" s="369" t="s">
        <v>409</v>
      </c>
    </row>
    <row r="18" spans="1:9" ht="96.65" hidden="1" customHeight="1" x14ac:dyDescent="0.35">
      <c r="A18" s="131">
        <v>17</v>
      </c>
      <c r="B18" s="364">
        <v>44517</v>
      </c>
      <c r="C18" s="369" t="s">
        <v>410</v>
      </c>
      <c r="D18" s="369" t="s">
        <v>411</v>
      </c>
      <c r="E18" s="369" t="s">
        <v>412</v>
      </c>
      <c r="F18" s="364">
        <v>44526</v>
      </c>
      <c r="G18" s="131" t="s">
        <v>413</v>
      </c>
      <c r="H18" s="131" t="s">
        <v>340</v>
      </c>
      <c r="I18" s="369" t="s">
        <v>414</v>
      </c>
    </row>
    <row r="19" spans="1:9" ht="362.5" hidden="1" x14ac:dyDescent="0.35">
      <c r="A19" s="131">
        <v>18</v>
      </c>
      <c r="B19" s="364">
        <v>44517</v>
      </c>
      <c r="C19" s="369" t="s">
        <v>415</v>
      </c>
      <c r="D19" s="369" t="s">
        <v>416</v>
      </c>
      <c r="E19" s="369" t="s">
        <v>417</v>
      </c>
      <c r="F19" s="364">
        <v>44636</v>
      </c>
      <c r="G19" s="131" t="s">
        <v>418</v>
      </c>
      <c r="H19" s="131" t="s">
        <v>340</v>
      </c>
      <c r="I19" s="369" t="s">
        <v>419</v>
      </c>
    </row>
    <row r="20" spans="1:9" ht="58" hidden="1" x14ac:dyDescent="0.35">
      <c r="A20" s="131">
        <v>19</v>
      </c>
      <c r="B20" s="364">
        <v>44518</v>
      </c>
      <c r="C20" s="369" t="s">
        <v>420</v>
      </c>
      <c r="D20" s="369" t="s">
        <v>421</v>
      </c>
      <c r="E20" s="369" t="s">
        <v>422</v>
      </c>
      <c r="F20" s="364">
        <v>44530</v>
      </c>
      <c r="G20" s="131" t="s">
        <v>423</v>
      </c>
      <c r="H20" s="131" t="s">
        <v>340</v>
      </c>
      <c r="I20" s="369" t="s">
        <v>424</v>
      </c>
    </row>
    <row r="21" spans="1:9" ht="43.5" hidden="1" x14ac:dyDescent="0.35">
      <c r="A21" s="131">
        <v>20</v>
      </c>
      <c r="B21" s="364">
        <v>44519</v>
      </c>
      <c r="C21" s="369" t="s">
        <v>425</v>
      </c>
      <c r="D21" s="365" t="s">
        <v>426</v>
      </c>
      <c r="E21" s="369" t="s">
        <v>427</v>
      </c>
      <c r="F21" s="364">
        <v>44545</v>
      </c>
      <c r="G21" s="852" t="s">
        <v>428</v>
      </c>
      <c r="H21" s="131" t="s">
        <v>340</v>
      </c>
      <c r="I21" s="369" t="s">
        <v>429</v>
      </c>
    </row>
    <row r="22" spans="1:9" ht="12.65" hidden="1" customHeight="1" x14ac:dyDescent="0.35">
      <c r="A22" s="131">
        <v>21</v>
      </c>
      <c r="B22" s="364">
        <v>44520</v>
      </c>
      <c r="C22" s="369" t="s">
        <v>430</v>
      </c>
      <c r="D22" s="365" t="s">
        <v>431</v>
      </c>
      <c r="E22" s="369" t="s">
        <v>432</v>
      </c>
      <c r="F22" s="364">
        <v>44538</v>
      </c>
      <c r="G22" s="131" t="s">
        <v>433</v>
      </c>
      <c r="H22" s="131" t="s">
        <v>340</v>
      </c>
      <c r="I22" s="369" t="s">
        <v>434</v>
      </c>
    </row>
    <row r="23" spans="1:9" ht="72.650000000000006" hidden="1" customHeight="1" x14ac:dyDescent="0.35">
      <c r="A23" s="131">
        <v>19</v>
      </c>
      <c r="B23" s="364">
        <v>44552</v>
      </c>
      <c r="C23" s="365" t="s">
        <v>435</v>
      </c>
      <c r="D23" s="365" t="s">
        <v>436</v>
      </c>
      <c r="E23" s="365" t="s">
        <v>437</v>
      </c>
      <c r="F23" s="364"/>
      <c r="G23" s="131"/>
      <c r="H23" s="131" t="s">
        <v>388</v>
      </c>
      <c r="I23" s="369" t="s">
        <v>438</v>
      </c>
    </row>
    <row r="24" spans="1:9" ht="101.5" hidden="1" x14ac:dyDescent="0.35">
      <c r="A24" s="131">
        <v>20</v>
      </c>
      <c r="B24" s="364">
        <v>44559</v>
      </c>
      <c r="C24" s="365" t="s">
        <v>439</v>
      </c>
      <c r="D24" s="365" t="s">
        <v>440</v>
      </c>
      <c r="E24" s="131"/>
      <c r="F24" s="364">
        <v>44592</v>
      </c>
      <c r="G24" s="131" t="s">
        <v>418</v>
      </c>
      <c r="H24" s="131" t="s">
        <v>340</v>
      </c>
      <c r="I24" s="369" t="s">
        <v>441</v>
      </c>
    </row>
    <row r="25" spans="1:9" ht="29" hidden="1" x14ac:dyDescent="0.35">
      <c r="A25" s="131">
        <v>21</v>
      </c>
      <c r="B25" s="364">
        <v>44559</v>
      </c>
      <c r="C25" s="365" t="s">
        <v>442</v>
      </c>
      <c r="D25" s="860" t="s">
        <v>443</v>
      </c>
      <c r="E25" s="382"/>
      <c r="F25" s="364"/>
      <c r="G25" s="131"/>
      <c r="H25" s="131" t="s">
        <v>340</v>
      </c>
      <c r="I25" s="369" t="s">
        <v>444</v>
      </c>
    </row>
    <row r="26" spans="1:9" ht="18" hidden="1" customHeight="1" x14ac:dyDescent="0.35">
      <c r="A26" s="131">
        <v>21</v>
      </c>
      <c r="B26" s="364">
        <v>44580</v>
      </c>
      <c r="C26" s="382" t="s">
        <v>445</v>
      </c>
      <c r="D26" s="382" t="s">
        <v>306</v>
      </c>
      <c r="E26" s="382"/>
      <c r="F26" s="364">
        <v>44614</v>
      </c>
      <c r="G26" s="131" t="s">
        <v>418</v>
      </c>
      <c r="H26" s="131" t="s">
        <v>340</v>
      </c>
      <c r="I26" s="369" t="s">
        <v>446</v>
      </c>
    </row>
    <row r="27" spans="1:9" ht="19.399999999999999" hidden="1" customHeight="1" x14ac:dyDescent="0.35">
      <c r="A27" s="131">
        <v>23</v>
      </c>
      <c r="B27" s="364">
        <v>44587</v>
      </c>
      <c r="C27" s="382" t="s">
        <v>447</v>
      </c>
      <c r="D27" s="382"/>
      <c r="E27" s="382"/>
      <c r="F27" s="364"/>
      <c r="G27" s="131"/>
      <c r="H27" s="131"/>
      <c r="I27" s="369" t="s">
        <v>448</v>
      </c>
    </row>
    <row r="28" spans="1:9" ht="409.5" hidden="1" x14ac:dyDescent="0.35">
      <c r="A28" s="131">
        <v>22</v>
      </c>
      <c r="B28" s="364">
        <v>44600</v>
      </c>
      <c r="C28" s="382" t="s">
        <v>449</v>
      </c>
      <c r="D28" s="382" t="s">
        <v>450</v>
      </c>
      <c r="E28" s="860" t="s">
        <v>451</v>
      </c>
      <c r="F28" s="364">
        <v>44636</v>
      </c>
      <c r="G28" s="131" t="s">
        <v>372</v>
      </c>
      <c r="H28" s="131" t="s">
        <v>340</v>
      </c>
      <c r="I28" s="369" t="s">
        <v>452</v>
      </c>
    </row>
    <row r="29" spans="1:9" ht="304.5" hidden="1" x14ac:dyDescent="0.35">
      <c r="A29" s="131">
        <v>23</v>
      </c>
      <c r="B29" s="364">
        <v>44601</v>
      </c>
      <c r="C29" s="860" t="s">
        <v>453</v>
      </c>
      <c r="D29" s="382" t="s">
        <v>450</v>
      </c>
      <c r="E29" s="382"/>
      <c r="F29" s="364">
        <v>44636</v>
      </c>
      <c r="G29" s="131" t="s">
        <v>413</v>
      </c>
      <c r="H29" s="131" t="s">
        <v>340</v>
      </c>
      <c r="I29" s="369" t="s">
        <v>454</v>
      </c>
    </row>
    <row r="30" spans="1:9" ht="362.5" hidden="1" x14ac:dyDescent="0.35">
      <c r="A30" s="131">
        <v>24</v>
      </c>
      <c r="B30" s="364">
        <v>44636</v>
      </c>
      <c r="C30" s="860" t="s">
        <v>455</v>
      </c>
      <c r="D30" s="382" t="s">
        <v>456</v>
      </c>
      <c r="E30" s="382" t="s">
        <v>457</v>
      </c>
      <c r="F30" s="364">
        <v>44706</v>
      </c>
      <c r="G30" s="852" t="s">
        <v>458</v>
      </c>
      <c r="H30" s="131" t="s">
        <v>340</v>
      </c>
      <c r="I30" s="902" t="s">
        <v>459</v>
      </c>
    </row>
    <row r="31" spans="1:9" ht="43.5" hidden="1" x14ac:dyDescent="0.35">
      <c r="A31" s="131">
        <v>25</v>
      </c>
      <c r="B31" s="364">
        <v>44636</v>
      </c>
      <c r="C31" s="382" t="s">
        <v>460</v>
      </c>
      <c r="D31" s="382" t="s">
        <v>461</v>
      </c>
      <c r="E31" s="382" t="s">
        <v>462</v>
      </c>
      <c r="F31" s="364" t="s">
        <v>408</v>
      </c>
      <c r="G31" s="131" t="s">
        <v>418</v>
      </c>
      <c r="H31" s="131" t="s">
        <v>340</v>
      </c>
      <c r="I31" s="902" t="s">
        <v>463</v>
      </c>
    </row>
    <row r="32" spans="1:9" ht="43.5" hidden="1" x14ac:dyDescent="0.35">
      <c r="A32" s="131">
        <v>26</v>
      </c>
      <c r="B32" s="364">
        <v>44636</v>
      </c>
      <c r="C32" s="860" t="s">
        <v>464</v>
      </c>
      <c r="D32" s="382" t="s">
        <v>465</v>
      </c>
      <c r="E32" s="382" t="s">
        <v>466</v>
      </c>
      <c r="F32" s="364">
        <v>44655</v>
      </c>
      <c r="G32" s="131" t="s">
        <v>368</v>
      </c>
      <c r="H32" s="131" t="s">
        <v>340</v>
      </c>
      <c r="I32" s="131"/>
    </row>
    <row r="33" spans="1:9" ht="29" hidden="1" x14ac:dyDescent="0.35">
      <c r="A33" s="131">
        <v>27</v>
      </c>
      <c r="B33" s="364">
        <v>44643</v>
      </c>
      <c r="C33" s="860" t="s">
        <v>467</v>
      </c>
      <c r="D33" s="382" t="s">
        <v>468</v>
      </c>
      <c r="E33" s="860" t="s">
        <v>469</v>
      </c>
      <c r="F33" s="364" t="s">
        <v>408</v>
      </c>
      <c r="G33" s="131" t="s">
        <v>418</v>
      </c>
      <c r="H33" s="131" t="s">
        <v>340</v>
      </c>
      <c r="I33" s="131"/>
    </row>
    <row r="34" spans="1:9" ht="72.5" hidden="1" x14ac:dyDescent="0.35">
      <c r="A34" s="401">
        <v>28</v>
      </c>
      <c r="B34" s="402">
        <v>44651</v>
      </c>
      <c r="C34" s="729" t="s">
        <v>470</v>
      </c>
      <c r="D34" s="922" t="s">
        <v>471</v>
      </c>
      <c r="E34" s="729" t="s">
        <v>472</v>
      </c>
      <c r="F34" s="402" t="s">
        <v>408</v>
      </c>
      <c r="G34" s="401" t="s">
        <v>398</v>
      </c>
      <c r="H34" s="401" t="s">
        <v>340</v>
      </c>
      <c r="I34" s="403" t="s">
        <v>473</v>
      </c>
    </row>
    <row r="35" spans="1:9" ht="43.5" hidden="1" x14ac:dyDescent="0.35">
      <c r="A35" s="131">
        <v>25</v>
      </c>
      <c r="B35" s="364">
        <v>44685</v>
      </c>
      <c r="C35" s="860" t="s">
        <v>474</v>
      </c>
      <c r="D35" s="382" t="s">
        <v>475</v>
      </c>
      <c r="E35" s="382" t="s">
        <v>476</v>
      </c>
      <c r="F35" s="364">
        <v>44645</v>
      </c>
      <c r="G35" s="131" t="s">
        <v>477</v>
      </c>
      <c r="H35" s="131" t="s">
        <v>340</v>
      </c>
      <c r="I35" s="365" t="s">
        <v>478</v>
      </c>
    </row>
    <row r="36" spans="1:9" x14ac:dyDescent="0.35">
      <c r="A36" s="131"/>
      <c r="B36" s="364"/>
      <c r="C36" s="382"/>
      <c r="D36" s="382"/>
      <c r="E36" s="382"/>
      <c r="F36" s="364"/>
      <c r="G36" s="131"/>
      <c r="H36" s="131"/>
      <c r="I36" s="131"/>
    </row>
    <row r="37" spans="1:9" x14ac:dyDescent="0.35">
      <c r="A37" s="131"/>
      <c r="B37" s="364"/>
      <c r="C37" s="382"/>
      <c r="D37" s="382"/>
      <c r="E37" s="382"/>
      <c r="F37" s="364"/>
      <c r="G37" s="131"/>
      <c r="H37" s="131"/>
      <c r="I37" s="131"/>
    </row>
    <row r="38" spans="1:9" x14ac:dyDescent="0.35">
      <c r="A38" s="131"/>
      <c r="B38" s="364"/>
      <c r="C38" s="382"/>
      <c r="D38" s="382"/>
      <c r="E38" s="382"/>
      <c r="F38" s="364"/>
      <c r="G38" s="131"/>
      <c r="H38" s="131"/>
      <c r="I38" s="131"/>
    </row>
    <row r="39" spans="1:9" x14ac:dyDescent="0.35">
      <c r="A39" s="131"/>
      <c r="B39" s="364"/>
      <c r="C39" s="382"/>
      <c r="D39" s="382"/>
      <c r="E39" s="382"/>
      <c r="F39" s="364"/>
      <c r="G39" s="131"/>
      <c r="H39" s="131"/>
      <c r="I39" s="131"/>
    </row>
    <row r="40" spans="1:9" x14ac:dyDescent="0.35">
      <c r="A40" s="131"/>
      <c r="B40" s="364"/>
      <c r="C40" s="382"/>
      <c r="D40" s="382"/>
      <c r="E40" s="382"/>
      <c r="F40" s="364"/>
      <c r="G40" s="131"/>
      <c r="H40" s="382"/>
      <c r="I40" s="382"/>
    </row>
    <row r="41" spans="1:9" x14ac:dyDescent="0.35">
      <c r="A41" s="131"/>
      <c r="B41" s="364"/>
      <c r="C41" s="131"/>
      <c r="D41" s="131"/>
      <c r="E41" s="131"/>
      <c r="F41" s="364"/>
      <c r="G41" s="131"/>
      <c r="H41" s="131"/>
      <c r="I41" s="131"/>
    </row>
    <row r="42" spans="1:9" x14ac:dyDescent="0.35">
      <c r="A42" s="131"/>
      <c r="B42" s="364"/>
      <c r="C42" s="131"/>
      <c r="D42" s="131"/>
      <c r="E42" s="131"/>
      <c r="F42" s="364"/>
      <c r="G42" s="131"/>
      <c r="H42" s="131"/>
      <c r="I42" s="131"/>
    </row>
    <row r="43" spans="1:9" x14ac:dyDescent="0.35">
      <c r="A43" s="131"/>
      <c r="B43" s="364"/>
      <c r="C43" s="131"/>
      <c r="D43" s="131"/>
      <c r="E43" s="131"/>
      <c r="F43" s="364"/>
      <c r="G43" s="131"/>
      <c r="H43" s="131"/>
      <c r="I43" s="131"/>
    </row>
    <row r="44" spans="1:9" x14ac:dyDescent="0.35">
      <c r="A44" s="131"/>
      <c r="B44" s="364"/>
      <c r="C44" s="131"/>
      <c r="D44" s="131"/>
      <c r="E44" s="131"/>
      <c r="F44" s="364"/>
      <c r="G44" s="131"/>
      <c r="H44" s="131"/>
      <c r="I44" s="131"/>
    </row>
    <row r="45" spans="1:9" x14ac:dyDescent="0.35">
      <c r="A45" s="131"/>
      <c r="B45" s="364"/>
      <c r="C45" s="131"/>
      <c r="D45" s="131"/>
      <c r="E45" s="131"/>
      <c r="F45" s="364"/>
      <c r="G45" s="131"/>
      <c r="H45" s="131"/>
      <c r="I45" s="131"/>
    </row>
    <row r="46" spans="1:9" x14ac:dyDescent="0.35">
      <c r="A46" s="131"/>
      <c r="B46" s="364"/>
      <c r="C46" s="131"/>
      <c r="D46" s="131"/>
      <c r="E46" s="131"/>
      <c r="F46" s="364"/>
      <c r="G46" s="131"/>
      <c r="H46" s="131"/>
      <c r="I46" s="131"/>
    </row>
    <row r="47" spans="1:9" x14ac:dyDescent="0.35">
      <c r="A47" s="131"/>
      <c r="B47" s="364"/>
      <c r="C47" s="131"/>
      <c r="D47" s="131"/>
      <c r="E47" s="131"/>
      <c r="F47" s="364"/>
      <c r="G47" s="131"/>
      <c r="H47" s="131"/>
      <c r="I47" s="131"/>
    </row>
    <row r="48" spans="1:9" x14ac:dyDescent="0.35">
      <c r="A48" s="131"/>
      <c r="B48" s="364"/>
      <c r="C48" s="131"/>
      <c r="D48" s="131"/>
      <c r="E48" s="131"/>
      <c r="F48" s="364"/>
      <c r="G48" s="131"/>
      <c r="H48" s="131"/>
      <c r="I48" s="131"/>
    </row>
    <row r="49" spans="1:9" x14ac:dyDescent="0.35">
      <c r="A49" s="131"/>
      <c r="B49" s="364"/>
      <c r="C49" s="131"/>
      <c r="D49" s="131"/>
      <c r="E49" s="131"/>
      <c r="F49" s="364"/>
      <c r="G49" s="131"/>
      <c r="H49" s="131"/>
      <c r="I49" s="131"/>
    </row>
    <row r="50" spans="1:9" x14ac:dyDescent="0.35">
      <c r="A50" s="131"/>
      <c r="B50" s="364"/>
      <c r="C50" s="131"/>
      <c r="D50" s="131"/>
      <c r="E50" s="131"/>
      <c r="F50" s="364"/>
      <c r="G50" s="131"/>
      <c r="H50" s="131"/>
      <c r="I50" s="131"/>
    </row>
    <row r="51" spans="1:9" x14ac:dyDescent="0.35">
      <c r="A51" s="131"/>
      <c r="B51" s="364"/>
      <c r="C51" s="131"/>
      <c r="D51" s="131"/>
      <c r="E51" s="131"/>
      <c r="F51" s="364"/>
      <c r="G51" s="131"/>
      <c r="H51" s="131"/>
      <c r="I51" s="131"/>
    </row>
    <row r="52" spans="1:9" x14ac:dyDescent="0.35">
      <c r="A52" s="131"/>
      <c r="B52" s="364"/>
      <c r="C52" s="131"/>
      <c r="D52" s="131"/>
      <c r="E52" s="131"/>
      <c r="F52" s="364"/>
      <c r="G52" s="131"/>
      <c r="H52" s="131"/>
      <c r="I52" s="131"/>
    </row>
    <row r="53" spans="1:9" x14ac:dyDescent="0.35">
      <c r="A53" s="131"/>
      <c r="B53" s="364"/>
      <c r="C53" s="131"/>
      <c r="D53" s="131"/>
      <c r="E53" s="131"/>
      <c r="F53" s="364"/>
      <c r="G53" s="131"/>
      <c r="H53" s="131"/>
      <c r="I53" s="131"/>
    </row>
  </sheetData>
  <pageMargins left="0.7" right="0.7" top="0.75" bottom="0.75" header="0.3" footer="0.3"/>
  <pageSetup paperSize="9" orientation="portrait" r:id="rId1"/>
  <headerFooter>
    <oddFooter>&amp;C&amp;1#&amp;"Calibri"&amp;10&amp;K000000 Non-Amgen</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8A3E10-EDC4-4FC8-8488-D42837551B14}">
  <sheetPr codeName="Sheet32">
    <pageSetUpPr autoPageBreaks="0"/>
  </sheetPr>
  <dimension ref="A1:L70"/>
  <sheetViews>
    <sheetView zoomScale="80" zoomScaleNormal="80" workbookViewId="0">
      <selection activeCell="A13" sqref="A13"/>
    </sheetView>
  </sheetViews>
  <sheetFormatPr defaultColWidth="23.453125" defaultRowHeight="11.5" x14ac:dyDescent="0.25"/>
  <cols>
    <col min="1" max="1" width="52.453125" style="46" bestFit="1" customWidth="1"/>
    <col min="2" max="2" width="28" style="46" customWidth="1"/>
    <col min="3" max="3" width="20.453125" style="46" bestFit="1" customWidth="1"/>
    <col min="4" max="5" width="23.453125" style="46"/>
    <col min="6" max="6" width="75.453125" style="46" bestFit="1" customWidth="1"/>
    <col min="7" max="7" width="16.54296875" style="46" customWidth="1"/>
    <col min="8" max="8" width="17.453125" style="46" customWidth="1"/>
    <col min="9" max="9" width="10.54296875" style="46" customWidth="1"/>
    <col min="10" max="10" width="19.453125" style="46" customWidth="1"/>
    <col min="11" max="11" width="16" style="46" customWidth="1"/>
    <col min="12" max="12" width="12.453125" style="46" bestFit="1" customWidth="1"/>
    <col min="13" max="16384" width="23.453125" style="46"/>
  </cols>
  <sheetData>
    <row r="1" spans="1:12" ht="12" thickBot="1" x14ac:dyDescent="0.3">
      <c r="A1" s="1042" t="s">
        <v>479</v>
      </c>
      <c r="B1" s="1043"/>
    </row>
    <row r="2" spans="1:12" x14ac:dyDescent="0.25">
      <c r="A2" s="67" t="s">
        <v>480</v>
      </c>
      <c r="B2" s="407" t="s">
        <v>481</v>
      </c>
    </row>
    <row r="3" spans="1:12" ht="12" thickBot="1" x14ac:dyDescent="0.3">
      <c r="A3" s="66" t="s">
        <v>482</v>
      </c>
      <c r="B3" s="408" t="s">
        <v>483</v>
      </c>
    </row>
    <row r="5" spans="1:12" x14ac:dyDescent="0.25">
      <c r="A5" s="1044" t="s">
        <v>484</v>
      </c>
      <c r="B5" s="1045"/>
      <c r="C5" s="1045"/>
      <c r="D5" s="1046"/>
    </row>
    <row r="6" spans="1:12" x14ac:dyDescent="0.25">
      <c r="A6" s="102" t="s">
        <v>485</v>
      </c>
      <c r="B6" s="102" t="s">
        <v>486</v>
      </c>
      <c r="C6" s="102" t="s">
        <v>487</v>
      </c>
      <c r="D6" s="102" t="s">
        <v>488</v>
      </c>
    </row>
    <row r="7" spans="1:12" x14ac:dyDescent="0.25">
      <c r="A7" s="65" t="s">
        <v>489</v>
      </c>
      <c r="B7" s="64" t="e">
        <f>A29</f>
        <v>#VALUE!</v>
      </c>
      <c r="C7" s="56" t="e">
        <f>A29</f>
        <v>#VALUE!</v>
      </c>
      <c r="D7" s="464"/>
    </row>
    <row r="8" spans="1:12" x14ac:dyDescent="0.25">
      <c r="A8" s="65" t="s">
        <v>490</v>
      </c>
      <c r="B8" s="64" t="e">
        <f>A43</f>
        <v>#VALUE!</v>
      </c>
      <c r="C8" s="56" t="e">
        <f>A43</f>
        <v>#VALUE!</v>
      </c>
      <c r="D8" s="464"/>
    </row>
    <row r="9" spans="1:12" x14ac:dyDescent="0.25">
      <c r="A9" s="65" t="s">
        <v>491</v>
      </c>
      <c r="B9" s="64" t="e">
        <f>A46</f>
        <v>#VALUE!</v>
      </c>
      <c r="C9" s="56" t="e">
        <f>E46</f>
        <v>#VALUE!</v>
      </c>
      <c r="D9" s="63"/>
    </row>
    <row r="11" spans="1:12" ht="23" x14ac:dyDescent="0.25">
      <c r="A11" s="61" t="s">
        <v>492</v>
      </c>
      <c r="B11" s="61" t="s">
        <v>493</v>
      </c>
      <c r="C11" s="61" t="s">
        <v>494</v>
      </c>
      <c r="D11" s="118" t="s">
        <v>495</v>
      </c>
      <c r="E11" s="61" t="s">
        <v>496</v>
      </c>
      <c r="F11" s="61" t="s">
        <v>497</v>
      </c>
      <c r="G11" s="61" t="s">
        <v>498</v>
      </c>
      <c r="H11" s="61" t="s">
        <v>92</v>
      </c>
      <c r="I11" s="61" t="s">
        <v>499</v>
      </c>
      <c r="J11" s="61" t="s">
        <v>96</v>
      </c>
      <c r="K11" s="61" t="s">
        <v>500</v>
      </c>
      <c r="L11" s="61" t="s">
        <v>501</v>
      </c>
    </row>
    <row r="12" spans="1:12" x14ac:dyDescent="0.25">
      <c r="A12" s="117" t="s">
        <v>502</v>
      </c>
      <c r="B12" s="117"/>
      <c r="C12" s="117"/>
      <c r="D12" s="119"/>
      <c r="E12" s="117"/>
      <c r="F12" s="117"/>
      <c r="G12" s="117"/>
      <c r="H12" s="189"/>
      <c r="I12" s="189"/>
      <c r="J12" s="189"/>
      <c r="K12" s="189"/>
      <c r="L12" s="189"/>
    </row>
    <row r="13" spans="1:12" x14ac:dyDescent="0.25">
      <c r="A13" s="50" t="str">
        <f>B2</f>
        <v>Insert date here</v>
      </c>
      <c r="B13" s="461" t="str">
        <f>B3</f>
        <v>Insert time here</v>
      </c>
      <c r="C13" s="55">
        <v>4.1666666666666664E-2</v>
      </c>
      <c r="D13" s="327" t="str">
        <f t="shared" ref="D13" si="0">IF(_xlfn.ISFORMULA(E13)=TRUE,"",E13-B13)</f>
        <v/>
      </c>
      <c r="E13" s="56" t="e">
        <f>B13+C13</f>
        <v>#VALUE!</v>
      </c>
      <c r="F13" s="54" t="s">
        <v>503</v>
      </c>
      <c r="G13" s="190"/>
      <c r="H13" s="190">
        <v>5</v>
      </c>
      <c r="I13" s="191"/>
      <c r="J13" s="191"/>
      <c r="K13" s="191"/>
      <c r="L13" s="191"/>
    </row>
    <row r="14" spans="1:12" ht="12.75" customHeight="1" x14ac:dyDescent="0.25">
      <c r="A14" s="31" t="e">
        <f t="shared" ref="A14:A31" si="1">IF(D13 = "",A13+C13,A13+D13)</f>
        <v>#VALUE!</v>
      </c>
      <c r="B14" s="37" t="e">
        <f t="shared" ref="B14:B31" si="2">IF(D13 = "",B13+C13,B13+D13)</f>
        <v>#VALUE!</v>
      </c>
      <c r="C14" s="55">
        <v>2.0833333333333332E-2</v>
      </c>
      <c r="D14" s="327" t="str">
        <f t="shared" ref="D14:D46" si="3">IF(_xlfn.ISFORMULA(E14)=TRUE,"",E14-B14)</f>
        <v/>
      </c>
      <c r="E14" s="56" t="e">
        <f t="shared" ref="E14:E44" si="4">B14+C14</f>
        <v>#VALUE!</v>
      </c>
      <c r="F14" s="54" t="s">
        <v>504</v>
      </c>
      <c r="G14" s="190"/>
      <c r="H14" s="190">
        <v>30</v>
      </c>
      <c r="I14" s="191"/>
      <c r="J14" s="191"/>
      <c r="K14" s="191"/>
      <c r="L14" s="191"/>
    </row>
    <row r="15" spans="1:12" ht="12.75" customHeight="1" x14ac:dyDescent="0.25">
      <c r="A15" s="31" t="e">
        <f t="shared" si="1"/>
        <v>#VALUE!</v>
      </c>
      <c r="B15" s="37" t="e">
        <f t="shared" si="2"/>
        <v>#VALUE!</v>
      </c>
      <c r="C15" s="55">
        <v>2.0833333333333332E-2</v>
      </c>
      <c r="D15" s="327" t="str">
        <f t="shared" si="3"/>
        <v/>
      </c>
      <c r="E15" s="56" t="e">
        <f t="shared" si="4"/>
        <v>#VALUE!</v>
      </c>
      <c r="F15" s="54" t="s">
        <v>505</v>
      </c>
      <c r="G15" s="193"/>
      <c r="H15" s="193">
        <v>30</v>
      </c>
      <c r="I15" s="194"/>
      <c r="J15" s="194"/>
      <c r="K15" s="194"/>
      <c r="L15" s="191"/>
    </row>
    <row r="16" spans="1:12" ht="12.75" customHeight="1" x14ac:dyDescent="0.25">
      <c r="A16" s="31" t="e">
        <f t="shared" si="1"/>
        <v>#VALUE!</v>
      </c>
      <c r="B16" s="37" t="e">
        <f t="shared" si="2"/>
        <v>#VALUE!</v>
      </c>
      <c r="C16" s="55">
        <v>2.0833333333333332E-2</v>
      </c>
      <c r="D16" s="327" t="str">
        <f t="shared" si="3"/>
        <v/>
      </c>
      <c r="E16" s="56" t="e">
        <f t="shared" si="4"/>
        <v>#VALUE!</v>
      </c>
      <c r="F16" s="54" t="s">
        <v>506</v>
      </c>
      <c r="G16" s="190"/>
      <c r="H16" s="190"/>
      <c r="I16" s="191"/>
      <c r="J16" s="191">
        <v>33.241492346938777</v>
      </c>
      <c r="K16" s="191"/>
      <c r="L16" s="191">
        <f t="shared" ref="L16:L31" si="5">SUM(I16:K16)</f>
        <v>33.241492346938777</v>
      </c>
    </row>
    <row r="17" spans="1:12" ht="13.5" customHeight="1" x14ac:dyDescent="0.25">
      <c r="A17" s="31" t="e">
        <f t="shared" si="1"/>
        <v>#VALUE!</v>
      </c>
      <c r="B17" s="37" t="e">
        <f t="shared" si="2"/>
        <v>#VALUE!</v>
      </c>
      <c r="C17" s="59">
        <v>6.25E-2</v>
      </c>
      <c r="D17" s="327" t="str">
        <f t="shared" si="3"/>
        <v/>
      </c>
      <c r="E17" s="56" t="e">
        <f t="shared" si="4"/>
        <v>#VALUE!</v>
      </c>
      <c r="F17" s="54" t="s">
        <v>507</v>
      </c>
      <c r="G17" s="190"/>
      <c r="H17" s="190"/>
      <c r="I17" s="191">
        <v>31.659645232815961</v>
      </c>
      <c r="J17" s="191"/>
      <c r="K17" s="191"/>
      <c r="L17" s="191">
        <f t="shared" si="5"/>
        <v>31.659645232815961</v>
      </c>
    </row>
    <row r="18" spans="1:12" x14ac:dyDescent="0.25">
      <c r="A18" s="31" t="e">
        <f t="shared" si="1"/>
        <v>#VALUE!</v>
      </c>
      <c r="B18" s="37" t="e">
        <f t="shared" si="2"/>
        <v>#VALUE!</v>
      </c>
      <c r="C18" s="59">
        <v>0</v>
      </c>
      <c r="D18" s="327" t="str">
        <f t="shared" si="3"/>
        <v/>
      </c>
      <c r="E18" s="56" t="e">
        <f t="shared" si="4"/>
        <v>#VALUE!</v>
      </c>
      <c r="F18" s="54" t="s">
        <v>508</v>
      </c>
      <c r="G18" s="190"/>
      <c r="H18" s="190"/>
      <c r="I18" s="191"/>
      <c r="J18" s="191"/>
      <c r="K18" s="191"/>
      <c r="L18" s="191"/>
    </row>
    <row r="19" spans="1:12" x14ac:dyDescent="0.25">
      <c r="A19" s="31" t="e">
        <f t="shared" si="1"/>
        <v>#VALUE!</v>
      </c>
      <c r="B19" s="37" t="e">
        <f t="shared" si="2"/>
        <v>#VALUE!</v>
      </c>
      <c r="C19" s="59">
        <v>6.9444444444444441E-3</v>
      </c>
      <c r="D19" s="327" t="str">
        <f t="shared" si="3"/>
        <v/>
      </c>
      <c r="E19" s="56" t="e">
        <f t="shared" si="4"/>
        <v>#VALUE!</v>
      </c>
      <c r="F19" s="54" t="s">
        <v>509</v>
      </c>
      <c r="G19" s="190"/>
      <c r="H19" s="190"/>
      <c r="I19" s="191">
        <v>125.73203991130821</v>
      </c>
      <c r="J19" s="191"/>
      <c r="K19" s="191"/>
      <c r="L19" s="191">
        <f t="shared" si="5"/>
        <v>125.73203991130821</v>
      </c>
    </row>
    <row r="20" spans="1:12" ht="13.5" customHeight="1" x14ac:dyDescent="0.25">
      <c r="A20" s="31" t="e">
        <f t="shared" si="1"/>
        <v>#VALUE!</v>
      </c>
      <c r="B20" s="37" t="e">
        <f t="shared" si="2"/>
        <v>#VALUE!</v>
      </c>
      <c r="C20" s="59">
        <v>1.3888888888888888E-2</v>
      </c>
      <c r="D20" s="327" t="str">
        <f t="shared" si="3"/>
        <v/>
      </c>
      <c r="E20" s="56" t="e">
        <f t="shared" si="4"/>
        <v>#VALUE!</v>
      </c>
      <c r="F20" s="54" t="s">
        <v>510</v>
      </c>
      <c r="G20" s="190"/>
      <c r="H20" s="190"/>
      <c r="I20" s="191"/>
      <c r="J20" s="191"/>
      <c r="K20" s="191">
        <v>51.172853535353532</v>
      </c>
      <c r="L20" s="191">
        <f t="shared" si="5"/>
        <v>51.172853535353532</v>
      </c>
    </row>
    <row r="21" spans="1:12" ht="12" customHeight="1" x14ac:dyDescent="0.25">
      <c r="A21" s="31" t="e">
        <f t="shared" si="1"/>
        <v>#VALUE!</v>
      </c>
      <c r="B21" s="37" t="e">
        <f t="shared" si="2"/>
        <v>#VALUE!</v>
      </c>
      <c r="C21" s="55">
        <v>3.125E-2</v>
      </c>
      <c r="D21" s="327" t="str">
        <f t="shared" si="3"/>
        <v/>
      </c>
      <c r="E21" s="56" t="e">
        <f t="shared" si="4"/>
        <v>#VALUE!</v>
      </c>
      <c r="F21" s="54" t="s">
        <v>511</v>
      </c>
      <c r="G21" s="193"/>
      <c r="H21" s="193"/>
      <c r="I21" s="194"/>
      <c r="J21" s="194"/>
      <c r="K21" s="194">
        <v>624.67200000000003</v>
      </c>
      <c r="L21" s="191">
        <f t="shared" si="5"/>
        <v>624.67200000000003</v>
      </c>
    </row>
    <row r="22" spans="1:12" ht="12.75" customHeight="1" x14ac:dyDescent="0.25">
      <c r="A22" s="31" t="e">
        <f t="shared" si="1"/>
        <v>#VALUE!</v>
      </c>
      <c r="B22" s="37" t="e">
        <f t="shared" si="2"/>
        <v>#VALUE!</v>
      </c>
      <c r="C22" s="55">
        <v>0.33333333333333331</v>
      </c>
      <c r="D22" s="327" t="str">
        <f t="shared" si="3"/>
        <v/>
      </c>
      <c r="E22" s="56" t="e">
        <f t="shared" si="4"/>
        <v>#VALUE!</v>
      </c>
      <c r="F22" s="54" t="s">
        <v>512</v>
      </c>
      <c r="G22" s="190"/>
      <c r="H22" s="190"/>
      <c r="I22" s="191"/>
      <c r="J22" s="191"/>
      <c r="K22" s="191">
        <v>550</v>
      </c>
      <c r="L22" s="191">
        <f t="shared" si="5"/>
        <v>550</v>
      </c>
    </row>
    <row r="23" spans="1:12" ht="12.75" customHeight="1" x14ac:dyDescent="0.25">
      <c r="A23" s="31" t="e">
        <f t="shared" si="1"/>
        <v>#VALUE!</v>
      </c>
      <c r="B23" s="37" t="e">
        <f t="shared" si="2"/>
        <v>#VALUE!</v>
      </c>
      <c r="C23" s="55">
        <v>0.3125</v>
      </c>
      <c r="D23" s="327" t="str">
        <f t="shared" si="3"/>
        <v/>
      </c>
      <c r="E23" s="56" t="e">
        <f t="shared" si="4"/>
        <v>#VALUE!</v>
      </c>
      <c r="F23" s="54" t="s">
        <v>513</v>
      </c>
      <c r="G23" s="190"/>
      <c r="H23" s="190"/>
      <c r="I23" s="191"/>
      <c r="J23" s="191"/>
      <c r="K23" s="191">
        <v>370</v>
      </c>
      <c r="L23" s="191">
        <f t="shared" si="5"/>
        <v>370</v>
      </c>
    </row>
    <row r="24" spans="1:12" x14ac:dyDescent="0.25">
      <c r="A24" s="31" t="e">
        <f t="shared" si="1"/>
        <v>#VALUE!</v>
      </c>
      <c r="B24" s="37" t="e">
        <f t="shared" si="2"/>
        <v>#VALUE!</v>
      </c>
      <c r="C24" s="55">
        <v>0.3125</v>
      </c>
      <c r="D24" s="327" t="str">
        <f t="shared" si="3"/>
        <v/>
      </c>
      <c r="E24" s="56" t="e">
        <f t="shared" si="4"/>
        <v>#VALUE!</v>
      </c>
      <c r="F24" s="54" t="s">
        <v>514</v>
      </c>
      <c r="G24" s="190"/>
      <c r="H24" s="190"/>
      <c r="I24" s="191"/>
      <c r="J24" s="191"/>
      <c r="K24" s="191">
        <v>370</v>
      </c>
      <c r="L24" s="191">
        <f t="shared" si="5"/>
        <v>370</v>
      </c>
    </row>
    <row r="25" spans="1:12" x14ac:dyDescent="0.25">
      <c r="A25" s="31" t="e">
        <f t="shared" si="1"/>
        <v>#VALUE!</v>
      </c>
      <c r="B25" s="37" t="e">
        <f t="shared" si="2"/>
        <v>#VALUE!</v>
      </c>
      <c r="C25" s="55">
        <v>8.3333333333333329E-2</v>
      </c>
      <c r="D25" s="327" t="str">
        <f t="shared" si="3"/>
        <v/>
      </c>
      <c r="E25" s="56" t="e">
        <f t="shared" si="4"/>
        <v>#VALUE!</v>
      </c>
      <c r="F25" s="54" t="s">
        <v>515</v>
      </c>
      <c r="G25" s="190"/>
      <c r="H25" s="190"/>
      <c r="I25" s="191"/>
      <c r="J25" s="191"/>
      <c r="K25" s="191">
        <v>816.77700000000004</v>
      </c>
      <c r="L25" s="191">
        <f t="shared" si="5"/>
        <v>816.77700000000004</v>
      </c>
    </row>
    <row r="26" spans="1:12" x14ac:dyDescent="0.25">
      <c r="A26" s="31" t="e">
        <f t="shared" si="1"/>
        <v>#VALUE!</v>
      </c>
      <c r="B26" s="37" t="e">
        <f t="shared" si="2"/>
        <v>#VALUE!</v>
      </c>
      <c r="C26" s="55">
        <v>6.25E-2</v>
      </c>
      <c r="D26" s="327" t="str">
        <f t="shared" si="3"/>
        <v/>
      </c>
      <c r="E26" s="56" t="e">
        <f t="shared" si="4"/>
        <v>#VALUE!</v>
      </c>
      <c r="F26" s="54" t="s">
        <v>516</v>
      </c>
      <c r="G26" s="190"/>
      <c r="H26" s="190"/>
      <c r="I26" s="191"/>
      <c r="J26" s="191"/>
      <c r="K26" s="191"/>
      <c r="L26" s="191"/>
    </row>
    <row r="27" spans="1:12" x14ac:dyDescent="0.25">
      <c r="A27" s="31" t="e">
        <f t="shared" si="1"/>
        <v>#VALUE!</v>
      </c>
      <c r="B27" s="37" t="e">
        <f t="shared" si="2"/>
        <v>#VALUE!</v>
      </c>
      <c r="C27" s="55">
        <v>0.11458333333333333</v>
      </c>
      <c r="D27" s="327" t="str">
        <f t="shared" si="3"/>
        <v/>
      </c>
      <c r="E27" s="56" t="e">
        <f t="shared" si="4"/>
        <v>#VALUE!</v>
      </c>
      <c r="F27" s="54" t="s">
        <v>517</v>
      </c>
      <c r="G27" s="190"/>
      <c r="H27" s="190"/>
      <c r="I27" s="191"/>
      <c r="J27" s="191"/>
      <c r="K27" s="191"/>
      <c r="L27" s="191"/>
    </row>
    <row r="28" spans="1:12" x14ac:dyDescent="0.25">
      <c r="A28" s="31" t="e">
        <f t="shared" si="1"/>
        <v>#VALUE!</v>
      </c>
      <c r="B28" s="37" t="e">
        <f t="shared" si="2"/>
        <v>#VALUE!</v>
      </c>
      <c r="C28" s="55">
        <v>1.0416666666666666E-2</v>
      </c>
      <c r="D28" s="327" t="str">
        <f t="shared" si="3"/>
        <v/>
      </c>
      <c r="E28" s="56" t="e">
        <f t="shared" si="4"/>
        <v>#VALUE!</v>
      </c>
      <c r="F28" s="54" t="s">
        <v>518</v>
      </c>
      <c r="G28" s="190"/>
      <c r="H28" s="190"/>
      <c r="I28" s="191"/>
      <c r="J28" s="191"/>
      <c r="K28" s="191">
        <v>100.2</v>
      </c>
      <c r="L28" s="191">
        <f t="shared" si="5"/>
        <v>100.2</v>
      </c>
    </row>
    <row r="29" spans="1:12" x14ac:dyDescent="0.25">
      <c r="A29" s="31" t="e">
        <f t="shared" si="1"/>
        <v>#VALUE!</v>
      </c>
      <c r="B29" s="37" t="e">
        <f t="shared" si="2"/>
        <v>#VALUE!</v>
      </c>
      <c r="C29" s="55">
        <v>2.0833333333333332E-2</v>
      </c>
      <c r="D29" s="327" t="str">
        <f t="shared" si="3"/>
        <v/>
      </c>
      <c r="E29" s="56" t="e">
        <f t="shared" si="4"/>
        <v>#VALUE!</v>
      </c>
      <c r="F29" s="71" t="s">
        <v>519</v>
      </c>
      <c r="G29" s="190"/>
      <c r="H29" s="190"/>
      <c r="I29" s="191"/>
      <c r="J29" s="191"/>
      <c r="K29" s="191"/>
      <c r="L29" s="191"/>
    </row>
    <row r="30" spans="1:12" x14ac:dyDescent="0.25">
      <c r="A30" s="31" t="e">
        <f t="shared" si="1"/>
        <v>#VALUE!</v>
      </c>
      <c r="B30" s="37" t="e">
        <f t="shared" si="2"/>
        <v>#VALUE!</v>
      </c>
      <c r="C30" s="55">
        <v>6.25E-2</v>
      </c>
      <c r="D30" s="327" t="str">
        <f t="shared" si="3"/>
        <v/>
      </c>
      <c r="E30" s="56" t="e">
        <f t="shared" si="4"/>
        <v>#VALUE!</v>
      </c>
      <c r="F30" s="54" t="s">
        <v>520</v>
      </c>
      <c r="G30" s="190"/>
      <c r="H30" s="190"/>
      <c r="I30" s="191"/>
      <c r="J30" s="191"/>
      <c r="K30" s="191"/>
      <c r="L30" s="191"/>
    </row>
    <row r="31" spans="1:12" x14ac:dyDescent="0.25">
      <c r="A31" s="31" t="e">
        <f t="shared" si="1"/>
        <v>#VALUE!</v>
      </c>
      <c r="B31" s="37" t="e">
        <f t="shared" si="2"/>
        <v>#VALUE!</v>
      </c>
      <c r="C31" s="55">
        <v>2.0833333333333332E-2</v>
      </c>
      <c r="D31" s="327" t="str">
        <f t="shared" si="3"/>
        <v/>
      </c>
      <c r="E31" s="56" t="e">
        <f t="shared" si="4"/>
        <v>#VALUE!</v>
      </c>
      <c r="F31" s="54" t="s">
        <v>521</v>
      </c>
      <c r="G31" s="190"/>
      <c r="H31" s="190"/>
      <c r="I31" s="191"/>
      <c r="J31" s="191"/>
      <c r="K31" s="191">
        <v>126.6</v>
      </c>
      <c r="L31" s="191">
        <f t="shared" si="5"/>
        <v>126.6</v>
      </c>
    </row>
    <row r="32" spans="1:12" x14ac:dyDescent="0.25">
      <c r="A32" s="117" t="s">
        <v>522</v>
      </c>
      <c r="B32" s="117"/>
      <c r="C32" s="117"/>
      <c r="D32" s="117"/>
      <c r="E32" s="117"/>
      <c r="F32" s="117"/>
      <c r="G32" s="196"/>
      <c r="H32" s="197"/>
      <c r="I32" s="197"/>
      <c r="J32" s="197"/>
      <c r="K32" s="197"/>
      <c r="L32" s="197"/>
    </row>
    <row r="33" spans="1:12" x14ac:dyDescent="0.25">
      <c r="A33" s="31" t="e">
        <f>IF(D31 = "",A31+C31,A31+D31)</f>
        <v>#VALUE!</v>
      </c>
      <c r="B33" s="37" t="e">
        <f>IF(D31 = "",B31+C31,B31+D31)</f>
        <v>#VALUE!</v>
      </c>
      <c r="C33" s="55">
        <v>0.10416666666666667</v>
      </c>
      <c r="D33" s="327" t="str">
        <f t="shared" si="3"/>
        <v/>
      </c>
      <c r="E33" s="56" t="e">
        <f t="shared" si="4"/>
        <v>#VALUE!</v>
      </c>
      <c r="F33" s="54" t="s">
        <v>523</v>
      </c>
      <c r="G33" s="190"/>
      <c r="H33" s="190"/>
      <c r="I33" s="191"/>
      <c r="J33" s="191"/>
      <c r="K33" s="191">
        <v>1621.69</v>
      </c>
      <c r="L33" s="191">
        <f t="shared" ref="L33:L42" si="6">SUM(I33:K33)</f>
        <v>1621.69</v>
      </c>
    </row>
    <row r="34" spans="1:12" x14ac:dyDescent="0.25">
      <c r="A34" s="31" t="e">
        <f t="shared" ref="A34:A44" si="7">IF(D33 = "",A33+C33,A33+D33)</f>
        <v>#VALUE!</v>
      </c>
      <c r="B34" s="37" t="e">
        <f t="shared" ref="B34:B44" si="8">IF(D33 = "",B33+C33,B33+D33)</f>
        <v>#VALUE!</v>
      </c>
      <c r="C34" s="55">
        <v>0.1388888888888889</v>
      </c>
      <c r="D34" s="327" t="str">
        <f t="shared" si="3"/>
        <v/>
      </c>
      <c r="E34" s="56" t="e">
        <f t="shared" si="4"/>
        <v>#VALUE!</v>
      </c>
      <c r="F34" s="54" t="s">
        <v>524</v>
      </c>
      <c r="G34" s="190"/>
      <c r="H34" s="190"/>
      <c r="I34" s="191"/>
      <c r="J34" s="191"/>
      <c r="K34" s="191">
        <v>260</v>
      </c>
      <c r="L34" s="191">
        <f t="shared" si="6"/>
        <v>260</v>
      </c>
    </row>
    <row r="35" spans="1:12" x14ac:dyDescent="0.25">
      <c r="A35" s="31" t="e">
        <f t="shared" si="7"/>
        <v>#VALUE!</v>
      </c>
      <c r="B35" s="37" t="e">
        <f t="shared" si="8"/>
        <v>#VALUE!</v>
      </c>
      <c r="C35" s="55">
        <v>0.1388888888888889</v>
      </c>
      <c r="D35" s="327" t="str">
        <f>IF(_xlfn.ISFORMULA(E35)=TRUE,"",E35-B35)</f>
        <v/>
      </c>
      <c r="E35" s="56" t="e">
        <f t="shared" si="4"/>
        <v>#VALUE!</v>
      </c>
      <c r="F35" s="54" t="s">
        <v>525</v>
      </c>
      <c r="G35" s="190"/>
      <c r="H35" s="190"/>
      <c r="I35" s="191"/>
      <c r="J35" s="191"/>
      <c r="K35" s="191">
        <v>260</v>
      </c>
      <c r="L35" s="191">
        <f t="shared" si="6"/>
        <v>260</v>
      </c>
    </row>
    <row r="36" spans="1:12" x14ac:dyDescent="0.25">
      <c r="A36" s="31" t="e">
        <f t="shared" si="7"/>
        <v>#VALUE!</v>
      </c>
      <c r="B36" s="37" t="e">
        <f t="shared" si="8"/>
        <v>#VALUE!</v>
      </c>
      <c r="C36" s="55">
        <v>0.15555555555555556</v>
      </c>
      <c r="D36" s="327" t="str">
        <f t="shared" si="3"/>
        <v/>
      </c>
      <c r="E36" s="56" t="e">
        <f t="shared" si="4"/>
        <v>#VALUE!</v>
      </c>
      <c r="F36" s="54" t="s">
        <v>526</v>
      </c>
      <c r="G36" s="190"/>
      <c r="H36" s="190"/>
      <c r="I36" s="191"/>
      <c r="J36" s="191"/>
      <c r="K36" s="191">
        <v>260</v>
      </c>
      <c r="L36" s="191">
        <f t="shared" si="6"/>
        <v>260</v>
      </c>
    </row>
    <row r="37" spans="1:12" x14ac:dyDescent="0.25">
      <c r="A37" s="31" t="e">
        <f t="shared" si="7"/>
        <v>#VALUE!</v>
      </c>
      <c r="B37" s="37" t="e">
        <f t="shared" si="8"/>
        <v>#VALUE!</v>
      </c>
      <c r="C37" s="55">
        <v>8.3333333333333329E-2</v>
      </c>
      <c r="D37" s="327" t="str">
        <f t="shared" si="3"/>
        <v/>
      </c>
      <c r="E37" s="56" t="e">
        <f t="shared" si="4"/>
        <v>#VALUE!</v>
      </c>
      <c r="F37" s="54" t="s">
        <v>516</v>
      </c>
      <c r="G37" s="190"/>
      <c r="H37" s="190"/>
      <c r="I37" s="191"/>
      <c r="J37" s="191"/>
      <c r="K37" s="191"/>
      <c r="L37" s="191"/>
    </row>
    <row r="38" spans="1:12" x14ac:dyDescent="0.25">
      <c r="A38" s="31" t="e">
        <f t="shared" si="7"/>
        <v>#VALUE!</v>
      </c>
      <c r="B38" s="37" t="e">
        <f t="shared" si="8"/>
        <v>#VALUE!</v>
      </c>
      <c r="C38" s="55">
        <v>0.125</v>
      </c>
      <c r="D38" s="327" t="str">
        <f t="shared" si="3"/>
        <v/>
      </c>
      <c r="E38" s="56" t="e">
        <f t="shared" si="4"/>
        <v>#VALUE!</v>
      </c>
      <c r="F38" s="54" t="s">
        <v>527</v>
      </c>
      <c r="G38" s="190"/>
      <c r="H38" s="190"/>
      <c r="I38" s="191"/>
      <c r="J38" s="191"/>
      <c r="K38" s="191"/>
      <c r="L38" s="191"/>
    </row>
    <row r="39" spans="1:12" x14ac:dyDescent="0.25">
      <c r="A39" s="31" t="e">
        <f t="shared" si="7"/>
        <v>#VALUE!</v>
      </c>
      <c r="B39" s="37" t="e">
        <f t="shared" si="8"/>
        <v>#VALUE!</v>
      </c>
      <c r="C39" s="55">
        <v>3.125E-2</v>
      </c>
      <c r="D39" s="327" t="str">
        <f t="shared" si="3"/>
        <v/>
      </c>
      <c r="E39" s="56" t="e">
        <f t="shared" si="4"/>
        <v>#VALUE!</v>
      </c>
      <c r="F39" s="54" t="s">
        <v>528</v>
      </c>
      <c r="G39" s="190"/>
      <c r="H39" s="190"/>
      <c r="I39" s="191"/>
      <c r="J39" s="191"/>
      <c r="K39" s="191">
        <v>537.97472222222211</v>
      </c>
      <c r="L39" s="191">
        <f t="shared" si="6"/>
        <v>537.97472222222211</v>
      </c>
    </row>
    <row r="40" spans="1:12" x14ac:dyDescent="0.25">
      <c r="A40" s="31" t="e">
        <f t="shared" si="7"/>
        <v>#VALUE!</v>
      </c>
      <c r="B40" s="37" t="e">
        <f t="shared" si="8"/>
        <v>#VALUE!</v>
      </c>
      <c r="C40" s="55">
        <v>0.10416666666666667</v>
      </c>
      <c r="D40" s="327" t="str">
        <f t="shared" si="3"/>
        <v/>
      </c>
      <c r="E40" s="56" t="e">
        <f t="shared" si="4"/>
        <v>#VALUE!</v>
      </c>
      <c r="F40" s="54" t="s">
        <v>516</v>
      </c>
      <c r="G40" s="190"/>
      <c r="H40" s="190"/>
      <c r="I40" s="191"/>
      <c r="J40" s="191"/>
      <c r="K40" s="191"/>
      <c r="L40" s="191"/>
    </row>
    <row r="41" spans="1:12" x14ac:dyDescent="0.25">
      <c r="A41" s="31" t="e">
        <f t="shared" si="7"/>
        <v>#VALUE!</v>
      </c>
      <c r="B41" s="37" t="e">
        <f t="shared" si="8"/>
        <v>#VALUE!</v>
      </c>
      <c r="C41" s="55">
        <v>6.9444444444444434E-2</v>
      </c>
      <c r="D41" s="327" t="str">
        <f t="shared" si="3"/>
        <v/>
      </c>
      <c r="E41" s="56" t="e">
        <f t="shared" si="4"/>
        <v>#VALUE!</v>
      </c>
      <c r="F41" s="54" t="s">
        <v>529</v>
      </c>
      <c r="G41" s="190"/>
      <c r="H41" s="190"/>
      <c r="I41" s="191"/>
      <c r="J41" s="191"/>
      <c r="K41" s="191"/>
      <c r="L41" s="191"/>
    </row>
    <row r="42" spans="1:12" x14ac:dyDescent="0.25">
      <c r="A42" s="31" t="e">
        <f t="shared" si="7"/>
        <v>#VALUE!</v>
      </c>
      <c r="B42" s="37" t="e">
        <f t="shared" si="8"/>
        <v>#VALUE!</v>
      </c>
      <c r="C42" s="55">
        <v>1.0416666666666666E-2</v>
      </c>
      <c r="D42" s="327" t="str">
        <f t="shared" si="3"/>
        <v/>
      </c>
      <c r="E42" s="56" t="e">
        <f t="shared" si="4"/>
        <v>#VALUE!</v>
      </c>
      <c r="F42" s="54" t="s">
        <v>530</v>
      </c>
      <c r="G42" s="190"/>
      <c r="H42" s="190"/>
      <c r="I42" s="191"/>
      <c r="J42" s="191"/>
      <c r="K42" s="191">
        <v>36.920694444444443</v>
      </c>
      <c r="L42" s="191">
        <f t="shared" si="6"/>
        <v>36.920694444444443</v>
      </c>
    </row>
    <row r="43" spans="1:12" x14ac:dyDescent="0.25">
      <c r="A43" s="31" t="e">
        <f t="shared" si="7"/>
        <v>#VALUE!</v>
      </c>
      <c r="B43" s="37" t="e">
        <f t="shared" si="8"/>
        <v>#VALUE!</v>
      </c>
      <c r="C43" s="55">
        <v>2.0833333333333332E-2</v>
      </c>
      <c r="D43" s="327" t="str">
        <f t="shared" si="3"/>
        <v/>
      </c>
      <c r="E43" s="56" t="e">
        <f t="shared" si="4"/>
        <v>#VALUE!</v>
      </c>
      <c r="F43" s="71" t="s">
        <v>531</v>
      </c>
      <c r="G43" s="190"/>
      <c r="H43" s="190"/>
      <c r="I43" s="191"/>
      <c r="J43" s="191"/>
      <c r="K43" s="191"/>
      <c r="L43" s="191"/>
    </row>
    <row r="44" spans="1:12" x14ac:dyDescent="0.25">
      <c r="A44" s="31" t="e">
        <f t="shared" si="7"/>
        <v>#VALUE!</v>
      </c>
      <c r="B44" s="37" t="e">
        <f t="shared" si="8"/>
        <v>#VALUE!</v>
      </c>
      <c r="C44" s="55">
        <v>0.10416666666666667</v>
      </c>
      <c r="D44" s="327" t="str">
        <f t="shared" si="3"/>
        <v/>
      </c>
      <c r="E44" s="56" t="e">
        <f t="shared" si="4"/>
        <v>#VALUE!</v>
      </c>
      <c r="F44" s="54" t="s">
        <v>520</v>
      </c>
      <c r="G44" s="190"/>
      <c r="H44" s="190"/>
      <c r="I44" s="191"/>
      <c r="J44" s="191"/>
      <c r="K44" s="191"/>
      <c r="L44" s="191"/>
    </row>
    <row r="45" spans="1:12" x14ac:dyDescent="0.25">
      <c r="A45" s="189" t="s">
        <v>532</v>
      </c>
      <c r="B45" s="189"/>
      <c r="C45" s="189"/>
      <c r="D45" s="189"/>
      <c r="E45" s="189"/>
      <c r="F45" s="189"/>
      <c r="G45" s="197"/>
      <c r="H45" s="197"/>
      <c r="I45" s="197"/>
      <c r="J45" s="197"/>
      <c r="K45" s="197"/>
      <c r="L45" s="197"/>
    </row>
    <row r="46" spans="1:12" x14ac:dyDescent="0.25">
      <c r="A46" s="31" t="e">
        <f>A37</f>
        <v>#VALUE!</v>
      </c>
      <c r="B46" s="37" t="e">
        <f>B37</f>
        <v>#VALUE!</v>
      </c>
      <c r="C46" s="174">
        <v>0.20833333333333334</v>
      </c>
      <c r="D46" s="327" t="str">
        <f t="shared" si="3"/>
        <v/>
      </c>
      <c r="E46" s="169" t="e">
        <f>B46+C46</f>
        <v>#VALUE!</v>
      </c>
      <c r="F46" s="175" t="s">
        <v>533</v>
      </c>
      <c r="G46" s="171"/>
      <c r="H46" s="171"/>
      <c r="I46" s="171">
        <v>85</v>
      </c>
      <c r="J46" s="171"/>
      <c r="K46" s="171"/>
      <c r="L46" s="171"/>
    </row>
    <row r="47" spans="1:12" ht="21" x14ac:dyDescent="0.55000000000000004">
      <c r="A47" s="53"/>
      <c r="B47" s="52" t="s">
        <v>534</v>
      </c>
      <c r="D47" s="51">
        <f>SUM(D13:D31,D33:D44)</f>
        <v>0</v>
      </c>
      <c r="G47" s="198" t="s">
        <v>535</v>
      </c>
      <c r="H47" s="199">
        <f>SUM(H13:H31,H33:H44)</f>
        <v>65</v>
      </c>
      <c r="I47" s="199">
        <f>SUM(I13:I31,I33:I46)</f>
        <v>242.39168514412415</v>
      </c>
      <c r="J47" s="199">
        <f>SUM(J13:J31,J33:J44)</f>
        <v>33.241492346938777</v>
      </c>
      <c r="K47" s="199">
        <f>SUM(K13:K31,K33:K44)</f>
        <v>5986.0072702020198</v>
      </c>
      <c r="L47" s="199">
        <f>SUM(L13:L31,L33:L44)</f>
        <v>6176.640447693082</v>
      </c>
    </row>
    <row r="48" spans="1:12" x14ac:dyDescent="0.25">
      <c r="B48" s="50" t="s">
        <v>536</v>
      </c>
      <c r="D48" s="49">
        <f>D47/24</f>
        <v>0</v>
      </c>
      <c r="G48" s="47"/>
      <c r="H48" s="47"/>
      <c r="I48" s="242" t="s">
        <v>537</v>
      </c>
      <c r="J48" s="47"/>
      <c r="K48" s="47"/>
      <c r="L48" s="47"/>
    </row>
    <row r="49" spans="4:12" x14ac:dyDescent="0.25">
      <c r="G49" s="47"/>
      <c r="H49" s="47"/>
      <c r="I49" s="47"/>
      <c r="J49" s="47"/>
      <c r="K49" s="47"/>
      <c r="L49" s="47"/>
    </row>
    <row r="50" spans="4:12" x14ac:dyDescent="0.25">
      <c r="G50" s="47"/>
      <c r="H50" s="47"/>
      <c r="I50" s="47"/>
      <c r="J50" s="47"/>
      <c r="K50" s="47"/>
      <c r="L50" s="47"/>
    </row>
    <row r="51" spans="4:12" x14ac:dyDescent="0.25">
      <c r="G51" s="47"/>
      <c r="H51" s="47"/>
      <c r="I51" s="47"/>
      <c r="J51" s="47"/>
      <c r="K51" s="47"/>
      <c r="L51" s="47"/>
    </row>
    <row r="52" spans="4:12" x14ac:dyDescent="0.25">
      <c r="D52" s="48"/>
      <c r="G52" s="47"/>
      <c r="H52" s="47"/>
      <c r="I52" s="47"/>
      <c r="J52" s="47"/>
      <c r="K52" s="47"/>
      <c r="L52" s="47"/>
    </row>
    <row r="53" spans="4:12" x14ac:dyDescent="0.25">
      <c r="G53" s="47"/>
      <c r="H53" s="47"/>
      <c r="I53" s="47"/>
      <c r="J53" s="47"/>
      <c r="K53" s="47"/>
      <c r="L53" s="47"/>
    </row>
    <row r="54" spans="4:12" x14ac:dyDescent="0.25">
      <c r="G54" s="47"/>
      <c r="H54" s="47"/>
      <c r="I54" s="47"/>
      <c r="J54" s="47"/>
      <c r="K54" s="47"/>
      <c r="L54" s="47"/>
    </row>
    <row r="55" spans="4:12" x14ac:dyDescent="0.25">
      <c r="G55" s="47"/>
      <c r="H55" s="47"/>
      <c r="I55" s="47"/>
      <c r="J55" s="47"/>
      <c r="K55" s="47"/>
      <c r="L55" s="47"/>
    </row>
    <row r="56" spans="4:12" x14ac:dyDescent="0.25">
      <c r="G56" s="47"/>
      <c r="H56" s="47"/>
      <c r="I56" s="47"/>
      <c r="J56" s="47"/>
      <c r="K56" s="47"/>
      <c r="L56" s="47"/>
    </row>
    <row r="57" spans="4:12" x14ac:dyDescent="0.25">
      <c r="G57" s="47"/>
      <c r="H57" s="47"/>
      <c r="I57" s="47"/>
      <c r="J57" s="47"/>
      <c r="K57" s="47"/>
      <c r="L57" s="47"/>
    </row>
    <row r="58" spans="4:12" x14ac:dyDescent="0.25">
      <c r="G58" s="47"/>
      <c r="H58" s="47"/>
      <c r="I58" s="47"/>
      <c r="J58" s="47"/>
      <c r="K58" s="47"/>
      <c r="L58" s="47"/>
    </row>
    <row r="59" spans="4:12" x14ac:dyDescent="0.25">
      <c r="G59" s="47"/>
      <c r="H59" s="47"/>
      <c r="I59" s="47"/>
      <c r="J59" s="47"/>
      <c r="K59" s="47"/>
      <c r="L59" s="47"/>
    </row>
    <row r="60" spans="4:12" x14ac:dyDescent="0.25">
      <c r="G60" s="47"/>
      <c r="H60" s="47"/>
      <c r="I60" s="47"/>
      <c r="J60" s="47"/>
      <c r="K60" s="47"/>
      <c r="L60" s="47"/>
    </row>
    <row r="61" spans="4:12" x14ac:dyDescent="0.25">
      <c r="G61" s="47"/>
      <c r="H61" s="47"/>
      <c r="I61" s="47"/>
      <c r="J61" s="47"/>
      <c r="K61" s="47"/>
      <c r="L61" s="47"/>
    </row>
    <row r="62" spans="4:12" x14ac:dyDescent="0.25">
      <c r="G62" s="47"/>
      <c r="H62" s="47"/>
      <c r="I62" s="47"/>
      <c r="J62" s="47"/>
      <c r="K62" s="47"/>
      <c r="L62" s="47"/>
    </row>
    <row r="63" spans="4:12" x14ac:dyDescent="0.25">
      <c r="G63" s="47"/>
      <c r="H63" s="47"/>
      <c r="I63" s="47"/>
      <c r="J63" s="47"/>
      <c r="K63" s="47"/>
      <c r="L63" s="47"/>
    </row>
    <row r="64" spans="4:12" x14ac:dyDescent="0.25">
      <c r="G64" s="47"/>
      <c r="H64" s="47"/>
      <c r="I64" s="47"/>
      <c r="J64" s="47"/>
      <c r="K64" s="47"/>
      <c r="L64" s="47"/>
    </row>
    <row r="65" spans="6:12" x14ac:dyDescent="0.25">
      <c r="G65" s="47"/>
      <c r="H65" s="47"/>
      <c r="I65" s="47"/>
      <c r="J65" s="47"/>
      <c r="K65" s="47"/>
      <c r="L65" s="47"/>
    </row>
    <row r="66" spans="6:12" x14ac:dyDescent="0.25">
      <c r="G66" s="47"/>
      <c r="H66" s="47"/>
      <c r="I66" s="47"/>
      <c r="J66" s="47"/>
      <c r="K66" s="47"/>
      <c r="L66" s="47"/>
    </row>
    <row r="67" spans="6:12" x14ac:dyDescent="0.25">
      <c r="G67" s="47"/>
      <c r="H67" s="47"/>
      <c r="I67" s="47"/>
      <c r="J67" s="47"/>
      <c r="K67" s="47"/>
      <c r="L67" s="47"/>
    </row>
    <row r="68" spans="6:12" x14ac:dyDescent="0.25">
      <c r="G68" s="47"/>
      <c r="H68" s="47"/>
      <c r="I68" s="47"/>
      <c r="J68" s="47"/>
      <c r="K68" s="47"/>
      <c r="L68" s="47"/>
    </row>
    <row r="69" spans="6:12" x14ac:dyDescent="0.25">
      <c r="F69" s="47"/>
    </row>
    <row r="70" spans="6:12" x14ac:dyDescent="0.25">
      <c r="F70" s="47"/>
    </row>
  </sheetData>
  <mergeCells count="2">
    <mergeCell ref="A1:B1"/>
    <mergeCell ref="A5:D5"/>
  </mergeCells>
  <pageMargins left="0.75" right="0.75" top="1" bottom="1" header="0.5" footer="0.5"/>
  <pageSetup orientation="portrait" r:id="rId1"/>
  <headerFooter alignWithMargins="0">
    <oddFooter>&amp;R&amp;"Arial,Regular"&amp;08&amp;K7F7F7FAmgen Proprietary - Confidential   &amp;C&amp;"Calibri"&amp;11&amp;K000000&amp;"Calibri"&amp;11&amp;K000000&amp;"Arial,Regular"&amp;08&amp;K7F7F7FAmgen Proprietary - For Internal Use Only_x000D_&amp;1#&amp;"Calibri"&amp;10&amp;K000000 Non-Amgen</oddFooter>
    <evenFooter>&amp;R&amp;"Arial,Regular"&amp;08&amp;K7F7F7FAmgen Proprietary - Confidential   &amp;C&amp;"Arial,Regular"&amp;08&amp;K7F7F7FAmgen Proprietary - For Internal Use Only</evenFooter>
    <firstFooter>&amp;R&amp;"Arial,Regular"&amp;08&amp;K7F7F7FAmgen Proprietary - Confidential   &amp;C&amp;"Arial,Regular"&amp;08&amp;K7F7F7FAmgen Proprietary - For Internal Use Only</first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6DACE4-F8FD-41B1-A98A-C4BE82F32AB9}">
  <sheetPr codeName="Sheet53">
    <pageSetUpPr autoPageBreaks="0"/>
  </sheetPr>
  <dimension ref="A1:I46"/>
  <sheetViews>
    <sheetView topLeftCell="A10" zoomScale="110" zoomScaleNormal="110" workbookViewId="0">
      <selection activeCell="A20" sqref="A20"/>
    </sheetView>
  </sheetViews>
  <sheetFormatPr defaultColWidth="23.453125" defaultRowHeight="11.5" x14ac:dyDescent="0.25"/>
  <cols>
    <col min="1" max="2" width="23.54296875" style="25" bestFit="1" customWidth="1"/>
    <col min="3" max="3" width="20.453125" style="25" bestFit="1" customWidth="1"/>
    <col min="4" max="4" width="17.453125" style="25" bestFit="1" customWidth="1"/>
    <col min="5" max="5" width="23.453125" style="25"/>
    <col min="6" max="6" width="51.453125" style="25" customWidth="1"/>
    <col min="7" max="7" width="27.453125" style="25" customWidth="1"/>
    <col min="8" max="8" width="9" style="25" bestFit="1" customWidth="1"/>
    <col min="9" max="9" width="9.54296875" style="25" bestFit="1" customWidth="1"/>
    <col min="10" max="16384" width="23.453125" style="25"/>
  </cols>
  <sheetData>
    <row r="1" spans="1:9" ht="12" thickBot="1" x14ac:dyDescent="0.3">
      <c r="A1" s="1047" t="s">
        <v>479</v>
      </c>
      <c r="B1" s="1048"/>
    </row>
    <row r="2" spans="1:9" x14ac:dyDescent="0.25">
      <c r="A2" s="43" t="s">
        <v>480</v>
      </c>
      <c r="B2" s="319" t="s">
        <v>538</v>
      </c>
    </row>
    <row r="3" spans="1:9" ht="12" thickBot="1" x14ac:dyDescent="0.3">
      <c r="A3" s="42" t="s">
        <v>482</v>
      </c>
      <c r="B3" s="239" t="s">
        <v>539</v>
      </c>
    </row>
    <row r="5" spans="1:9" x14ac:dyDescent="0.25">
      <c r="A5" s="1049" t="s">
        <v>484</v>
      </c>
      <c r="B5" s="1050"/>
      <c r="C5" s="1050"/>
      <c r="D5" s="1051"/>
    </row>
    <row r="6" spans="1:9" x14ac:dyDescent="0.25">
      <c r="A6" s="781" t="s">
        <v>485</v>
      </c>
      <c r="B6" s="781" t="s">
        <v>486</v>
      </c>
      <c r="C6" s="781" t="s">
        <v>487</v>
      </c>
      <c r="D6" s="781" t="s">
        <v>488</v>
      </c>
    </row>
    <row r="7" spans="1:9" x14ac:dyDescent="0.25">
      <c r="A7" s="41" t="str">
        <f>F14</f>
        <v>IPC1.0: Reaction Conversion</v>
      </c>
      <c r="B7" s="40" t="e">
        <f>INDEX($A$11:$A$54,MATCH(A7,$F$11:$F$54,0))</f>
        <v>#VALUE!</v>
      </c>
      <c r="C7" s="37" t="e">
        <f>INDEX($B$11:$B$54,MATCH(A7,$F$11:$F$54,0))</f>
        <v>#VALUE!</v>
      </c>
      <c r="D7" s="297"/>
    </row>
    <row r="8" spans="1:9" x14ac:dyDescent="0.25">
      <c r="A8" s="41" t="str">
        <f>F21</f>
        <v>IPC2.0: Purity, LOD</v>
      </c>
      <c r="B8" s="40" t="e">
        <f>INDEX($A$11:$A$54,MATCH(A8,$F$11:$F$54,0))</f>
        <v>#VALUE!</v>
      </c>
      <c r="C8" s="37" t="e">
        <f>INDEX($B$11:$B$54,MATCH(A8,$F$11:$F$54,0))</f>
        <v>#VALUE!</v>
      </c>
      <c r="D8" s="297"/>
      <c r="E8" s="298"/>
    </row>
    <row r="10" spans="1:9" ht="23.5" thickBot="1" x14ac:dyDescent="0.3">
      <c r="A10" s="749" t="s">
        <v>492</v>
      </c>
      <c r="B10" s="749" t="s">
        <v>493</v>
      </c>
      <c r="C10" s="749" t="s">
        <v>494</v>
      </c>
      <c r="D10" s="86" t="s">
        <v>495</v>
      </c>
      <c r="E10" s="749" t="s">
        <v>540</v>
      </c>
      <c r="F10" s="749" t="s">
        <v>541</v>
      </c>
      <c r="G10" s="749" t="s">
        <v>498</v>
      </c>
      <c r="H10" s="184" t="s">
        <v>112</v>
      </c>
      <c r="I10" s="749" t="s">
        <v>542</v>
      </c>
    </row>
    <row r="11" spans="1:9" x14ac:dyDescent="0.25">
      <c r="A11" s="31" t="str">
        <f>B2</f>
        <v>Insert Date Here</v>
      </c>
      <c r="B11" s="231" t="str">
        <f>B3</f>
        <v>Insert Time Here</v>
      </c>
      <c r="C11" s="314">
        <v>0.10416666666666667</v>
      </c>
      <c r="D11" s="327" t="str">
        <f t="shared" ref="D11:D22" si="0">IF(_xlfn.ISFORMULA(E11)=TRUE,"",E11-B11)</f>
        <v/>
      </c>
      <c r="E11" s="37" t="e">
        <f t="shared" ref="E11:E22" si="1">B11+C11</f>
        <v>#VALUE!</v>
      </c>
      <c r="F11" s="232" t="s">
        <v>543</v>
      </c>
      <c r="G11" s="78"/>
      <c r="H11" s="78"/>
      <c r="I11" s="78"/>
    </row>
    <row r="12" spans="1:9" ht="12.75" customHeight="1" x14ac:dyDescent="0.25">
      <c r="A12" s="31" t="e">
        <f t="shared" ref="A12:A22" si="2">IF(D11 = "",A11+C11,A11+D11)</f>
        <v>#VALUE!</v>
      </c>
      <c r="B12" s="37" t="e">
        <f t="shared" ref="B12:B22" si="3">IF(D11 = "",B11+C11,B11+D11)</f>
        <v>#VALUE!</v>
      </c>
      <c r="C12" s="315">
        <v>4.1666666666666664E-2</v>
      </c>
      <c r="D12" s="327" t="str">
        <f t="shared" si="0"/>
        <v/>
      </c>
      <c r="E12" s="37" t="e">
        <f t="shared" si="1"/>
        <v>#VALUE!</v>
      </c>
      <c r="F12" s="232" t="s">
        <v>544</v>
      </c>
      <c r="G12" s="35"/>
      <c r="H12" s="35"/>
      <c r="I12" s="35"/>
    </row>
    <row r="13" spans="1:9" ht="12.75" customHeight="1" x14ac:dyDescent="0.25">
      <c r="A13" s="31" t="e">
        <f t="shared" si="2"/>
        <v>#VALUE!</v>
      </c>
      <c r="B13" s="37" t="e">
        <f t="shared" si="3"/>
        <v>#VALUE!</v>
      </c>
      <c r="C13" s="315">
        <v>0.20833333333333334</v>
      </c>
      <c r="D13" s="327" t="str">
        <f t="shared" si="0"/>
        <v/>
      </c>
      <c r="E13" s="37" t="e">
        <f t="shared" si="1"/>
        <v>#VALUE!</v>
      </c>
      <c r="F13" s="232" t="s">
        <v>545</v>
      </c>
      <c r="G13" s="39"/>
      <c r="H13" s="39"/>
      <c r="I13" s="39"/>
    </row>
    <row r="14" spans="1:9" ht="13.5" customHeight="1" x14ac:dyDescent="0.25">
      <c r="A14" s="31" t="e">
        <f t="shared" si="2"/>
        <v>#VALUE!</v>
      </c>
      <c r="B14" s="37" t="e">
        <f t="shared" si="3"/>
        <v>#VALUE!</v>
      </c>
      <c r="C14" s="315">
        <v>0.1875</v>
      </c>
      <c r="D14" s="327" t="str">
        <f t="shared" si="0"/>
        <v/>
      </c>
      <c r="E14" s="37" t="e">
        <f t="shared" si="1"/>
        <v>#VALUE!</v>
      </c>
      <c r="F14" s="233" t="s">
        <v>546</v>
      </c>
      <c r="G14" s="35"/>
      <c r="H14" s="35"/>
      <c r="I14" s="35"/>
    </row>
    <row r="15" spans="1:9" x14ac:dyDescent="0.25">
      <c r="A15" s="31" t="e">
        <f t="shared" si="2"/>
        <v>#VALUE!</v>
      </c>
      <c r="B15" s="37" t="e">
        <f t="shared" si="3"/>
        <v>#VALUE!</v>
      </c>
      <c r="C15" s="316">
        <v>0.57638888888888895</v>
      </c>
      <c r="D15" s="327" t="str">
        <f t="shared" si="0"/>
        <v/>
      </c>
      <c r="E15" s="37" t="e">
        <f t="shared" si="1"/>
        <v>#VALUE!</v>
      </c>
      <c r="F15" s="232" t="s">
        <v>547</v>
      </c>
      <c r="G15" s="35"/>
      <c r="H15" s="235"/>
      <c r="I15" s="235"/>
    </row>
    <row r="16" spans="1:9" ht="13.5" customHeight="1" x14ac:dyDescent="0.25">
      <c r="A16" s="31" t="e">
        <f t="shared" si="2"/>
        <v>#VALUE!</v>
      </c>
      <c r="B16" s="37" t="e">
        <f t="shared" si="3"/>
        <v>#VALUE!</v>
      </c>
      <c r="C16" s="316">
        <v>0.2638888888888889</v>
      </c>
      <c r="D16" s="327" t="str">
        <f t="shared" si="0"/>
        <v/>
      </c>
      <c r="E16" s="37" t="e">
        <f t="shared" si="1"/>
        <v>#VALUE!</v>
      </c>
      <c r="F16" s="232" t="s">
        <v>548</v>
      </c>
      <c r="G16" s="35"/>
      <c r="H16" s="252">
        <v>384</v>
      </c>
      <c r="I16" s="252">
        <v>384</v>
      </c>
    </row>
    <row r="17" spans="1:9" ht="12" customHeight="1" x14ac:dyDescent="0.25">
      <c r="A17" s="31" t="e">
        <f t="shared" si="2"/>
        <v>#VALUE!</v>
      </c>
      <c r="B17" s="37" t="e">
        <f t="shared" si="3"/>
        <v>#VALUE!</v>
      </c>
      <c r="C17" s="316">
        <v>4.8611111111111112E-2</v>
      </c>
      <c r="D17" s="327" t="str">
        <f t="shared" si="0"/>
        <v/>
      </c>
      <c r="E17" s="37" t="e">
        <f t="shared" si="1"/>
        <v>#VALUE!</v>
      </c>
      <c r="F17" s="232" t="s">
        <v>549</v>
      </c>
      <c r="G17" s="39"/>
      <c r="H17" s="1052">
        <v>677.74</v>
      </c>
      <c r="I17" s="1052">
        <f>SUM(H17)</f>
        <v>677.74</v>
      </c>
    </row>
    <row r="18" spans="1:9" ht="12.75" customHeight="1" x14ac:dyDescent="0.25">
      <c r="A18" s="31" t="e">
        <f t="shared" si="2"/>
        <v>#VALUE!</v>
      </c>
      <c r="B18" s="37" t="e">
        <f t="shared" si="3"/>
        <v>#VALUE!</v>
      </c>
      <c r="C18" s="316">
        <v>6.25E-2</v>
      </c>
      <c r="D18" s="327" t="str">
        <f t="shared" si="0"/>
        <v/>
      </c>
      <c r="E18" s="37" t="e">
        <f t="shared" si="1"/>
        <v>#VALUE!</v>
      </c>
      <c r="F18" s="232" t="s">
        <v>550</v>
      </c>
      <c r="G18" s="35"/>
      <c r="H18" s="1052"/>
      <c r="I18" s="1052"/>
    </row>
    <row r="19" spans="1:9" x14ac:dyDescent="0.25">
      <c r="A19" s="31" t="e">
        <f t="shared" si="2"/>
        <v>#VALUE!</v>
      </c>
      <c r="B19" s="37" t="e">
        <f t="shared" si="3"/>
        <v>#VALUE!</v>
      </c>
      <c r="C19" s="315">
        <v>0.42708333333333331</v>
      </c>
      <c r="D19" s="327" t="str">
        <f t="shared" si="0"/>
        <v/>
      </c>
      <c r="E19" s="37" t="e">
        <f t="shared" si="1"/>
        <v>#VALUE!</v>
      </c>
      <c r="F19" s="232" t="s">
        <v>551</v>
      </c>
      <c r="G19" s="35"/>
      <c r="H19" s="1052"/>
      <c r="I19" s="1052"/>
    </row>
    <row r="20" spans="1:9" x14ac:dyDescent="0.25">
      <c r="A20" s="31" t="e">
        <f t="shared" si="2"/>
        <v>#VALUE!</v>
      </c>
      <c r="B20" s="37" t="e">
        <f t="shared" si="3"/>
        <v>#VALUE!</v>
      </c>
      <c r="C20" s="315">
        <v>6.25E-2</v>
      </c>
      <c r="D20" s="327" t="str">
        <f t="shared" si="0"/>
        <v/>
      </c>
      <c r="E20" s="37" t="e">
        <f t="shared" si="1"/>
        <v>#VALUE!</v>
      </c>
      <c r="F20" s="240" t="s">
        <v>552</v>
      </c>
      <c r="G20" s="178"/>
      <c r="H20" s="773"/>
      <c r="I20" s="773"/>
    </row>
    <row r="21" spans="1:9" ht="12" customHeight="1" x14ac:dyDescent="0.25">
      <c r="A21" s="31" t="e">
        <f t="shared" si="2"/>
        <v>#VALUE!</v>
      </c>
      <c r="B21" s="37" t="e">
        <f t="shared" si="3"/>
        <v>#VALUE!</v>
      </c>
      <c r="C21" s="315">
        <v>0.27083333333333331</v>
      </c>
      <c r="D21" s="327" t="str">
        <f t="shared" si="0"/>
        <v/>
      </c>
      <c r="E21" s="37" t="e">
        <f t="shared" si="1"/>
        <v>#VALUE!</v>
      </c>
      <c r="F21" s="263" t="s">
        <v>553</v>
      </c>
      <c r="G21" s="178"/>
      <c r="H21" s="35"/>
      <c r="I21" s="35"/>
    </row>
    <row r="22" spans="1:9" ht="12" customHeight="1" x14ac:dyDescent="0.25">
      <c r="A22" s="31" t="e">
        <f t="shared" si="2"/>
        <v>#VALUE!</v>
      </c>
      <c r="B22" s="37" t="e">
        <f t="shared" si="3"/>
        <v>#VALUE!</v>
      </c>
      <c r="C22" s="315">
        <v>0.10416666666666667</v>
      </c>
      <c r="D22" s="327" t="str">
        <f t="shared" si="0"/>
        <v/>
      </c>
      <c r="E22" s="37" t="e">
        <f t="shared" si="1"/>
        <v>#VALUE!</v>
      </c>
      <c r="F22" s="234" t="s">
        <v>554</v>
      </c>
      <c r="G22" s="178"/>
      <c r="H22" s="35"/>
      <c r="I22" s="35"/>
    </row>
    <row r="23" spans="1:9" ht="21" x14ac:dyDescent="0.55000000000000004">
      <c r="A23" s="34"/>
      <c r="B23" s="33" t="s">
        <v>534</v>
      </c>
      <c r="C23" s="32">
        <f>SUM(C11:C22)</f>
        <v>2.3576388888888888</v>
      </c>
      <c r="D23" s="32">
        <f>SUM(D11:D22)</f>
        <v>0</v>
      </c>
      <c r="G23" s="182" t="s">
        <v>535</v>
      </c>
      <c r="H23" s="253">
        <f>SUM(H11:H22)</f>
        <v>1061.74</v>
      </c>
      <c r="I23" s="183">
        <f>SUM(I11:I22)</f>
        <v>1061.74</v>
      </c>
    </row>
    <row r="24" spans="1:9" x14ac:dyDescent="0.25">
      <c r="B24" s="31" t="s">
        <v>536</v>
      </c>
      <c r="C24" s="30">
        <f>(C23*60)/1440</f>
        <v>9.8234953703703706E-2</v>
      </c>
      <c r="D24" s="30">
        <f>(D23*60)/1440</f>
        <v>0</v>
      </c>
      <c r="G24" s="26"/>
      <c r="H24" s="26"/>
    </row>
    <row r="25" spans="1:9" x14ac:dyDescent="0.25">
      <c r="C25" s="774"/>
      <c r="G25" s="26"/>
      <c r="H25" s="26"/>
    </row>
    <row r="26" spans="1:9" x14ac:dyDescent="0.25">
      <c r="G26" s="26"/>
      <c r="H26" s="26"/>
    </row>
    <row r="27" spans="1:9" hidden="1" x14ac:dyDescent="0.25">
      <c r="A27" s="1053" t="s">
        <v>555</v>
      </c>
      <c r="B27" s="1054"/>
      <c r="G27" s="26"/>
      <c r="H27" s="26"/>
    </row>
    <row r="28" spans="1:9" hidden="1" x14ac:dyDescent="0.25">
      <c r="A28" s="781" t="s">
        <v>556</v>
      </c>
      <c r="B28" s="29" t="e">
        <f>MAX(A18,#REF!)</f>
        <v>#REF!</v>
      </c>
      <c r="G28" s="26"/>
      <c r="H28" s="26"/>
    </row>
    <row r="29" spans="1:9" hidden="1" x14ac:dyDescent="0.25">
      <c r="A29" s="781" t="s">
        <v>557</v>
      </c>
      <c r="B29" s="28" t="e">
        <f>MAX((#REF!+#REF!),(B18+C18))</f>
        <v>#REF!</v>
      </c>
      <c r="G29" s="26"/>
      <c r="H29" s="26"/>
    </row>
    <row r="30" spans="1:9" x14ac:dyDescent="0.25">
      <c r="G30" s="26"/>
      <c r="H30" s="26"/>
    </row>
    <row r="31" spans="1:9" x14ac:dyDescent="0.25">
      <c r="G31" s="26"/>
      <c r="H31" s="26"/>
    </row>
    <row r="32" spans="1:9" x14ac:dyDescent="0.25">
      <c r="G32" s="26"/>
      <c r="H32" s="26"/>
    </row>
    <row r="33" spans="3:8" x14ac:dyDescent="0.25">
      <c r="G33" s="26"/>
      <c r="H33" s="26"/>
    </row>
    <row r="34" spans="3:8" x14ac:dyDescent="0.25">
      <c r="C34" s="27"/>
      <c r="D34" s="27"/>
      <c r="G34" s="26"/>
      <c r="H34" s="26"/>
    </row>
    <row r="35" spans="3:8" x14ac:dyDescent="0.25">
      <c r="G35" s="26"/>
      <c r="H35" s="26"/>
    </row>
    <row r="36" spans="3:8" x14ac:dyDescent="0.25">
      <c r="G36" s="26"/>
      <c r="H36" s="26"/>
    </row>
    <row r="37" spans="3:8" x14ac:dyDescent="0.25">
      <c r="G37" s="26"/>
      <c r="H37" s="26"/>
    </row>
    <row r="38" spans="3:8" x14ac:dyDescent="0.25">
      <c r="G38" s="26"/>
      <c r="H38" s="26"/>
    </row>
    <row r="39" spans="3:8" x14ac:dyDescent="0.25">
      <c r="G39" s="26"/>
      <c r="H39" s="26"/>
    </row>
    <row r="40" spans="3:8" x14ac:dyDescent="0.25">
      <c r="G40" s="26"/>
      <c r="H40" s="26"/>
    </row>
    <row r="41" spans="3:8" x14ac:dyDescent="0.25">
      <c r="G41" s="26"/>
      <c r="H41" s="26"/>
    </row>
    <row r="42" spans="3:8" x14ac:dyDescent="0.25">
      <c r="G42" s="26"/>
      <c r="H42" s="26"/>
    </row>
    <row r="43" spans="3:8" x14ac:dyDescent="0.25">
      <c r="G43" s="26"/>
      <c r="H43" s="26"/>
    </row>
    <row r="44" spans="3:8" x14ac:dyDescent="0.25">
      <c r="G44" s="26"/>
      <c r="H44" s="26"/>
    </row>
    <row r="45" spans="3:8" x14ac:dyDescent="0.25">
      <c r="F45" s="26"/>
    </row>
    <row r="46" spans="3:8" x14ac:dyDescent="0.25">
      <c r="F46" s="26"/>
    </row>
  </sheetData>
  <mergeCells count="5">
    <mergeCell ref="A1:B1"/>
    <mergeCell ref="A5:D5"/>
    <mergeCell ref="H17:H19"/>
    <mergeCell ref="I17:I19"/>
    <mergeCell ref="A27:B27"/>
  </mergeCells>
  <pageMargins left="0.75" right="0.75" top="1" bottom="1" header="0.5" footer="0.5"/>
  <pageSetup orientation="portrait" r:id="rId1"/>
  <headerFooter alignWithMargins="0">
    <oddFooter>&amp;R&amp;"Arial,Regular"&amp;08&amp;K7F7F7FAmgen Proprietary - Confidential   &amp;C&amp;"Calibri"&amp;11&amp;K000000&amp;"Calibri"&amp;11&amp;K000000&amp;"Arial,Regular"&amp;08&amp;K7F7F7FAmgen Proprietary - For Internal Use Only_x000D_&amp;1#&amp;"Calibri"&amp;10&amp;K000000 Non-Amgen</oddFooter>
    <evenFooter>&amp;R&amp;"Arial,Regular"&amp;08&amp;K7F7F7FAmgen Proprietary - Confidential   &amp;C&amp;"Arial,Regular"&amp;08&amp;K7F7F7FAmgen Proprietary - For Internal Use Only</evenFooter>
    <firstFooter>&amp;R&amp;"Arial,Regular"&amp;08&amp;K7F7F7FAmgen Proprietary - Confidential   &amp;C&amp;"Arial,Regular"&amp;08&amp;K7F7F7FAmgen Proprietary - For Internal Use Only</first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65C62-BEDC-4EB7-867A-00FE536F1E0B}">
  <sheetPr codeName="Sheet46">
    <pageSetUpPr autoPageBreaks="0"/>
  </sheetPr>
  <dimension ref="A1:M54"/>
  <sheetViews>
    <sheetView topLeftCell="A16" workbookViewId="0">
      <selection activeCell="B27" sqref="B27"/>
    </sheetView>
  </sheetViews>
  <sheetFormatPr defaultColWidth="9.453125" defaultRowHeight="11.5" x14ac:dyDescent="0.25"/>
  <cols>
    <col min="1" max="1" width="25" style="25" bestFit="1" customWidth="1"/>
    <col min="2" max="2" width="23.453125" style="25" bestFit="1" customWidth="1"/>
    <col min="3" max="3" width="23.453125" style="25" customWidth="1"/>
    <col min="4" max="4" width="20.54296875" style="25" customWidth="1"/>
    <col min="5" max="5" width="21.54296875" style="25" customWidth="1"/>
    <col min="6" max="6" width="50.54296875" style="25" customWidth="1"/>
    <col min="7" max="7" width="43.453125" style="25" bestFit="1" customWidth="1"/>
    <col min="8" max="11" width="14.453125" style="25" customWidth="1"/>
    <col min="12" max="16384" width="9.453125" style="25"/>
  </cols>
  <sheetData>
    <row r="1" spans="1:13" ht="12" thickBot="1" x14ac:dyDescent="0.3">
      <c r="A1" s="1053" t="s">
        <v>479</v>
      </c>
      <c r="B1" s="1054"/>
    </row>
    <row r="2" spans="1:13" ht="12" thickBot="1" x14ac:dyDescent="0.3">
      <c r="A2" s="772" t="s">
        <v>480</v>
      </c>
      <c r="B2" s="115" t="s">
        <v>558</v>
      </c>
    </row>
    <row r="3" spans="1:13" x14ac:dyDescent="0.25">
      <c r="A3" s="772" t="s">
        <v>482</v>
      </c>
      <c r="B3" s="454" t="s">
        <v>558</v>
      </c>
    </row>
    <row r="5" spans="1:13" x14ac:dyDescent="0.25">
      <c r="A5" s="1049" t="s">
        <v>484</v>
      </c>
      <c r="B5" s="1050"/>
      <c r="C5" s="1050"/>
      <c r="D5" s="1051"/>
    </row>
    <row r="6" spans="1:13" x14ac:dyDescent="0.25">
      <c r="A6" s="781" t="s">
        <v>485</v>
      </c>
      <c r="B6" s="781" t="s">
        <v>486</v>
      </c>
      <c r="C6" s="781" t="s">
        <v>487</v>
      </c>
      <c r="D6" s="781" t="s">
        <v>488</v>
      </c>
    </row>
    <row r="7" spans="1:13" x14ac:dyDescent="0.25">
      <c r="A7" s="41" t="str">
        <f>F16</f>
        <v>IPC: Reaction Conversion</v>
      </c>
      <c r="B7" s="455" t="e">
        <f>INDEX($A$11:$A$61,MATCH(A7,$F$11:$F$58,0))</f>
        <v>#VALUE!</v>
      </c>
      <c r="C7" s="37" t="e">
        <f>INDEX($A$11:$A$61,MATCH(A7,$F$11:$F$58,0))</f>
        <v>#VALUE!</v>
      </c>
      <c r="D7" s="475"/>
    </row>
    <row r="8" spans="1:13" x14ac:dyDescent="0.25">
      <c r="A8" s="35" t="s">
        <v>559</v>
      </c>
      <c r="B8" s="455" t="e">
        <f>INDEX($A$11:$A$61,MATCH(A8,$F$11:$F$58,0))</f>
        <v>#VALUE!</v>
      </c>
      <c r="C8" s="37" t="e">
        <f>INDEX($A$11:$A$61,MATCH(A8,$F$11:$F$58,0))</f>
        <v>#VALUE!</v>
      </c>
      <c r="D8" s="110"/>
    </row>
    <row r="9" spans="1:13" x14ac:dyDescent="0.25">
      <c r="B9" s="453"/>
    </row>
    <row r="10" spans="1:13" ht="23" x14ac:dyDescent="0.25">
      <c r="A10" s="749" t="s">
        <v>492</v>
      </c>
      <c r="B10" s="749" t="s">
        <v>493</v>
      </c>
      <c r="C10" s="749" t="s">
        <v>494</v>
      </c>
      <c r="D10" s="86" t="s">
        <v>495</v>
      </c>
      <c r="E10" s="749" t="s">
        <v>560</v>
      </c>
      <c r="F10" s="749" t="s">
        <v>541</v>
      </c>
      <c r="G10" s="749" t="s">
        <v>498</v>
      </c>
      <c r="H10" s="749" t="s">
        <v>561</v>
      </c>
      <c r="I10" s="749" t="s">
        <v>126</v>
      </c>
      <c r="J10" s="749" t="s">
        <v>92</v>
      </c>
      <c r="K10" s="749" t="s">
        <v>501</v>
      </c>
    </row>
    <row r="11" spans="1:13" x14ac:dyDescent="0.25">
      <c r="A11" s="31" t="str">
        <f>B2</f>
        <v>Insert time and date here</v>
      </c>
      <c r="B11" s="38" t="str">
        <f>B3</f>
        <v>Insert time and date here</v>
      </c>
      <c r="C11" s="36">
        <v>5.2083333333333336E-2</v>
      </c>
      <c r="D11" s="327" t="str">
        <f t="shared" ref="D11:D28" si="0">IF(_xlfn.ISFORMULA(E11)=TRUE,"",E11-B11)</f>
        <v/>
      </c>
      <c r="E11" s="114" t="e">
        <f t="shared" ref="E11:E16" si="1">B11+C11</f>
        <v>#VALUE!</v>
      </c>
      <c r="F11" s="35" t="s">
        <v>562</v>
      </c>
      <c r="G11" s="35"/>
      <c r="H11" s="684"/>
      <c r="I11" s="684"/>
      <c r="J11" s="684"/>
      <c r="K11" s="684"/>
      <c r="L11" s="1057"/>
      <c r="M11" s="1056"/>
    </row>
    <row r="12" spans="1:13" ht="12.75" customHeight="1" x14ac:dyDescent="0.25">
      <c r="A12" s="31" t="e">
        <f t="shared" ref="A12:A28" si="2">IF(D11 = "",A11+C11,A11+D11)</f>
        <v>#VALUE!</v>
      </c>
      <c r="B12" s="37" t="e">
        <f t="shared" ref="B12:B28" si="3">IF(D11 = "",B11+C11,B11+D11)</f>
        <v>#VALUE!</v>
      </c>
      <c r="C12" s="36">
        <v>0.41666666666666669</v>
      </c>
      <c r="D12" s="327" t="str">
        <f t="shared" si="0"/>
        <v/>
      </c>
      <c r="E12" s="114" t="e">
        <f t="shared" si="1"/>
        <v>#VALUE!</v>
      </c>
      <c r="F12" s="35" t="s">
        <v>563</v>
      </c>
      <c r="G12" s="35"/>
      <c r="H12" s="684"/>
      <c r="I12" s="684"/>
      <c r="J12" s="684"/>
      <c r="K12" s="684"/>
      <c r="L12" s="1055"/>
      <c r="M12" s="1056"/>
    </row>
    <row r="13" spans="1:13" ht="12" customHeight="1" x14ac:dyDescent="0.25">
      <c r="A13" s="31" t="e">
        <f t="shared" si="2"/>
        <v>#VALUE!</v>
      </c>
      <c r="B13" s="37" t="e">
        <f t="shared" si="3"/>
        <v>#VALUE!</v>
      </c>
      <c r="C13" s="36">
        <v>0.22916666666666666</v>
      </c>
      <c r="D13" s="327" t="str">
        <f t="shared" si="0"/>
        <v/>
      </c>
      <c r="E13" s="114" t="e">
        <f t="shared" si="1"/>
        <v>#VALUE!</v>
      </c>
      <c r="F13" s="35" t="s">
        <v>564</v>
      </c>
      <c r="G13" s="39"/>
      <c r="H13" s="684"/>
      <c r="I13" s="684"/>
      <c r="J13" s="684">
        <f>(199.6 + 36 + 81 + 81 + 81) / 0.997</f>
        <v>480.04012036108327</v>
      </c>
      <c r="K13" s="684"/>
    </row>
    <row r="14" spans="1:13" ht="12" customHeight="1" x14ac:dyDescent="0.25">
      <c r="A14" s="31" t="e">
        <f t="shared" si="2"/>
        <v>#VALUE!</v>
      </c>
      <c r="B14" s="37" t="e">
        <f t="shared" si="3"/>
        <v>#VALUE!</v>
      </c>
      <c r="C14" s="36">
        <v>0.10416666666666667</v>
      </c>
      <c r="D14" s="327" t="str">
        <f t="shared" si="0"/>
        <v/>
      </c>
      <c r="E14" s="114" t="e">
        <f t="shared" si="1"/>
        <v>#VALUE!</v>
      </c>
      <c r="F14" s="35" t="s">
        <v>565</v>
      </c>
      <c r="G14" s="39"/>
      <c r="H14" s="684"/>
      <c r="I14" s="684"/>
      <c r="J14" s="684"/>
      <c r="K14" s="684"/>
      <c r="L14" s="1057"/>
      <c r="M14" s="1056"/>
    </row>
    <row r="15" spans="1:13" ht="12.75" customHeight="1" x14ac:dyDescent="0.25">
      <c r="A15" s="31" t="e">
        <f t="shared" si="2"/>
        <v>#VALUE!</v>
      </c>
      <c r="B15" s="37" t="e">
        <f t="shared" si="3"/>
        <v>#VALUE!</v>
      </c>
      <c r="C15" s="36">
        <v>0.20833333333333334</v>
      </c>
      <c r="D15" s="327" t="str">
        <f t="shared" si="0"/>
        <v/>
      </c>
      <c r="E15" s="114" t="e">
        <f t="shared" si="1"/>
        <v>#VALUE!</v>
      </c>
      <c r="F15" s="35" t="s">
        <v>566</v>
      </c>
      <c r="G15" s="35"/>
      <c r="H15" s="684"/>
      <c r="I15" s="684"/>
      <c r="J15" s="684"/>
      <c r="K15" s="684"/>
      <c r="L15" s="1055"/>
      <c r="M15" s="1056"/>
    </row>
    <row r="16" spans="1:13" ht="13.4" customHeight="1" x14ac:dyDescent="0.25">
      <c r="A16" s="31" t="e">
        <f t="shared" si="2"/>
        <v>#VALUE!</v>
      </c>
      <c r="B16" s="37" t="e">
        <f t="shared" si="3"/>
        <v>#VALUE!</v>
      </c>
      <c r="C16" s="111">
        <v>0.14583333333333334</v>
      </c>
      <c r="D16" s="327" t="str">
        <f t="shared" si="0"/>
        <v/>
      </c>
      <c r="E16" s="114" t="e">
        <f t="shared" si="1"/>
        <v>#VALUE!</v>
      </c>
      <c r="F16" s="39" t="s">
        <v>567</v>
      </c>
      <c r="G16" s="35" t="s">
        <v>568</v>
      </c>
      <c r="H16" s="458"/>
      <c r="I16" s="458"/>
      <c r="J16" s="458"/>
      <c r="K16" s="458"/>
    </row>
    <row r="17" spans="1:13" x14ac:dyDescent="0.25">
      <c r="A17" s="31" t="e">
        <f t="shared" si="2"/>
        <v>#VALUE!</v>
      </c>
      <c r="B17" s="37" t="e">
        <f t="shared" si="3"/>
        <v>#VALUE!</v>
      </c>
      <c r="C17" s="111">
        <v>0.39583333333333331</v>
      </c>
      <c r="D17" s="327" t="str">
        <f t="shared" si="0"/>
        <v/>
      </c>
      <c r="E17" s="114" t="e">
        <f t="shared" ref="E17:E28" si="4">B17+C17</f>
        <v>#VALUE!</v>
      </c>
      <c r="F17" s="35" t="s">
        <v>569</v>
      </c>
      <c r="G17" s="35"/>
      <c r="H17" s="684"/>
      <c r="I17" s="684"/>
      <c r="J17" s="684"/>
      <c r="K17" s="684"/>
    </row>
    <row r="18" spans="1:13" x14ac:dyDescent="0.25">
      <c r="A18" s="31" t="e">
        <f t="shared" si="2"/>
        <v>#VALUE!</v>
      </c>
      <c r="B18" s="37" t="e">
        <f t="shared" si="3"/>
        <v>#VALUE!</v>
      </c>
      <c r="C18" s="111">
        <v>0.5625</v>
      </c>
      <c r="D18" s="327" t="str">
        <f t="shared" si="0"/>
        <v/>
      </c>
      <c r="E18" s="114" t="e">
        <f t="shared" si="4"/>
        <v>#VALUE!</v>
      </c>
      <c r="F18" s="35" t="s">
        <v>570</v>
      </c>
      <c r="G18" s="35"/>
      <c r="H18" s="684"/>
      <c r="I18" s="684"/>
      <c r="J18" s="684">
        <f>(69.5 + 36 + 48 + 62.6 + 36 + 48 + 48 + 48)/0.997</f>
        <v>397.29187562688065</v>
      </c>
      <c r="K18" s="684"/>
    </row>
    <row r="19" spans="1:13" ht="13.5" customHeight="1" x14ac:dyDescent="0.25">
      <c r="A19" s="31" t="e">
        <f t="shared" si="2"/>
        <v>#VALUE!</v>
      </c>
      <c r="B19" s="37" t="e">
        <f t="shared" si="3"/>
        <v>#VALUE!</v>
      </c>
      <c r="C19" s="111">
        <v>0.4375</v>
      </c>
      <c r="D19" s="327" t="str">
        <f t="shared" si="0"/>
        <v/>
      </c>
      <c r="E19" s="114" t="e">
        <f t="shared" si="4"/>
        <v>#VALUE!</v>
      </c>
      <c r="F19" s="35" t="s">
        <v>571</v>
      </c>
      <c r="G19" s="35"/>
      <c r="H19" s="684"/>
      <c r="I19" s="684"/>
      <c r="J19" s="684"/>
      <c r="K19" s="684"/>
    </row>
    <row r="20" spans="1:13" ht="12" customHeight="1" x14ac:dyDescent="0.25">
      <c r="A20" s="31" t="e">
        <f t="shared" si="2"/>
        <v>#VALUE!</v>
      </c>
      <c r="B20" s="37" t="e">
        <f t="shared" si="3"/>
        <v>#VALUE!</v>
      </c>
      <c r="C20" s="36">
        <v>0.66666666666666663</v>
      </c>
      <c r="D20" s="327" t="str">
        <f t="shared" si="0"/>
        <v/>
      </c>
      <c r="E20" s="114" t="e">
        <f t="shared" si="4"/>
        <v>#VALUE!</v>
      </c>
      <c r="F20" s="35" t="s">
        <v>548</v>
      </c>
      <c r="G20" s="39"/>
      <c r="H20" s="684"/>
      <c r="I20" s="684"/>
      <c r="J20" s="684"/>
      <c r="K20" s="684"/>
      <c r="L20" s="1058"/>
      <c r="M20" s="1059"/>
    </row>
    <row r="21" spans="1:13" ht="12.75" customHeight="1" x14ac:dyDescent="0.25">
      <c r="A21" s="31" t="e">
        <f t="shared" si="2"/>
        <v>#VALUE!</v>
      </c>
      <c r="B21" s="37" t="e">
        <f t="shared" si="3"/>
        <v>#VALUE!</v>
      </c>
      <c r="C21" s="36">
        <v>0.125</v>
      </c>
      <c r="D21" s="327" t="str">
        <f t="shared" si="0"/>
        <v/>
      </c>
      <c r="E21" s="114" t="e">
        <f t="shared" si="4"/>
        <v>#VALUE!</v>
      </c>
      <c r="F21" s="35" t="s">
        <v>549</v>
      </c>
      <c r="G21" s="35"/>
      <c r="H21" s="684">
        <f>(252.2 + 36 + 78.4 + 174.3 + 70.4 + 70.4 + 70.4 + 66 + 54.7)/0.902</f>
        <v>967.62749445676275</v>
      </c>
      <c r="I21" s="684">
        <f>54.7/0.684</f>
        <v>79.970760233918128</v>
      </c>
      <c r="J21" s="684"/>
      <c r="K21" s="684">
        <f>SUM(H21:I21)</f>
        <v>1047.598254690681</v>
      </c>
      <c r="L21" s="1060"/>
      <c r="M21" s="1059"/>
    </row>
    <row r="22" spans="1:13" ht="12.75" customHeight="1" x14ac:dyDescent="0.25">
      <c r="A22" s="31" t="e">
        <f t="shared" si="2"/>
        <v>#VALUE!</v>
      </c>
      <c r="B22" s="37" t="e">
        <f t="shared" si="3"/>
        <v>#VALUE!</v>
      </c>
      <c r="C22" s="36">
        <v>0.4375</v>
      </c>
      <c r="D22" s="327" t="str">
        <f t="shared" si="0"/>
        <v/>
      </c>
      <c r="E22" s="114" t="e">
        <f t="shared" si="4"/>
        <v>#VALUE!</v>
      </c>
      <c r="F22" s="35" t="s">
        <v>572</v>
      </c>
      <c r="G22" s="35"/>
      <c r="H22" s="1061">
        <f>26.1/0.902</f>
        <v>28.935698447893571</v>
      </c>
      <c r="I22" s="1063">
        <f>(13.1 + 32.8)/0.684</f>
        <v>67.105263157894726</v>
      </c>
      <c r="J22" s="684"/>
      <c r="K22" s="1061">
        <f t="shared" ref="K22" si="5">SUM(H22:I22)</f>
        <v>96.040961605788297</v>
      </c>
    </row>
    <row r="23" spans="1:13" ht="12.75" customHeight="1" x14ac:dyDescent="0.25">
      <c r="A23" s="31" t="e">
        <f t="shared" si="2"/>
        <v>#VALUE!</v>
      </c>
      <c r="B23" s="37" t="e">
        <f t="shared" si="3"/>
        <v>#VALUE!</v>
      </c>
      <c r="C23" s="36">
        <v>0.625</v>
      </c>
      <c r="D23" s="327" t="str">
        <f t="shared" si="0"/>
        <v/>
      </c>
      <c r="E23" s="114" t="e">
        <f t="shared" si="4"/>
        <v>#VALUE!</v>
      </c>
      <c r="F23" s="35" t="s">
        <v>551</v>
      </c>
      <c r="G23" s="35"/>
      <c r="H23" s="1062"/>
      <c r="I23" s="1063"/>
      <c r="J23" s="684"/>
      <c r="K23" s="1062"/>
    </row>
    <row r="24" spans="1:13" ht="12.75" customHeight="1" x14ac:dyDescent="0.25">
      <c r="A24" s="31" t="e">
        <f t="shared" si="2"/>
        <v>#VALUE!</v>
      </c>
      <c r="B24" s="37" t="e">
        <f t="shared" si="3"/>
        <v>#VALUE!</v>
      </c>
      <c r="C24" s="36">
        <v>6.25E-2</v>
      </c>
      <c r="D24" s="327" t="str">
        <f t="shared" si="0"/>
        <v/>
      </c>
      <c r="E24" s="114" t="e">
        <f t="shared" si="4"/>
        <v>#VALUE!</v>
      </c>
      <c r="F24" s="35" t="s">
        <v>559</v>
      </c>
      <c r="G24" s="35"/>
      <c r="H24" s="684"/>
      <c r="I24" s="684"/>
      <c r="J24" s="684"/>
      <c r="K24" s="684"/>
    </row>
    <row r="25" spans="1:13" ht="12.75" customHeight="1" x14ac:dyDescent="0.25">
      <c r="A25" s="31" t="e">
        <f t="shared" si="2"/>
        <v>#VALUE!</v>
      </c>
      <c r="B25" s="37" t="e">
        <f t="shared" si="3"/>
        <v>#VALUE!</v>
      </c>
      <c r="C25" s="36">
        <v>0.16666666666666666</v>
      </c>
      <c r="D25" s="327" t="str">
        <f t="shared" si="0"/>
        <v/>
      </c>
      <c r="E25" s="114" t="e">
        <f t="shared" si="4"/>
        <v>#VALUE!</v>
      </c>
      <c r="F25" s="35" t="s">
        <v>554</v>
      </c>
      <c r="G25" s="35"/>
      <c r="H25" s="684"/>
      <c r="I25" s="684"/>
      <c r="J25" s="684"/>
      <c r="K25" s="684"/>
    </row>
    <row r="26" spans="1:13" ht="12.75" customHeight="1" x14ac:dyDescent="0.25">
      <c r="A26" s="31" t="e">
        <f>IF(D22 = "",A22+C22,A22+D22)</f>
        <v>#VALUE!</v>
      </c>
      <c r="B26" s="37" t="e">
        <f>IF(D22 = "",B22+C22,B22+D22)</f>
        <v>#VALUE!</v>
      </c>
      <c r="C26" s="36">
        <v>2.0833333333333332E-2</v>
      </c>
      <c r="D26" s="327" t="str">
        <f t="shared" si="0"/>
        <v/>
      </c>
      <c r="E26" s="114" t="e">
        <f t="shared" si="4"/>
        <v>#VALUE!</v>
      </c>
      <c r="F26" s="167" t="s">
        <v>573</v>
      </c>
      <c r="G26" s="167"/>
      <c r="H26" s="459">
        <v>52.1</v>
      </c>
      <c r="I26" s="459"/>
      <c r="J26" s="459"/>
      <c r="K26" s="459">
        <f>SUM(H26:I26)</f>
        <v>52.1</v>
      </c>
    </row>
    <row r="27" spans="1:13" ht="12.75" customHeight="1" x14ac:dyDescent="0.25">
      <c r="A27" s="31" t="e">
        <f t="shared" si="2"/>
        <v>#VALUE!</v>
      </c>
      <c r="B27" s="37" t="e">
        <f t="shared" si="3"/>
        <v>#VALUE!</v>
      </c>
      <c r="C27" s="36">
        <v>0.25</v>
      </c>
      <c r="D27" s="327" t="str">
        <f t="shared" si="0"/>
        <v/>
      </c>
      <c r="E27" s="114" t="e">
        <f t="shared" si="4"/>
        <v>#VALUE!</v>
      </c>
      <c r="F27" s="167" t="s">
        <v>574</v>
      </c>
      <c r="G27" s="167"/>
      <c r="H27" s="459">
        <v>220</v>
      </c>
      <c r="I27" s="459"/>
      <c r="J27" s="459"/>
      <c r="K27" s="459">
        <f>SUM(H27:I27)</f>
        <v>220</v>
      </c>
    </row>
    <row r="28" spans="1:13" ht="12.75" customHeight="1" x14ac:dyDescent="0.25">
      <c r="A28" s="31" t="e">
        <f t="shared" si="2"/>
        <v>#VALUE!</v>
      </c>
      <c r="B28" s="37" t="e">
        <f t="shared" si="3"/>
        <v>#VALUE!</v>
      </c>
      <c r="C28" s="36">
        <v>2.0833333333333332E-2</v>
      </c>
      <c r="D28" s="327" t="str">
        <f t="shared" si="0"/>
        <v/>
      </c>
      <c r="E28" s="114" t="e">
        <f t="shared" si="4"/>
        <v>#VALUE!</v>
      </c>
      <c r="F28" s="167" t="s">
        <v>575</v>
      </c>
      <c r="G28" s="167"/>
      <c r="H28" s="459"/>
      <c r="I28" s="459"/>
      <c r="J28" s="459"/>
      <c r="K28" s="459"/>
    </row>
    <row r="29" spans="1:13" x14ac:dyDescent="0.25">
      <c r="B29" s="112" t="s">
        <v>534</v>
      </c>
      <c r="C29" s="36">
        <f>SUM(C11:C28)</f>
        <v>4.927083333333333</v>
      </c>
      <c r="D29" s="32">
        <f>SUM(D11:D25)</f>
        <v>0</v>
      </c>
      <c r="G29" s="26"/>
      <c r="H29" s="460">
        <f>SUM(H11:H28)</f>
        <v>1268.6631929046562</v>
      </c>
      <c r="I29" s="460">
        <f>SUM(I11:I28)</f>
        <v>147.07602339181284</v>
      </c>
      <c r="J29" s="460">
        <f>SUM(J11:J28)</f>
        <v>877.33199598796386</v>
      </c>
      <c r="K29" s="460">
        <f>SUM(K11:K28)</f>
        <v>1415.7392162964691</v>
      </c>
    </row>
    <row r="30" spans="1:13" x14ac:dyDescent="0.25">
      <c r="B30" s="31" t="s">
        <v>536</v>
      </c>
      <c r="C30" s="36">
        <f>C29/24</f>
        <v>0.20529513888888887</v>
      </c>
      <c r="D30" s="112">
        <f>D29/24</f>
        <v>0</v>
      </c>
      <c r="G30" s="26"/>
    </row>
    <row r="31" spans="1:13" ht="21" x14ac:dyDescent="0.55000000000000004">
      <c r="A31" s="34"/>
      <c r="D31" s="113"/>
      <c r="G31" s="26"/>
    </row>
    <row r="32" spans="1:13" x14ac:dyDescent="0.25">
      <c r="G32" s="26"/>
    </row>
    <row r="33" spans="7:7" x14ac:dyDescent="0.25">
      <c r="G33" s="26"/>
    </row>
    <row r="34" spans="7:7" x14ac:dyDescent="0.25">
      <c r="G34" s="26"/>
    </row>
    <row r="35" spans="7:7" x14ac:dyDescent="0.25">
      <c r="G35" s="26"/>
    </row>
    <row r="36" spans="7:7" x14ac:dyDescent="0.25">
      <c r="G36" s="26"/>
    </row>
    <row r="37" spans="7:7" x14ac:dyDescent="0.25">
      <c r="G37" s="26"/>
    </row>
    <row r="38" spans="7:7" x14ac:dyDescent="0.25">
      <c r="G38" s="26"/>
    </row>
    <row r="39" spans="7:7" x14ac:dyDescent="0.25">
      <c r="G39" s="26"/>
    </row>
    <row r="40" spans="7:7" x14ac:dyDescent="0.25">
      <c r="G40" s="26"/>
    </row>
    <row r="41" spans="7:7" x14ac:dyDescent="0.25">
      <c r="G41" s="26"/>
    </row>
    <row r="42" spans="7:7" x14ac:dyDescent="0.25">
      <c r="G42" s="26"/>
    </row>
    <row r="43" spans="7:7" x14ac:dyDescent="0.25">
      <c r="G43" s="26"/>
    </row>
    <row r="44" spans="7:7" x14ac:dyDescent="0.25">
      <c r="G44" s="26"/>
    </row>
    <row r="45" spans="7:7" x14ac:dyDescent="0.25">
      <c r="G45" s="26"/>
    </row>
    <row r="46" spans="7:7" x14ac:dyDescent="0.25">
      <c r="G46" s="26"/>
    </row>
    <row r="47" spans="7:7" x14ac:dyDescent="0.25">
      <c r="G47" s="26"/>
    </row>
    <row r="48" spans="7:7" x14ac:dyDescent="0.25">
      <c r="G48" s="26"/>
    </row>
    <row r="49" spans="6:11" x14ac:dyDescent="0.25">
      <c r="G49" s="26"/>
    </row>
    <row r="50" spans="6:11" x14ac:dyDescent="0.25">
      <c r="G50" s="26"/>
    </row>
    <row r="51" spans="6:11" x14ac:dyDescent="0.25">
      <c r="G51" s="26"/>
    </row>
    <row r="52" spans="6:11" x14ac:dyDescent="0.25">
      <c r="G52" s="26"/>
    </row>
    <row r="53" spans="6:11" x14ac:dyDescent="0.25">
      <c r="F53" s="26"/>
      <c r="H53" s="26"/>
      <c r="I53" s="26"/>
      <c r="J53" s="26"/>
      <c r="K53" s="26"/>
    </row>
    <row r="54" spans="6:11" x14ac:dyDescent="0.25">
      <c r="F54" s="26"/>
      <c r="H54" s="26"/>
      <c r="I54" s="26"/>
      <c r="J54" s="26"/>
      <c r="K54" s="26"/>
    </row>
  </sheetData>
  <mergeCells count="11">
    <mergeCell ref="L20:M20"/>
    <mergeCell ref="L21:M21"/>
    <mergeCell ref="H22:H23"/>
    <mergeCell ref="I22:I23"/>
    <mergeCell ref="K22:K23"/>
    <mergeCell ref="L15:M15"/>
    <mergeCell ref="A1:B1"/>
    <mergeCell ref="A5:D5"/>
    <mergeCell ref="L11:M11"/>
    <mergeCell ref="L12:M12"/>
    <mergeCell ref="L14:M14"/>
  </mergeCells>
  <pageMargins left="0.75" right="0.75" top="1" bottom="1" header="0.5" footer="0.5"/>
  <pageSetup orientation="portrait" r:id="rId1"/>
  <headerFooter alignWithMargins="0">
    <oddFooter>&amp;R&amp;"Arial,Regular"&amp;08&amp;K7F7F7FAmgen Proprietary - Confidential   &amp;C&amp;"Calibri"&amp;11&amp;K000000&amp;"Calibri"&amp;11&amp;K000000&amp;"Arial,Regular"&amp;08&amp;K7F7F7FAmgen Proprietary - For Internal Use Only_x000D_&amp;1#&amp;"Calibri"&amp;10&amp;K000000 Non-Amgen</oddFooter>
    <evenFooter>&amp;R&amp;"Arial,Regular"&amp;08&amp;K7F7F7FAmgen Proprietary - Confidential   &amp;C&amp;"Arial,Regular"&amp;08&amp;K7F7F7FAmgen Proprietary - For Internal Use Only</evenFooter>
    <firstFooter>&amp;R&amp;"Arial,Regular"&amp;08&amp;K7F7F7FAmgen Proprietary - Confidential   &amp;C&amp;"Arial,Regular"&amp;08&amp;K7F7F7FAmgen Proprietary - For Internal Use Only</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A0091F-FA58-420C-BA3B-2119155DF07F}">
  <sheetPr codeName="Sheet57">
    <pageSetUpPr autoPageBreaks="0"/>
  </sheetPr>
  <dimension ref="A1:M69"/>
  <sheetViews>
    <sheetView topLeftCell="A6" zoomScale="74" zoomScaleNormal="80" workbookViewId="0">
      <selection activeCell="F18" sqref="F18"/>
    </sheetView>
  </sheetViews>
  <sheetFormatPr defaultColWidth="23.453125" defaultRowHeight="11.5" x14ac:dyDescent="0.25"/>
  <cols>
    <col min="1" max="1" width="48.453125" style="25" bestFit="1" customWidth="1"/>
    <col min="2" max="2" width="28" style="25" customWidth="1"/>
    <col min="3" max="3" width="23.453125" style="25"/>
    <col min="4" max="4" width="23.453125" style="25" customWidth="1"/>
    <col min="5" max="5" width="23.453125" style="25"/>
    <col min="6" max="6" width="79.54296875" style="25" bestFit="1" customWidth="1"/>
    <col min="7" max="7" width="40.54296875" style="25" customWidth="1"/>
    <col min="8" max="13" width="10.54296875" style="25" customWidth="1"/>
    <col min="14" max="16384" width="23.453125" style="25"/>
  </cols>
  <sheetData>
    <row r="1" spans="1:13" ht="12" thickBot="1" x14ac:dyDescent="0.3">
      <c r="A1" s="1064" t="s">
        <v>479</v>
      </c>
      <c r="B1" s="1065"/>
    </row>
    <row r="2" spans="1:13" x14ac:dyDescent="0.25">
      <c r="A2" s="43" t="s">
        <v>480</v>
      </c>
      <c r="B2" s="289" t="s">
        <v>481</v>
      </c>
    </row>
    <row r="3" spans="1:13" ht="12" thickBot="1" x14ac:dyDescent="0.3">
      <c r="A3" s="42" t="s">
        <v>482</v>
      </c>
      <c r="B3" s="290" t="s">
        <v>483</v>
      </c>
    </row>
    <row r="5" spans="1:13" x14ac:dyDescent="0.25">
      <c r="A5" s="328" t="s">
        <v>484</v>
      </c>
      <c r="B5" s="328"/>
      <c r="C5" s="328"/>
      <c r="D5" s="328"/>
    </row>
    <row r="6" spans="1:13" x14ac:dyDescent="0.25">
      <c r="A6" s="781" t="s">
        <v>485</v>
      </c>
      <c r="B6" s="781" t="s">
        <v>486</v>
      </c>
      <c r="C6" s="781" t="s">
        <v>487</v>
      </c>
      <c r="D6" s="781" t="s">
        <v>488</v>
      </c>
    </row>
    <row r="7" spans="1:13" x14ac:dyDescent="0.25">
      <c r="A7" s="41" t="str">
        <f>F37</f>
        <v xml:space="preserve">   Sample for drug substance (PR-44 in Methanol)</v>
      </c>
      <c r="B7" s="40" t="e">
        <f>INDEX($A$12:$A$58,MATCH(A7,$F$12:$F$58,0))</f>
        <v>#VALUE!</v>
      </c>
      <c r="C7" s="37" t="e">
        <f>INDEX($B$12:$B$58,MATCH(A7,$F$12:$F$58,0))</f>
        <v>#VALUE!</v>
      </c>
      <c r="D7" s="371"/>
    </row>
    <row r="8" spans="1:13" x14ac:dyDescent="0.25">
      <c r="A8" s="41" t="str">
        <f>F41</f>
        <v xml:space="preserve">   Chemical Canister CV Sample (Acetone in EA)</v>
      </c>
      <c r="B8" s="40" t="e">
        <f>INDEX($A$12:$A$58,MATCH(A8,$F$12:$F$58,0))</f>
        <v>#VALUE!</v>
      </c>
      <c r="C8" s="37" t="e">
        <f>INDEX($B$12:$B$58,MATCH(A8,$F$12:$F$58,0))</f>
        <v>#VALUE!</v>
      </c>
      <c r="D8" s="371"/>
    </row>
    <row r="10" spans="1:13" ht="30.65" customHeight="1" x14ac:dyDescent="0.25">
      <c r="A10" s="749" t="s">
        <v>492</v>
      </c>
      <c r="B10" s="749" t="s">
        <v>576</v>
      </c>
      <c r="C10" s="749" t="s">
        <v>494</v>
      </c>
      <c r="D10" s="749" t="s">
        <v>495</v>
      </c>
      <c r="E10" s="749" t="s">
        <v>560</v>
      </c>
      <c r="F10" s="749" t="s">
        <v>541</v>
      </c>
      <c r="G10" s="749" t="s">
        <v>498</v>
      </c>
      <c r="H10" s="781" t="s">
        <v>92</v>
      </c>
      <c r="I10" s="781" t="s">
        <v>96</v>
      </c>
      <c r="J10" s="781" t="s">
        <v>577</v>
      </c>
      <c r="K10" s="781" t="s">
        <v>500</v>
      </c>
      <c r="L10" s="278" t="s">
        <v>108</v>
      </c>
      <c r="M10" s="278" t="s">
        <v>114</v>
      </c>
    </row>
    <row r="11" spans="1:13" x14ac:dyDescent="0.25">
      <c r="A11" s="279" t="s">
        <v>578</v>
      </c>
      <c r="B11" s="279"/>
      <c r="C11" s="279"/>
      <c r="D11" s="279"/>
      <c r="E11" s="279"/>
      <c r="F11" s="279"/>
      <c r="G11" s="279"/>
      <c r="H11" s="777"/>
      <c r="I11" s="777"/>
      <c r="J11" s="777"/>
      <c r="K11" s="777"/>
      <c r="L11" s="777"/>
      <c r="M11" s="777"/>
    </row>
    <row r="12" spans="1:13" x14ac:dyDescent="0.25">
      <c r="A12" s="31" t="str">
        <f>B2</f>
        <v>Insert date here</v>
      </c>
      <c r="B12" s="332" t="str">
        <f>B3</f>
        <v>Insert time here</v>
      </c>
      <c r="C12" s="170">
        <v>2.8472222222222222E-2</v>
      </c>
      <c r="D12" s="327" t="str">
        <f t="shared" ref="D12:D27" si="0">IF(_xlfn.ISFORMULA(E12)=TRUE,"",E12-B12)</f>
        <v/>
      </c>
      <c r="E12" s="37" t="e">
        <f>B12+C12</f>
        <v>#VALUE!</v>
      </c>
      <c r="F12" s="476" t="s">
        <v>579</v>
      </c>
      <c r="G12" s="477"/>
      <c r="H12" s="486">
        <v>30</v>
      </c>
      <c r="I12" s="486"/>
      <c r="J12" s="486"/>
      <c r="K12" s="487"/>
      <c r="L12" s="488">
        <f>SUM(H12:K12)</f>
        <v>30</v>
      </c>
      <c r="M12" s="487"/>
    </row>
    <row r="13" spans="1:13" ht="12.75" customHeight="1" x14ac:dyDescent="0.25">
      <c r="A13" s="31" t="e">
        <f t="shared" ref="A13:A24" si="1">IF(D12 = "",A12+C12,A12+D12)</f>
        <v>#VALUE!</v>
      </c>
      <c r="B13" s="37" t="e">
        <f t="shared" ref="B13:B24" si="2">IF(D12 = "",B12+C12,B12+D12)</f>
        <v>#VALUE!</v>
      </c>
      <c r="C13" s="170">
        <v>1.6666666666666666E-2</v>
      </c>
      <c r="D13" s="327" t="str">
        <f t="shared" si="0"/>
        <v/>
      </c>
      <c r="E13" s="37" t="e">
        <f t="shared" ref="E13:E42" si="3">B13+C13</f>
        <v>#VALUE!</v>
      </c>
      <c r="F13" s="476" t="s">
        <v>580</v>
      </c>
      <c r="G13" s="480"/>
      <c r="H13" s="489"/>
      <c r="I13" s="489">
        <v>30</v>
      </c>
      <c r="J13" s="489"/>
      <c r="K13" s="489"/>
      <c r="L13" s="488">
        <f t="shared" ref="L13:L42" si="4">SUM(H13:K13)</f>
        <v>30</v>
      </c>
      <c r="M13" s="487"/>
    </row>
    <row r="14" spans="1:13" ht="12.75" customHeight="1" x14ac:dyDescent="0.25">
      <c r="A14" s="31" t="e">
        <f t="shared" si="1"/>
        <v>#VALUE!</v>
      </c>
      <c r="B14" s="37" t="e">
        <f t="shared" si="2"/>
        <v>#VALUE!</v>
      </c>
      <c r="C14" s="170">
        <v>4.4444444444444446E-2</v>
      </c>
      <c r="D14" s="327" t="str">
        <f t="shared" si="0"/>
        <v/>
      </c>
      <c r="E14" s="37" t="e">
        <f t="shared" si="3"/>
        <v>#VALUE!</v>
      </c>
      <c r="F14" s="476" t="s">
        <v>581</v>
      </c>
      <c r="G14" s="480"/>
      <c r="H14" s="489"/>
      <c r="I14" s="489"/>
      <c r="J14" s="489">
        <v>30</v>
      </c>
      <c r="K14" s="489"/>
      <c r="L14" s="488">
        <f t="shared" si="4"/>
        <v>30</v>
      </c>
      <c r="M14" s="487"/>
    </row>
    <row r="15" spans="1:13" ht="12.75" customHeight="1" x14ac:dyDescent="0.25">
      <c r="A15" s="31" t="e">
        <f t="shared" si="1"/>
        <v>#VALUE!</v>
      </c>
      <c r="B15" s="37" t="e">
        <f t="shared" si="2"/>
        <v>#VALUE!</v>
      </c>
      <c r="C15" s="170">
        <v>6.9444444444444441E-3</v>
      </c>
      <c r="D15" s="327" t="str">
        <f t="shared" si="0"/>
        <v/>
      </c>
      <c r="E15" s="37" t="e">
        <f t="shared" si="3"/>
        <v>#VALUE!</v>
      </c>
      <c r="F15" s="476" t="s">
        <v>582</v>
      </c>
      <c r="G15" s="480"/>
      <c r="H15" s="489"/>
      <c r="I15" s="489"/>
      <c r="J15" s="489">
        <v>120</v>
      </c>
      <c r="K15" s="489"/>
      <c r="L15" s="488"/>
      <c r="M15" s="489">
        <v>60</v>
      </c>
    </row>
    <row r="16" spans="1:13" ht="13.5" customHeight="1" x14ac:dyDescent="0.25">
      <c r="A16" s="31" t="e">
        <f t="shared" si="1"/>
        <v>#VALUE!</v>
      </c>
      <c r="B16" s="37" t="e">
        <f t="shared" si="2"/>
        <v>#VALUE!</v>
      </c>
      <c r="C16" s="172">
        <v>3.125E-2</v>
      </c>
      <c r="D16" s="327" t="str">
        <f t="shared" si="0"/>
        <v/>
      </c>
      <c r="E16" s="37" t="e">
        <f t="shared" si="3"/>
        <v>#VALUE!</v>
      </c>
      <c r="F16" s="476" t="s">
        <v>583</v>
      </c>
      <c r="G16" s="480"/>
      <c r="H16" s="489">
        <v>250</v>
      </c>
      <c r="I16" s="489"/>
      <c r="J16" s="489"/>
      <c r="K16" s="489"/>
      <c r="L16" s="488">
        <f t="shared" si="4"/>
        <v>250</v>
      </c>
      <c r="M16" s="487"/>
    </row>
    <row r="17" spans="1:13" x14ac:dyDescent="0.25">
      <c r="A17" s="31" t="e">
        <f t="shared" si="1"/>
        <v>#VALUE!</v>
      </c>
      <c r="B17" s="37" t="e">
        <f t="shared" si="2"/>
        <v>#VALUE!</v>
      </c>
      <c r="C17" s="172">
        <v>1.3888888888888888E-2</v>
      </c>
      <c r="D17" s="327" t="str">
        <f t="shared" si="0"/>
        <v/>
      </c>
      <c r="E17" s="37" t="e">
        <f t="shared" si="3"/>
        <v>#VALUE!</v>
      </c>
      <c r="F17" s="476" t="s">
        <v>584</v>
      </c>
      <c r="G17" s="480"/>
      <c r="H17" s="489"/>
      <c r="I17" s="489"/>
      <c r="J17" s="489"/>
      <c r="K17" s="489">
        <v>55</v>
      </c>
      <c r="L17" s="488">
        <f t="shared" si="4"/>
        <v>55</v>
      </c>
      <c r="M17" s="487"/>
    </row>
    <row r="18" spans="1:13" x14ac:dyDescent="0.25">
      <c r="A18" s="31" t="e">
        <f t="shared" si="1"/>
        <v>#VALUE!</v>
      </c>
      <c r="B18" s="37" t="e">
        <f t="shared" si="2"/>
        <v>#VALUE!</v>
      </c>
      <c r="C18" s="172">
        <v>2.4305555555555556E-2</v>
      </c>
      <c r="D18" s="327" t="str">
        <f t="shared" si="0"/>
        <v/>
      </c>
      <c r="E18" s="37" t="e">
        <f t="shared" si="3"/>
        <v>#VALUE!</v>
      </c>
      <c r="F18" s="476" t="s">
        <v>585</v>
      </c>
      <c r="G18" s="480"/>
      <c r="H18" s="489"/>
      <c r="I18" s="489"/>
      <c r="J18" s="489"/>
      <c r="K18" s="489">
        <v>54.229797979797979</v>
      </c>
      <c r="L18" s="488">
        <f t="shared" si="4"/>
        <v>54.229797979797979</v>
      </c>
      <c r="M18" s="487"/>
    </row>
    <row r="19" spans="1:13" ht="13.5" customHeight="1" x14ac:dyDescent="0.25">
      <c r="A19" s="31" t="e">
        <f t="shared" si="1"/>
        <v>#VALUE!</v>
      </c>
      <c r="B19" s="37" t="e">
        <f t="shared" si="2"/>
        <v>#VALUE!</v>
      </c>
      <c r="C19" s="172">
        <v>0.29583333333333334</v>
      </c>
      <c r="D19" s="327" t="str">
        <f t="shared" si="0"/>
        <v/>
      </c>
      <c r="E19" s="37" t="e">
        <f t="shared" si="3"/>
        <v>#VALUE!</v>
      </c>
      <c r="F19" s="476" t="s">
        <v>586</v>
      </c>
      <c r="G19" s="480"/>
      <c r="H19" s="489"/>
      <c r="I19" s="489"/>
      <c r="J19" s="489"/>
      <c r="K19" s="489">
        <v>450</v>
      </c>
      <c r="L19" s="488">
        <f t="shared" si="4"/>
        <v>450</v>
      </c>
      <c r="M19" s="487"/>
    </row>
    <row r="20" spans="1:13" ht="13.5" customHeight="1" x14ac:dyDescent="0.25">
      <c r="A20" s="31" t="e">
        <f t="shared" si="1"/>
        <v>#VALUE!</v>
      </c>
      <c r="B20" s="37" t="e">
        <f t="shared" si="2"/>
        <v>#VALUE!</v>
      </c>
      <c r="C20" s="170">
        <v>0.26250000000000001</v>
      </c>
      <c r="D20" s="327" t="str">
        <f t="shared" si="0"/>
        <v/>
      </c>
      <c r="E20" s="37" t="e">
        <f t="shared" si="3"/>
        <v>#VALUE!</v>
      </c>
      <c r="F20" s="476" t="s">
        <v>587</v>
      </c>
      <c r="G20" s="480"/>
      <c r="H20" s="489"/>
      <c r="I20" s="489"/>
      <c r="J20" s="489"/>
      <c r="K20" s="489">
        <v>450</v>
      </c>
      <c r="L20" s="488"/>
      <c r="M20" s="489">
        <v>450</v>
      </c>
    </row>
    <row r="21" spans="1:13" x14ac:dyDescent="0.25">
      <c r="A21" s="31" t="e">
        <f t="shared" si="1"/>
        <v>#VALUE!</v>
      </c>
      <c r="B21" s="37" t="e">
        <f t="shared" si="2"/>
        <v>#VALUE!</v>
      </c>
      <c r="C21" s="170">
        <v>0.13749999999999998</v>
      </c>
      <c r="D21" s="327" t="str">
        <f t="shared" si="0"/>
        <v/>
      </c>
      <c r="E21" s="37" t="e">
        <f t="shared" si="3"/>
        <v>#VALUE!</v>
      </c>
      <c r="F21" s="476" t="s">
        <v>588</v>
      </c>
      <c r="G21" s="480"/>
      <c r="H21" s="489"/>
      <c r="I21" s="489"/>
      <c r="J21" s="489"/>
      <c r="K21" s="489"/>
      <c r="L21" s="488">
        <f t="shared" si="4"/>
        <v>0</v>
      </c>
      <c r="M21" s="487"/>
    </row>
    <row r="22" spans="1:13" ht="12.75" customHeight="1" x14ac:dyDescent="0.25">
      <c r="A22" s="31" t="e">
        <f t="shared" si="1"/>
        <v>#VALUE!</v>
      </c>
      <c r="B22" s="37" t="e">
        <f t="shared" si="2"/>
        <v>#VALUE!</v>
      </c>
      <c r="C22" s="170">
        <v>2.5694444444444447E-2</v>
      </c>
      <c r="D22" s="327" t="str">
        <f t="shared" si="0"/>
        <v/>
      </c>
      <c r="E22" s="37" t="e">
        <f t="shared" si="3"/>
        <v>#VALUE!</v>
      </c>
      <c r="F22" s="476" t="s">
        <v>585</v>
      </c>
      <c r="G22" s="480"/>
      <c r="H22" s="489"/>
      <c r="I22" s="489"/>
      <c r="J22" s="489"/>
      <c r="K22" s="489">
        <v>754</v>
      </c>
      <c r="L22" s="488">
        <f t="shared" si="4"/>
        <v>754</v>
      </c>
      <c r="M22" s="487"/>
    </row>
    <row r="23" spans="1:13" ht="12.75" customHeight="1" x14ac:dyDescent="0.25">
      <c r="A23" s="31" t="e">
        <f t="shared" si="1"/>
        <v>#VALUE!</v>
      </c>
      <c r="B23" s="37" t="e">
        <f t="shared" si="2"/>
        <v>#VALUE!</v>
      </c>
      <c r="C23" s="170">
        <v>0.1125</v>
      </c>
      <c r="D23" s="327" t="str">
        <f t="shared" si="0"/>
        <v/>
      </c>
      <c r="E23" s="37" t="e">
        <f t="shared" si="3"/>
        <v>#VALUE!</v>
      </c>
      <c r="F23" s="476" t="s">
        <v>589</v>
      </c>
      <c r="G23" s="480"/>
      <c r="H23" s="489"/>
      <c r="I23" s="489"/>
      <c r="J23" s="489"/>
      <c r="K23" s="489"/>
      <c r="L23" s="488"/>
      <c r="M23" s="487"/>
    </row>
    <row r="24" spans="1:13" ht="12.75" customHeight="1" x14ac:dyDescent="0.25">
      <c r="A24" s="31" t="e">
        <f t="shared" si="1"/>
        <v>#VALUE!</v>
      </c>
      <c r="B24" s="37" t="e">
        <f t="shared" si="2"/>
        <v>#VALUE!</v>
      </c>
      <c r="C24" s="170">
        <v>8.3333333333333329E-2</v>
      </c>
      <c r="D24" s="327" t="str">
        <f t="shared" si="0"/>
        <v/>
      </c>
      <c r="E24" s="37" t="e">
        <f t="shared" si="3"/>
        <v>#VALUE!</v>
      </c>
      <c r="F24" s="476" t="s">
        <v>590</v>
      </c>
      <c r="G24" s="480"/>
      <c r="H24" s="489"/>
      <c r="I24" s="489"/>
      <c r="J24" s="489"/>
      <c r="K24" s="489"/>
      <c r="L24" s="488"/>
      <c r="M24" s="487"/>
    </row>
    <row r="25" spans="1:13" s="267" customFormat="1" ht="14.9" customHeight="1" x14ac:dyDescent="0.25">
      <c r="A25" s="280" t="s">
        <v>591</v>
      </c>
      <c r="B25" s="280"/>
      <c r="C25" s="280"/>
      <c r="D25" s="280"/>
      <c r="E25" s="280"/>
      <c r="F25" s="280"/>
      <c r="G25" s="280"/>
      <c r="H25" s="284"/>
      <c r="I25" s="284"/>
      <c r="J25" s="284"/>
      <c r="K25" s="284"/>
      <c r="L25" s="285"/>
      <c r="M25" s="341"/>
    </row>
    <row r="26" spans="1:13" x14ac:dyDescent="0.25">
      <c r="A26" s="31" t="e">
        <f>IF(D24 = "",A24+C24,A24+D24)</f>
        <v>#VALUE!</v>
      </c>
      <c r="B26" s="37" t="e">
        <f>IF(D24 = "",B24+C24,B24+D24)</f>
        <v>#VALUE!</v>
      </c>
      <c r="C26" s="170">
        <v>5.4166666666666669E-2</v>
      </c>
      <c r="D26" s="327" t="str">
        <f t="shared" si="0"/>
        <v/>
      </c>
      <c r="E26" s="37" t="e">
        <f t="shared" si="3"/>
        <v>#VALUE!</v>
      </c>
      <c r="F26" s="476" t="s">
        <v>592</v>
      </c>
      <c r="G26" s="480"/>
      <c r="H26" s="481"/>
      <c r="I26" s="481"/>
      <c r="J26" s="481"/>
      <c r="K26" s="481">
        <v>133.60631313131313</v>
      </c>
      <c r="L26" s="479">
        <f t="shared" si="4"/>
        <v>133.60631313131313</v>
      </c>
      <c r="M26" s="478"/>
    </row>
    <row r="27" spans="1:13" x14ac:dyDescent="0.25">
      <c r="A27" s="31" t="e">
        <f t="shared" ref="A27:A41" si="5">IF(D26 = "",A26+C26,A26+D26)</f>
        <v>#VALUE!</v>
      </c>
      <c r="B27" s="37" t="e">
        <f>IF(D26 = "",B26+C26,B26+D26)</f>
        <v>#VALUE!</v>
      </c>
      <c r="C27" s="170">
        <v>8.3333333333333329E-2</v>
      </c>
      <c r="D27" s="327" t="str">
        <f t="shared" si="0"/>
        <v/>
      </c>
      <c r="E27" s="37" t="e">
        <f t="shared" si="3"/>
        <v>#VALUE!</v>
      </c>
      <c r="F27" s="476" t="s">
        <v>593</v>
      </c>
      <c r="G27" s="480"/>
      <c r="H27" s="481"/>
      <c r="I27" s="481"/>
      <c r="J27" s="481"/>
      <c r="K27" s="481">
        <v>1284.4000000000001</v>
      </c>
      <c r="L27" s="479">
        <f t="shared" si="4"/>
        <v>1284.4000000000001</v>
      </c>
      <c r="M27" s="478"/>
    </row>
    <row r="28" spans="1:13" x14ac:dyDescent="0.25">
      <c r="A28" s="31" t="e">
        <f t="shared" si="5"/>
        <v>#VALUE!</v>
      </c>
      <c r="B28" s="37" t="e">
        <f t="shared" ref="B28:B41" si="6">IF(D27 = "",B27+C27,B27+D27)</f>
        <v>#VALUE!</v>
      </c>
      <c r="C28" s="170">
        <v>0.14583333333333334</v>
      </c>
      <c r="D28" s="327" t="str">
        <f>IF(_xlfn.ISFORMULA(E28)=TRUE,"",E28-B28)</f>
        <v/>
      </c>
      <c r="E28" s="37" t="e">
        <f t="shared" si="3"/>
        <v>#VALUE!</v>
      </c>
      <c r="F28" s="476" t="s">
        <v>594</v>
      </c>
      <c r="G28" s="480"/>
      <c r="H28" s="481"/>
      <c r="I28" s="481"/>
      <c r="J28" s="481"/>
      <c r="K28" s="481">
        <v>260</v>
      </c>
      <c r="L28" s="479">
        <f t="shared" si="4"/>
        <v>260</v>
      </c>
      <c r="M28" s="478"/>
    </row>
    <row r="29" spans="1:13" x14ac:dyDescent="0.25">
      <c r="A29" s="31" t="e">
        <f t="shared" si="5"/>
        <v>#VALUE!</v>
      </c>
      <c r="B29" s="37" t="e">
        <f t="shared" si="6"/>
        <v>#VALUE!</v>
      </c>
      <c r="C29" s="170">
        <v>0.14583333333333334</v>
      </c>
      <c r="D29" s="327" t="str">
        <f>IF(_xlfn.ISFORMULA(E29)=TRUE,"",E29-B29)</f>
        <v/>
      </c>
      <c r="E29" s="37" t="e">
        <f t="shared" si="3"/>
        <v>#VALUE!</v>
      </c>
      <c r="F29" s="476" t="s">
        <v>595</v>
      </c>
      <c r="G29" s="480"/>
      <c r="H29" s="481"/>
      <c r="I29" s="481"/>
      <c r="J29" s="481"/>
      <c r="K29" s="481">
        <v>260</v>
      </c>
      <c r="L29" s="479">
        <f t="shared" si="4"/>
        <v>260</v>
      </c>
      <c r="M29" s="478"/>
    </row>
    <row r="30" spans="1:13" x14ac:dyDescent="0.25">
      <c r="A30" s="31" t="e">
        <f t="shared" si="5"/>
        <v>#VALUE!</v>
      </c>
      <c r="B30" s="37" t="e">
        <f t="shared" si="6"/>
        <v>#VALUE!</v>
      </c>
      <c r="C30" s="170">
        <v>0.1388888888888889</v>
      </c>
      <c r="D30" s="327" t="str">
        <f t="shared" ref="D30:D42" si="7">IF(_xlfn.ISFORMULA(E30)=TRUE,"",E30-B30)</f>
        <v/>
      </c>
      <c r="E30" s="37" t="e">
        <f t="shared" si="3"/>
        <v>#VALUE!</v>
      </c>
      <c r="F30" s="476" t="s">
        <v>596</v>
      </c>
      <c r="G30" s="480"/>
      <c r="H30" s="481"/>
      <c r="I30" s="481"/>
      <c r="J30" s="481"/>
      <c r="K30" s="481">
        <v>260</v>
      </c>
      <c r="L30" s="479">
        <f t="shared" si="4"/>
        <v>260</v>
      </c>
      <c r="M30" s="478"/>
    </row>
    <row r="31" spans="1:13" x14ac:dyDescent="0.25">
      <c r="A31" s="31" t="e">
        <f t="shared" si="5"/>
        <v>#VALUE!</v>
      </c>
      <c r="B31" s="37" t="e">
        <f t="shared" si="6"/>
        <v>#VALUE!</v>
      </c>
      <c r="C31" s="170">
        <v>0.11458333333333333</v>
      </c>
      <c r="D31" s="327" t="str">
        <f t="shared" si="7"/>
        <v/>
      </c>
      <c r="E31" s="37" t="e">
        <f t="shared" si="3"/>
        <v>#VALUE!</v>
      </c>
      <c r="F31" s="476" t="s">
        <v>589</v>
      </c>
      <c r="G31" s="480"/>
      <c r="H31" s="481"/>
      <c r="I31" s="481"/>
      <c r="J31" s="481"/>
      <c r="K31" s="481"/>
      <c r="L31" s="479"/>
      <c r="M31" s="478"/>
    </row>
    <row r="32" spans="1:13" x14ac:dyDescent="0.25">
      <c r="A32" s="31" t="e">
        <f t="shared" si="5"/>
        <v>#VALUE!</v>
      </c>
      <c r="B32" s="37" t="e">
        <f t="shared" si="6"/>
        <v>#VALUE!</v>
      </c>
      <c r="C32" s="170">
        <v>4.1666666666666664E-2</v>
      </c>
      <c r="D32" s="327" t="str">
        <f t="shared" si="7"/>
        <v/>
      </c>
      <c r="E32" s="37" t="e">
        <f t="shared" si="3"/>
        <v>#VALUE!</v>
      </c>
      <c r="F32" s="476" t="s">
        <v>597</v>
      </c>
      <c r="G32" s="480"/>
      <c r="H32" s="481"/>
      <c r="I32" s="481"/>
      <c r="J32" s="481"/>
      <c r="K32" s="481"/>
      <c r="L32" s="479"/>
      <c r="M32" s="478"/>
    </row>
    <row r="33" spans="1:13" x14ac:dyDescent="0.25">
      <c r="A33" s="31" t="e">
        <f t="shared" si="5"/>
        <v>#VALUE!</v>
      </c>
      <c r="B33" s="37" t="e">
        <f t="shared" si="6"/>
        <v>#VALUE!</v>
      </c>
      <c r="C33" s="170">
        <v>3.125E-2</v>
      </c>
      <c r="D33" s="327" t="str">
        <f t="shared" si="7"/>
        <v/>
      </c>
      <c r="E33" s="37" t="e">
        <f t="shared" si="3"/>
        <v>#VALUE!</v>
      </c>
      <c r="F33" s="476" t="s">
        <v>593</v>
      </c>
      <c r="G33" s="480"/>
      <c r="H33" s="481"/>
      <c r="I33" s="481"/>
      <c r="J33" s="481"/>
      <c r="K33" s="481">
        <v>538</v>
      </c>
      <c r="L33" s="479">
        <f t="shared" si="4"/>
        <v>538</v>
      </c>
      <c r="M33" s="478"/>
    </row>
    <row r="34" spans="1:13" x14ac:dyDescent="0.25">
      <c r="A34" s="31" t="e">
        <f t="shared" si="5"/>
        <v>#VALUE!</v>
      </c>
      <c r="B34" s="37" t="e">
        <f t="shared" si="6"/>
        <v>#VALUE!</v>
      </c>
      <c r="C34" s="170">
        <v>0.10416666666666667</v>
      </c>
      <c r="D34" s="327" t="str">
        <f t="shared" si="7"/>
        <v/>
      </c>
      <c r="E34" s="37" t="e">
        <f t="shared" si="3"/>
        <v>#VALUE!</v>
      </c>
      <c r="F34" s="476" t="s">
        <v>589</v>
      </c>
      <c r="G34" s="480"/>
      <c r="H34" s="481"/>
      <c r="I34" s="481"/>
      <c r="J34" s="481"/>
      <c r="K34" s="481"/>
      <c r="L34" s="479"/>
      <c r="M34" s="478"/>
    </row>
    <row r="35" spans="1:13" x14ac:dyDescent="0.25">
      <c r="A35" s="31" t="e">
        <f t="shared" si="5"/>
        <v>#VALUE!</v>
      </c>
      <c r="B35" s="37" t="e">
        <f t="shared" si="6"/>
        <v>#VALUE!</v>
      </c>
      <c r="C35" s="170">
        <v>0.14583333333333334</v>
      </c>
      <c r="D35" s="327" t="str">
        <f t="shared" si="7"/>
        <v/>
      </c>
      <c r="E35" s="37" t="e">
        <f t="shared" si="3"/>
        <v>#VALUE!</v>
      </c>
      <c r="F35" s="476" t="s">
        <v>590</v>
      </c>
      <c r="G35" s="480"/>
      <c r="H35" s="481"/>
      <c r="I35" s="481"/>
      <c r="J35" s="481"/>
      <c r="K35" s="481"/>
      <c r="L35" s="479"/>
      <c r="M35" s="478"/>
    </row>
    <row r="36" spans="1:13" s="267" customFormat="1" ht="16.399999999999999" customHeight="1" x14ac:dyDescent="0.25">
      <c r="A36" s="31" t="e">
        <f t="shared" si="5"/>
        <v>#VALUE!</v>
      </c>
      <c r="B36" s="37" t="e">
        <f t="shared" si="6"/>
        <v>#VALUE!</v>
      </c>
      <c r="C36" s="170">
        <v>6.9444444444444441E-3</v>
      </c>
      <c r="D36" s="327" t="str">
        <f t="shared" si="7"/>
        <v/>
      </c>
      <c r="E36" s="37" t="e">
        <f t="shared" si="3"/>
        <v>#VALUE!</v>
      </c>
      <c r="F36" s="476" t="s">
        <v>598</v>
      </c>
      <c r="G36" s="483"/>
      <c r="H36" s="481"/>
      <c r="I36" s="481"/>
      <c r="J36" s="481"/>
      <c r="K36" s="481">
        <v>36.920694444444443</v>
      </c>
      <c r="L36" s="479">
        <f>SUM(H36:K36)</f>
        <v>36.920694444444443</v>
      </c>
      <c r="M36" s="478"/>
    </row>
    <row r="37" spans="1:13" x14ac:dyDescent="0.25">
      <c r="A37" s="31" t="e">
        <f t="shared" ref="A37" si="8">A36+C36</f>
        <v>#VALUE!</v>
      </c>
      <c r="B37" s="37" t="e">
        <f t="shared" ref="B37" si="9">B36+C36</f>
        <v>#VALUE!</v>
      </c>
      <c r="C37" s="170">
        <v>0.24305555555555555</v>
      </c>
      <c r="D37" s="327" t="s">
        <v>99</v>
      </c>
      <c r="E37" s="37" t="e">
        <f t="shared" si="3"/>
        <v>#VALUE!</v>
      </c>
      <c r="F37" s="484" t="s">
        <v>599</v>
      </c>
      <c r="G37" s="480"/>
      <c r="H37" s="481"/>
      <c r="I37" s="481"/>
      <c r="J37" s="481"/>
      <c r="K37" s="481"/>
      <c r="L37" s="479"/>
      <c r="M37" s="478"/>
    </row>
    <row r="38" spans="1:13" x14ac:dyDescent="0.25">
      <c r="A38" s="31" t="e">
        <f>IF(D36 = "",A36+C36,A36+D36)</f>
        <v>#VALUE!</v>
      </c>
      <c r="B38" s="37" t="e">
        <f>IF(D36 = "",B36+C36,B36+D36)</f>
        <v>#VALUE!</v>
      </c>
      <c r="C38" s="170">
        <v>0.11666666666666665</v>
      </c>
      <c r="D38" s="327" t="str">
        <f>IF(_xlfn.ISFORMULA(E38)=TRUE,"",E38-B38)</f>
        <v/>
      </c>
      <c r="E38" s="37" t="e">
        <f t="shared" si="3"/>
        <v>#VALUE!</v>
      </c>
      <c r="F38" s="476" t="s">
        <v>589</v>
      </c>
      <c r="G38" s="480"/>
      <c r="H38" s="481"/>
      <c r="I38" s="481"/>
      <c r="J38" s="481"/>
      <c r="K38" s="481"/>
      <c r="L38" s="479"/>
      <c r="M38" s="478"/>
    </row>
    <row r="39" spans="1:13" x14ac:dyDescent="0.25">
      <c r="A39" s="31" t="e">
        <f t="shared" si="5"/>
        <v>#VALUE!</v>
      </c>
      <c r="B39" s="37" t="e">
        <f t="shared" si="6"/>
        <v>#VALUE!</v>
      </c>
      <c r="C39" s="170">
        <v>4.1666666666666664E-2</v>
      </c>
      <c r="D39" s="327" t="str">
        <f t="shared" si="7"/>
        <v/>
      </c>
      <c r="E39" s="37" t="e">
        <f t="shared" si="3"/>
        <v>#VALUE!</v>
      </c>
      <c r="F39" s="476" t="s">
        <v>600</v>
      </c>
      <c r="G39" s="480"/>
      <c r="H39" s="481"/>
      <c r="I39" s="481"/>
      <c r="J39" s="481"/>
      <c r="K39" s="481">
        <v>100</v>
      </c>
      <c r="L39" s="479">
        <f t="shared" si="4"/>
        <v>100</v>
      </c>
      <c r="M39" s="478"/>
    </row>
    <row r="40" spans="1:13" x14ac:dyDescent="0.25">
      <c r="A40" s="31" t="e">
        <f t="shared" si="5"/>
        <v>#VALUE!</v>
      </c>
      <c r="B40" s="37" t="e">
        <f t="shared" si="6"/>
        <v>#VALUE!</v>
      </c>
      <c r="C40" s="170">
        <v>8.3333333333333329E-2</v>
      </c>
      <c r="D40" s="327" t="str">
        <f t="shared" si="7"/>
        <v/>
      </c>
      <c r="E40" s="37" t="e">
        <f t="shared" si="3"/>
        <v>#VALUE!</v>
      </c>
      <c r="F40" s="476" t="s">
        <v>601</v>
      </c>
      <c r="G40" s="480"/>
      <c r="H40" s="481"/>
      <c r="I40" s="481"/>
      <c r="J40" s="481"/>
      <c r="K40" s="481">
        <v>133.60631313131313</v>
      </c>
      <c r="L40" s="479">
        <f t="shared" si="4"/>
        <v>133.60631313131313</v>
      </c>
      <c r="M40" s="478"/>
    </row>
    <row r="41" spans="1:13" ht="16.5" customHeight="1" x14ac:dyDescent="0.25">
      <c r="A41" s="31" t="e">
        <f t="shared" si="5"/>
        <v>#VALUE!</v>
      </c>
      <c r="B41" s="37" t="e">
        <f t="shared" si="6"/>
        <v>#VALUE!</v>
      </c>
      <c r="C41" s="170">
        <v>0.83333333333333337</v>
      </c>
      <c r="D41" s="327" t="s">
        <v>99</v>
      </c>
      <c r="E41" s="37" t="e">
        <f t="shared" si="3"/>
        <v>#VALUE!</v>
      </c>
      <c r="F41" s="484" t="s">
        <v>602</v>
      </c>
      <c r="G41" s="480"/>
      <c r="H41" s="481"/>
      <c r="I41" s="481"/>
      <c r="J41" s="481"/>
      <c r="K41" s="481"/>
      <c r="L41" s="479"/>
      <c r="M41" s="478"/>
    </row>
    <row r="42" spans="1:13" x14ac:dyDescent="0.25">
      <c r="A42" s="31" t="e">
        <f>IF(D40 = "",A40+C40,A40+D40)</f>
        <v>#VALUE!</v>
      </c>
      <c r="B42" s="37" t="e">
        <f>IF(D40 = "",B40+C40,B40+D40)</f>
        <v>#VALUE!</v>
      </c>
      <c r="C42" s="170">
        <v>8.3333333333333329E-2</v>
      </c>
      <c r="D42" s="327" t="str">
        <f t="shared" si="7"/>
        <v/>
      </c>
      <c r="E42" s="37" t="e">
        <f t="shared" si="3"/>
        <v>#VALUE!</v>
      </c>
      <c r="F42" s="476" t="s">
        <v>603</v>
      </c>
      <c r="G42" s="480"/>
      <c r="H42" s="481"/>
      <c r="I42" s="481"/>
      <c r="J42" s="481">
        <v>118.09456762749446</v>
      </c>
      <c r="K42" s="481"/>
      <c r="L42" s="479">
        <f t="shared" si="4"/>
        <v>118.09456762749446</v>
      </c>
      <c r="M42" s="478"/>
    </row>
    <row r="43" spans="1:13" s="267" customFormat="1" ht="14.9" customHeight="1" x14ac:dyDescent="0.25">
      <c r="A43" s="280" t="s">
        <v>604</v>
      </c>
      <c r="B43" s="280"/>
      <c r="C43" s="280"/>
      <c r="D43" s="280"/>
      <c r="E43" s="280"/>
      <c r="F43" s="280"/>
      <c r="G43" s="280"/>
      <c r="H43" s="284"/>
      <c r="I43" s="284"/>
      <c r="J43" s="284"/>
      <c r="K43" s="284"/>
      <c r="L43" s="285"/>
      <c r="M43" s="341"/>
    </row>
    <row r="44" spans="1:13" ht="16.5" customHeight="1" x14ac:dyDescent="0.25">
      <c r="A44" s="31" t="s">
        <v>386</v>
      </c>
      <c r="B44" s="37" t="s">
        <v>386</v>
      </c>
      <c r="C44" s="170">
        <v>0.125</v>
      </c>
      <c r="D44" s="327"/>
      <c r="E44" s="37"/>
      <c r="F44" s="491" t="s">
        <v>605</v>
      </c>
      <c r="G44" s="480"/>
      <c r="H44" s="481"/>
      <c r="I44" s="481"/>
      <c r="J44" s="481"/>
      <c r="K44" s="481"/>
      <c r="L44" s="479"/>
      <c r="M44" s="478"/>
    </row>
    <row r="45" spans="1:13" x14ac:dyDescent="0.25">
      <c r="A45" s="31" t="s">
        <v>386</v>
      </c>
      <c r="B45" s="37" t="s">
        <v>386</v>
      </c>
      <c r="C45" s="170">
        <v>0.125</v>
      </c>
      <c r="D45" s="327"/>
      <c r="E45" s="37"/>
      <c r="F45" s="491" t="s">
        <v>606</v>
      </c>
      <c r="G45" s="480"/>
      <c r="H45" s="481"/>
      <c r="I45" s="481"/>
      <c r="J45" s="481"/>
      <c r="K45" s="481"/>
      <c r="L45" s="479"/>
      <c r="M45" s="478"/>
    </row>
    <row r="46" spans="1:13" x14ac:dyDescent="0.25">
      <c r="A46" s="485"/>
      <c r="B46" s="33" t="s">
        <v>534</v>
      </c>
      <c r="C46" s="32" t="e">
        <f>SUM(C26:C42,C12:C24,#REF!,#REF!,#REF!)</f>
        <v>#REF!</v>
      </c>
      <c r="D46" s="32" t="e">
        <f>SUM(D26:D42,D12:D24,#REF!,#REF!,#REF!,#REF!,#REF!)</f>
        <v>#REF!</v>
      </c>
      <c r="G46" s="274" t="s">
        <v>607</v>
      </c>
      <c r="H46" s="287">
        <f>SUM(H12:H42)</f>
        <v>280</v>
      </c>
      <c r="I46" s="287">
        <f t="shared" ref="I46:M46" si="10">SUM(I12:I42)</f>
        <v>30</v>
      </c>
      <c r="J46" s="287">
        <f t="shared" si="10"/>
        <v>268.09456762749448</v>
      </c>
      <c r="K46" s="287">
        <f t="shared" si="10"/>
        <v>4769.7631186868684</v>
      </c>
      <c r="L46" s="287">
        <f t="shared" si="10"/>
        <v>4777.8576863143626</v>
      </c>
      <c r="M46" s="287">
        <f t="shared" si="10"/>
        <v>510</v>
      </c>
    </row>
    <row r="47" spans="1:13" x14ac:dyDescent="0.25">
      <c r="B47" s="31" t="s">
        <v>536</v>
      </c>
      <c r="C47" s="112" t="e">
        <f>(C46/24)</f>
        <v>#REF!</v>
      </c>
      <c r="D47" s="112" t="e">
        <f>(D46/24)</f>
        <v>#REF!</v>
      </c>
      <c r="G47" s="26"/>
      <c r="H47" s="26"/>
      <c r="I47" s="26"/>
      <c r="J47" s="26"/>
    </row>
    <row r="48" spans="1:13" x14ac:dyDescent="0.25">
      <c r="C48" s="262"/>
      <c r="D48" s="262"/>
      <c r="G48" s="26"/>
      <c r="H48" s="26"/>
      <c r="I48" s="26"/>
      <c r="J48" s="26"/>
    </row>
    <row r="49" spans="7:10" x14ac:dyDescent="0.25">
      <c r="G49" s="26"/>
      <c r="H49" s="26"/>
      <c r="I49" s="26"/>
      <c r="J49" s="26"/>
    </row>
    <row r="50" spans="7:10" x14ac:dyDescent="0.25">
      <c r="G50" s="26"/>
      <c r="H50" s="26"/>
      <c r="I50" s="26"/>
      <c r="J50" s="26"/>
    </row>
    <row r="51" spans="7:10" x14ac:dyDescent="0.25">
      <c r="G51" s="26"/>
      <c r="H51" s="26"/>
      <c r="I51" s="26"/>
      <c r="J51" s="26"/>
    </row>
    <row r="52" spans="7:10" x14ac:dyDescent="0.25">
      <c r="G52" s="26"/>
      <c r="H52" s="26"/>
      <c r="I52" s="26"/>
      <c r="J52" s="26"/>
    </row>
    <row r="53" spans="7:10" x14ac:dyDescent="0.25">
      <c r="G53" s="26"/>
      <c r="H53" s="26"/>
      <c r="I53" s="26"/>
      <c r="J53" s="26"/>
    </row>
    <row r="54" spans="7:10" x14ac:dyDescent="0.25">
      <c r="G54" s="26"/>
      <c r="H54" s="26"/>
      <c r="I54" s="26"/>
      <c r="J54" s="26"/>
    </row>
    <row r="55" spans="7:10" x14ac:dyDescent="0.25">
      <c r="G55" s="26"/>
      <c r="H55" s="26"/>
      <c r="I55" s="26"/>
      <c r="J55" s="26"/>
    </row>
    <row r="56" spans="7:10" x14ac:dyDescent="0.25">
      <c r="G56" s="26"/>
      <c r="H56" s="26"/>
      <c r="I56" s="26"/>
      <c r="J56" s="26"/>
    </row>
    <row r="57" spans="7:10" x14ac:dyDescent="0.25">
      <c r="G57" s="26"/>
      <c r="H57" s="26"/>
      <c r="I57" s="26"/>
      <c r="J57" s="26"/>
    </row>
    <row r="58" spans="7:10" x14ac:dyDescent="0.25">
      <c r="G58" s="26"/>
      <c r="H58" s="26"/>
      <c r="I58" s="26"/>
      <c r="J58" s="26"/>
    </row>
    <row r="59" spans="7:10" x14ac:dyDescent="0.25">
      <c r="G59" s="26"/>
      <c r="H59" s="26"/>
      <c r="I59" s="26"/>
      <c r="J59" s="26"/>
    </row>
    <row r="60" spans="7:10" x14ac:dyDescent="0.25">
      <c r="G60" s="26"/>
      <c r="H60" s="26"/>
      <c r="I60" s="26"/>
      <c r="J60" s="26"/>
    </row>
    <row r="61" spans="7:10" x14ac:dyDescent="0.25">
      <c r="G61" s="26"/>
      <c r="H61" s="26"/>
      <c r="I61" s="26"/>
      <c r="J61" s="26"/>
    </row>
    <row r="62" spans="7:10" x14ac:dyDescent="0.25">
      <c r="G62" s="26"/>
      <c r="H62" s="26"/>
      <c r="I62" s="26"/>
      <c r="J62" s="26"/>
    </row>
    <row r="63" spans="7:10" x14ac:dyDescent="0.25">
      <c r="G63" s="26"/>
      <c r="H63" s="26"/>
      <c r="I63" s="26"/>
      <c r="J63" s="26"/>
    </row>
    <row r="64" spans="7:10" x14ac:dyDescent="0.25">
      <c r="G64" s="26"/>
      <c r="H64" s="26"/>
      <c r="I64" s="26"/>
      <c r="J64" s="26"/>
    </row>
    <row r="65" spans="6:10" x14ac:dyDescent="0.25">
      <c r="G65" s="26"/>
      <c r="H65" s="26"/>
      <c r="I65" s="26"/>
      <c r="J65" s="26"/>
    </row>
    <row r="66" spans="6:10" x14ac:dyDescent="0.25">
      <c r="G66" s="26"/>
      <c r="H66" s="26"/>
      <c r="I66" s="26"/>
      <c r="J66" s="26"/>
    </row>
    <row r="67" spans="6:10" x14ac:dyDescent="0.25">
      <c r="G67" s="26"/>
      <c r="H67" s="26"/>
      <c r="I67" s="26"/>
      <c r="J67" s="26"/>
    </row>
    <row r="68" spans="6:10" x14ac:dyDescent="0.25">
      <c r="F68" s="26"/>
    </row>
    <row r="69" spans="6:10" x14ac:dyDescent="0.25">
      <c r="F69" s="26"/>
    </row>
  </sheetData>
  <mergeCells count="1">
    <mergeCell ref="A1:B1"/>
  </mergeCells>
  <pageMargins left="0.75" right="0.75" top="1" bottom="1" header="0.5" footer="0.5"/>
  <pageSetup orientation="portrait" r:id="rId1"/>
  <headerFooter alignWithMargins="0">
    <oddFooter>&amp;R&amp;"Arial,Regular"&amp;08&amp;K7F7F7FAmgen Proprietary - Confidential   &amp;C&amp;"Calibri"&amp;11&amp;K000000&amp;"Calibri"&amp;11&amp;K000000&amp;"Arial,Regular"&amp;08&amp;K7F7F7FAmgen Proprietary - For Internal Use Only_x000D_&amp;1#&amp;"Calibri"&amp;10&amp;K000000 Non-Amgen</oddFooter>
    <evenFooter>&amp;R&amp;"Arial,Regular"&amp;08&amp;K7F7F7FAmgen Proprietary - Confidential   &amp;C&amp;"Arial,Regular"&amp;08&amp;K7F7F7FAmgen Proprietary - For Internal Use Only</evenFooter>
    <firstFooter>&amp;R&amp;"Arial,Regular"&amp;08&amp;K7F7F7FAmgen Proprietary - Confidential   &amp;C&amp;"Arial,Regular"&amp;08&amp;K7F7F7FAmgen Proprietary - For Internal Use Only</first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5F22E2-5FBB-439B-988B-8404AB15BFEF}">
  <sheetPr codeName="Sheet42">
    <pageSetUpPr autoPageBreaks="0"/>
  </sheetPr>
  <dimension ref="A1:O104"/>
  <sheetViews>
    <sheetView topLeftCell="B40" zoomScale="120" zoomScaleNormal="120" workbookViewId="0">
      <selection activeCell="B7" sqref="B7"/>
    </sheetView>
  </sheetViews>
  <sheetFormatPr defaultColWidth="23.453125" defaultRowHeight="11.5" x14ac:dyDescent="0.25"/>
  <cols>
    <col min="1" max="1" width="53.453125" style="25" bestFit="1" customWidth="1"/>
    <col min="2" max="2" width="28" style="25" customWidth="1"/>
    <col min="3" max="3" width="23.453125" style="25"/>
    <col min="4" max="4" width="23.453125" style="25" customWidth="1"/>
    <col min="5" max="5" width="23.453125" style="25"/>
    <col min="6" max="6" width="79.54296875" style="25" bestFit="1" customWidth="1"/>
    <col min="7" max="7" width="40.54296875" style="25" customWidth="1"/>
    <col min="8" max="13" width="10.54296875" style="25" customWidth="1"/>
    <col min="14" max="14" width="30" style="25" customWidth="1"/>
    <col min="15" max="16384" width="23.453125" style="25"/>
  </cols>
  <sheetData>
    <row r="1" spans="1:15" ht="12" thickBot="1" x14ac:dyDescent="0.3">
      <c r="A1" s="1064" t="s">
        <v>479</v>
      </c>
      <c r="B1" s="1065"/>
    </row>
    <row r="2" spans="1:15" x14ac:dyDescent="0.25">
      <c r="A2" s="43" t="s">
        <v>480</v>
      </c>
      <c r="B2" s="289" t="s">
        <v>558</v>
      </c>
    </row>
    <row r="3" spans="1:15" ht="12" thickBot="1" x14ac:dyDescent="0.3">
      <c r="A3" s="42" t="s">
        <v>482</v>
      </c>
      <c r="B3" s="290" t="s">
        <v>558</v>
      </c>
    </row>
    <row r="5" spans="1:15" x14ac:dyDescent="0.25">
      <c r="A5" s="328" t="s">
        <v>484</v>
      </c>
      <c r="B5" s="328"/>
      <c r="C5" s="328"/>
      <c r="D5" s="328"/>
    </row>
    <row r="6" spans="1:15" x14ac:dyDescent="0.25">
      <c r="A6" s="781" t="s">
        <v>485</v>
      </c>
      <c r="B6" s="781" t="s">
        <v>486</v>
      </c>
      <c r="C6" s="781" t="s">
        <v>487</v>
      </c>
      <c r="D6" s="781" t="s">
        <v>488</v>
      </c>
    </row>
    <row r="7" spans="1:15" x14ac:dyDescent="0.25">
      <c r="A7" s="41" t="str">
        <f>F33</f>
        <v xml:space="preserve">   Sample for drug substance analysis (PR-024 in Methanol)</v>
      </c>
      <c r="B7" s="40" t="e">
        <f>INDEX($A$16:$A$93,MATCH(A7,$F$16:$F$93,0))</f>
        <v>#VALUE!</v>
      </c>
      <c r="C7" s="37" t="e">
        <f t="shared" ref="C7:C12" si="0">INDEX($B$16:$B$93,MATCH(A7,$F$16:$F$93,0))</f>
        <v>#VALUE!</v>
      </c>
      <c r="D7" s="297"/>
    </row>
    <row r="8" spans="1:15" x14ac:dyDescent="0.25">
      <c r="A8" s="41" t="str">
        <f>F42</f>
        <v xml:space="preserve">   Sample for Residual Solvent Methanol (Ethyl Acetate)</v>
      </c>
      <c r="B8" s="40" t="e">
        <f t="shared" ref="B8:B12" si="1">INDEX($A$16:$A$93,MATCH(A8,$F$16:$F$93,0))</f>
        <v>#VALUE!</v>
      </c>
      <c r="C8" s="37" t="e">
        <f t="shared" si="0"/>
        <v>#VALUE!</v>
      </c>
      <c r="D8" s="297"/>
    </row>
    <row r="9" spans="1:15" x14ac:dyDescent="0.25">
      <c r="A9" s="41" t="str">
        <f>F56</f>
        <v xml:space="preserve">   FD Sample for drug substance analysis (PR-024 in Methanol)</v>
      </c>
      <c r="B9" s="40" t="e">
        <f t="shared" si="1"/>
        <v>#VALUE!</v>
      </c>
      <c r="C9" s="37" t="e">
        <f t="shared" si="0"/>
        <v>#VALUE!</v>
      </c>
      <c r="D9" s="371"/>
    </row>
    <row r="10" spans="1:15" x14ac:dyDescent="0.25">
      <c r="A10" s="41" t="str">
        <f>F60</f>
        <v xml:space="preserve">   Exmat Sample</v>
      </c>
      <c r="B10" s="40" t="e">
        <f t="shared" si="1"/>
        <v>#VALUE!</v>
      </c>
      <c r="C10" s="37" t="e">
        <f t="shared" si="0"/>
        <v>#VALUE!</v>
      </c>
      <c r="D10" s="371"/>
    </row>
    <row r="11" spans="1:15" x14ac:dyDescent="0.25">
      <c r="A11" s="41" t="str">
        <f>F76</f>
        <v xml:space="preserve">   Sample for Residual Solvent Methanol (in Ethyl Acetate)</v>
      </c>
      <c r="B11" s="40" t="e">
        <f t="shared" si="1"/>
        <v>#VALUE!</v>
      </c>
      <c r="C11" s="37" t="e">
        <f t="shared" si="0"/>
        <v>#VALUE!</v>
      </c>
      <c r="D11" s="371"/>
    </row>
    <row r="12" spans="1:15" x14ac:dyDescent="0.25">
      <c r="A12" s="41" t="str">
        <f>F80</f>
        <v xml:space="preserve">   Sampling of Residual Solvent (Acetone in  Ethyl Acetate)</v>
      </c>
      <c r="B12" s="40" t="e">
        <f t="shared" si="1"/>
        <v>#VALUE!</v>
      </c>
      <c r="C12" s="37" t="e">
        <f t="shared" si="0"/>
        <v>#VALUE!</v>
      </c>
      <c r="D12" s="371"/>
    </row>
    <row r="14" spans="1:15" ht="30.65" customHeight="1" x14ac:dyDescent="0.25">
      <c r="A14" s="749" t="s">
        <v>492</v>
      </c>
      <c r="B14" s="749" t="s">
        <v>576</v>
      </c>
      <c r="C14" s="749" t="s">
        <v>494</v>
      </c>
      <c r="D14" s="749" t="s">
        <v>495</v>
      </c>
      <c r="E14" s="749" t="s">
        <v>560</v>
      </c>
      <c r="F14" s="749" t="s">
        <v>541</v>
      </c>
      <c r="G14" s="749" t="s">
        <v>498</v>
      </c>
      <c r="H14" s="781" t="s">
        <v>92</v>
      </c>
      <c r="I14" s="781" t="s">
        <v>96</v>
      </c>
      <c r="J14" s="781" t="s">
        <v>577</v>
      </c>
      <c r="K14" s="781" t="s">
        <v>500</v>
      </c>
      <c r="L14" s="278" t="s">
        <v>108</v>
      </c>
      <c r="M14" s="278" t="s">
        <v>114</v>
      </c>
    </row>
    <row r="15" spans="1:15" x14ac:dyDescent="0.25">
      <c r="A15" s="279" t="s">
        <v>578</v>
      </c>
      <c r="B15" s="279"/>
      <c r="C15" s="279"/>
      <c r="D15" s="279"/>
      <c r="E15" s="279"/>
      <c r="F15" s="279"/>
      <c r="G15" s="279"/>
      <c r="H15" s="777"/>
      <c r="I15" s="777"/>
      <c r="J15" s="777"/>
      <c r="K15" s="777"/>
      <c r="L15" s="777"/>
      <c r="M15" s="777"/>
    </row>
    <row r="16" spans="1:15" ht="14.5" x14ac:dyDescent="0.35">
      <c r="A16" s="31" t="str">
        <f>B2</f>
        <v>Insert time and date here</v>
      </c>
      <c r="B16" s="332" t="str">
        <f>B3</f>
        <v>Insert time and date here</v>
      </c>
      <c r="C16" s="170">
        <v>2.4305555555555556E-2</v>
      </c>
      <c r="D16" s="327" t="str">
        <f t="shared" ref="D16:D79" si="2">IF(_xlfn.ISFORMULA(E16)=TRUE,"",E16-B16)</f>
        <v/>
      </c>
      <c r="E16" s="37" t="e">
        <f>B16+C16</f>
        <v>#VALUE!</v>
      </c>
      <c r="F16" s="270" t="s">
        <v>608</v>
      </c>
      <c r="G16" s="277"/>
      <c r="H16" s="281"/>
      <c r="I16" s="281"/>
      <c r="J16" s="281"/>
      <c r="K16" s="282">
        <v>126.26262626262626</v>
      </c>
      <c r="L16" s="337">
        <f>SUM(H16:K16)</f>
        <v>126.26262626262626</v>
      </c>
      <c r="M16" s="282"/>
      <c r="N16" s="1066" t="s">
        <v>609</v>
      </c>
      <c r="O16" s="1067"/>
    </row>
    <row r="17" spans="1:15" ht="12.75" customHeight="1" x14ac:dyDescent="0.35">
      <c r="A17" s="31" t="e">
        <f t="shared" ref="A17:A33" si="3">IF(D16 = "",A16+C16,A16+D16)</f>
        <v>#VALUE!</v>
      </c>
      <c r="B17" s="37" t="e">
        <f t="shared" ref="B17:B33" si="4">IF(D16 = "",B16+C16,B16+D16)</f>
        <v>#VALUE!</v>
      </c>
      <c r="C17" s="170">
        <v>1.7361111111111112E-2</v>
      </c>
      <c r="D17" s="327" t="str">
        <f t="shared" si="2"/>
        <v/>
      </c>
      <c r="E17" s="37" t="e">
        <f t="shared" ref="E17:E79" si="5">B17+C17</f>
        <v>#VALUE!</v>
      </c>
      <c r="F17" s="270" t="s">
        <v>610</v>
      </c>
      <c r="G17" s="275"/>
      <c r="H17" s="283"/>
      <c r="I17" s="283"/>
      <c r="J17" s="283">
        <v>110.86474501108647</v>
      </c>
      <c r="K17" s="283"/>
      <c r="L17" s="337">
        <f t="shared" ref="L17:L61" si="6">SUM(H17:K17)</f>
        <v>110.86474501108647</v>
      </c>
      <c r="M17" s="282"/>
      <c r="N17" s="268" t="s">
        <v>611</v>
      </c>
      <c r="O17" s="343">
        <f>SUM(K16:K25)</f>
        <v>180.49242424242425</v>
      </c>
    </row>
    <row r="18" spans="1:15" ht="12.75" customHeight="1" x14ac:dyDescent="0.35">
      <c r="A18" s="31" t="e">
        <f t="shared" si="3"/>
        <v>#VALUE!</v>
      </c>
      <c r="B18" s="37" t="e">
        <f t="shared" si="4"/>
        <v>#VALUE!</v>
      </c>
      <c r="C18" s="170">
        <v>4.1666666666666664E-2</v>
      </c>
      <c r="D18" s="327" t="str">
        <f t="shared" si="2"/>
        <v/>
      </c>
      <c r="E18" s="37" t="e">
        <f t="shared" si="5"/>
        <v>#VALUE!</v>
      </c>
      <c r="F18" s="270" t="s">
        <v>612</v>
      </c>
      <c r="G18" s="275"/>
      <c r="H18" s="283"/>
      <c r="I18" s="283"/>
      <c r="J18" s="283">
        <v>150</v>
      </c>
      <c r="K18" s="283"/>
      <c r="L18" s="337">
        <f t="shared" si="6"/>
        <v>150</v>
      </c>
      <c r="M18" s="282"/>
      <c r="N18" s="268" t="s">
        <v>613</v>
      </c>
      <c r="O18" s="343">
        <f>SUM(J16:J25)</f>
        <v>290.86474501108648</v>
      </c>
    </row>
    <row r="19" spans="1:15" ht="12.75" customHeight="1" x14ac:dyDescent="0.35">
      <c r="A19" s="31" t="e">
        <f t="shared" si="3"/>
        <v>#VALUE!</v>
      </c>
      <c r="B19" s="37" t="e">
        <f t="shared" si="4"/>
        <v>#VALUE!</v>
      </c>
      <c r="C19" s="170">
        <v>3.8194444444444441E-2</v>
      </c>
      <c r="D19" s="327" t="str">
        <f t="shared" si="2"/>
        <v/>
      </c>
      <c r="E19" s="37" t="e">
        <f t="shared" si="5"/>
        <v>#VALUE!</v>
      </c>
      <c r="F19" s="270" t="s">
        <v>614</v>
      </c>
      <c r="G19" s="275"/>
      <c r="H19" s="283">
        <v>60</v>
      </c>
      <c r="I19" s="283"/>
      <c r="J19" s="283"/>
      <c r="K19" s="283"/>
      <c r="L19" s="337"/>
      <c r="M19" s="283">
        <v>60</v>
      </c>
      <c r="N19" s="268" t="s">
        <v>615</v>
      </c>
      <c r="O19" s="343">
        <f>SUM(L16:L25)</f>
        <v>1272.9931670851433</v>
      </c>
    </row>
    <row r="20" spans="1:15" ht="13.5" customHeight="1" x14ac:dyDescent="0.35">
      <c r="A20" s="31" t="e">
        <f t="shared" si="3"/>
        <v>#VALUE!</v>
      </c>
      <c r="B20" s="37" t="e">
        <f t="shared" si="4"/>
        <v>#VALUE!</v>
      </c>
      <c r="C20" s="170">
        <v>2.0833333333333332E-2</v>
      </c>
      <c r="D20" s="327" t="str">
        <f t="shared" si="2"/>
        <v/>
      </c>
      <c r="E20" s="37" t="e">
        <f t="shared" si="5"/>
        <v>#VALUE!</v>
      </c>
      <c r="F20" s="270" t="s">
        <v>616</v>
      </c>
      <c r="G20" s="275"/>
      <c r="H20" s="283"/>
      <c r="I20" s="283">
        <v>30</v>
      </c>
      <c r="J20" s="283"/>
      <c r="K20" s="283"/>
      <c r="L20" s="337">
        <f t="shared" si="6"/>
        <v>30</v>
      </c>
      <c r="M20" s="282"/>
      <c r="N20" s="268" t="s">
        <v>617</v>
      </c>
      <c r="O20" s="343">
        <f>SUM(H16:H25)</f>
        <v>510</v>
      </c>
    </row>
    <row r="21" spans="1:15" ht="14.5" x14ac:dyDescent="0.35">
      <c r="A21" s="31" t="e">
        <f t="shared" si="3"/>
        <v>#VALUE!</v>
      </c>
      <c r="B21" s="37" t="e">
        <f t="shared" si="4"/>
        <v>#VALUE!</v>
      </c>
      <c r="C21" s="170">
        <v>4.8611111111111112E-2</v>
      </c>
      <c r="D21" s="327" t="str">
        <f t="shared" si="2"/>
        <v/>
      </c>
      <c r="E21" s="37" t="e">
        <f t="shared" si="5"/>
        <v>#VALUE!</v>
      </c>
      <c r="F21" s="270" t="s">
        <v>618</v>
      </c>
      <c r="G21" s="275"/>
      <c r="H21" s="283"/>
      <c r="I21" s="283"/>
      <c r="J21" s="283">
        <v>30</v>
      </c>
      <c r="K21" s="283"/>
      <c r="L21" s="337">
        <f t="shared" si="6"/>
        <v>30</v>
      </c>
      <c r="M21" s="282"/>
    </row>
    <row r="22" spans="1:15" ht="14.5" x14ac:dyDescent="0.35">
      <c r="A22" s="31" t="e">
        <f t="shared" si="3"/>
        <v>#VALUE!</v>
      </c>
      <c r="B22" s="37" t="e">
        <f t="shared" si="4"/>
        <v>#VALUE!</v>
      </c>
      <c r="C22" s="170">
        <v>1.3888888888888888E-2</v>
      </c>
      <c r="D22" s="327" t="str">
        <f t="shared" si="2"/>
        <v/>
      </c>
      <c r="E22" s="37" t="e">
        <f t="shared" si="5"/>
        <v>#VALUE!</v>
      </c>
      <c r="F22" s="270" t="s">
        <v>619</v>
      </c>
      <c r="G22" s="275"/>
      <c r="H22" s="283"/>
      <c r="I22" s="283"/>
      <c r="J22" s="283"/>
      <c r="K22" s="283">
        <v>54.229797979797979</v>
      </c>
      <c r="L22" s="337">
        <f t="shared" si="6"/>
        <v>54.229797979797979</v>
      </c>
      <c r="M22" s="282"/>
    </row>
    <row r="23" spans="1:15" ht="13.5" customHeight="1" x14ac:dyDescent="0.35">
      <c r="A23" s="31" t="e">
        <f t="shared" si="3"/>
        <v>#VALUE!</v>
      </c>
      <c r="B23" s="37" t="e">
        <f t="shared" si="4"/>
        <v>#VALUE!</v>
      </c>
      <c r="C23" s="170">
        <v>3.125E-2</v>
      </c>
      <c r="D23" s="327" t="str">
        <f t="shared" si="2"/>
        <v/>
      </c>
      <c r="E23" s="37" t="e">
        <f t="shared" si="5"/>
        <v>#VALUE!</v>
      </c>
      <c r="F23" s="270" t="s">
        <v>620</v>
      </c>
      <c r="G23" s="275"/>
      <c r="H23" s="283"/>
      <c r="I23" s="283">
        <v>501.63599783163266</v>
      </c>
      <c r="J23" s="283"/>
      <c r="K23" s="283"/>
      <c r="L23" s="337">
        <f t="shared" si="6"/>
        <v>501.63599783163266</v>
      </c>
      <c r="M23" s="282"/>
    </row>
    <row r="24" spans="1:15" ht="13.5" customHeight="1" x14ac:dyDescent="0.35">
      <c r="A24" s="31" t="e">
        <f t="shared" si="3"/>
        <v>#VALUE!</v>
      </c>
      <c r="B24" s="37" t="e">
        <f t="shared" si="4"/>
        <v>#VALUE!</v>
      </c>
      <c r="C24" s="170">
        <v>0.3125</v>
      </c>
      <c r="D24" s="327" t="str">
        <f t="shared" si="2"/>
        <v/>
      </c>
      <c r="E24" s="37" t="e">
        <f t="shared" si="5"/>
        <v>#VALUE!</v>
      </c>
      <c r="F24" s="270" t="s">
        <v>621</v>
      </c>
      <c r="G24" s="275"/>
      <c r="H24" s="283">
        <v>450</v>
      </c>
      <c r="I24" s="283"/>
      <c r="J24" s="283"/>
      <c r="K24" s="283"/>
      <c r="L24" s="338"/>
      <c r="M24" s="283">
        <v>450</v>
      </c>
    </row>
    <row r="25" spans="1:15" ht="14.5" x14ac:dyDescent="0.35">
      <c r="A25" s="31" t="e">
        <f t="shared" si="3"/>
        <v>#VALUE!</v>
      </c>
      <c r="B25" s="37" t="e">
        <f t="shared" si="4"/>
        <v>#VALUE!</v>
      </c>
      <c r="C25" s="170">
        <v>0.27083333333333331</v>
      </c>
      <c r="D25" s="327" t="str">
        <f t="shared" si="2"/>
        <v/>
      </c>
      <c r="E25" s="37" t="e">
        <f t="shared" si="5"/>
        <v>#VALUE!</v>
      </c>
      <c r="F25" s="270" t="s">
        <v>622</v>
      </c>
      <c r="G25" s="275"/>
      <c r="H25" s="283"/>
      <c r="I25" s="283">
        <v>270</v>
      </c>
      <c r="J25" s="283"/>
      <c r="K25" s="283"/>
      <c r="L25" s="337">
        <f t="shared" si="6"/>
        <v>270</v>
      </c>
      <c r="M25" s="282"/>
    </row>
    <row r="26" spans="1:15" ht="12.75" customHeight="1" x14ac:dyDescent="0.35">
      <c r="A26" s="31" t="e">
        <f t="shared" si="3"/>
        <v>#VALUE!</v>
      </c>
      <c r="B26" s="37" t="e">
        <f t="shared" si="4"/>
        <v>#VALUE!</v>
      </c>
      <c r="C26" s="170">
        <v>0.25347222222222221</v>
      </c>
      <c r="D26" s="327" t="str">
        <f t="shared" si="2"/>
        <v/>
      </c>
      <c r="E26" s="37" t="e">
        <f t="shared" si="5"/>
        <v>#VALUE!</v>
      </c>
      <c r="F26" s="270" t="s">
        <v>623</v>
      </c>
      <c r="G26" s="275"/>
      <c r="H26" s="283"/>
      <c r="I26" s="283">
        <v>270</v>
      </c>
      <c r="J26" s="283"/>
      <c r="K26" s="283"/>
      <c r="L26" s="337">
        <f t="shared" si="6"/>
        <v>270</v>
      </c>
      <c r="M26" s="282"/>
      <c r="N26" s="1066" t="s">
        <v>624</v>
      </c>
      <c r="O26" s="1067"/>
    </row>
    <row r="27" spans="1:15" ht="12.75" customHeight="1" x14ac:dyDescent="0.35">
      <c r="A27" s="31" t="e">
        <f t="shared" si="3"/>
        <v>#VALUE!</v>
      </c>
      <c r="B27" s="37" t="e">
        <f t="shared" si="4"/>
        <v>#VALUE!</v>
      </c>
      <c r="C27" s="170">
        <v>0.27083333333333331</v>
      </c>
      <c r="D27" s="327" t="str">
        <f t="shared" si="2"/>
        <v/>
      </c>
      <c r="E27" s="37" t="e">
        <f t="shared" si="5"/>
        <v>#VALUE!</v>
      </c>
      <c r="F27" s="270" t="s">
        <v>625</v>
      </c>
      <c r="G27" s="275"/>
      <c r="H27" s="283"/>
      <c r="I27" s="283"/>
      <c r="J27" s="283"/>
      <c r="K27" s="283">
        <v>450</v>
      </c>
      <c r="L27" s="337">
        <f t="shared" si="6"/>
        <v>450</v>
      </c>
      <c r="M27" s="282"/>
      <c r="N27" s="268" t="s">
        <v>611</v>
      </c>
      <c r="O27" s="343">
        <f>SUM(K26:K31)</f>
        <v>911.78450126262624</v>
      </c>
    </row>
    <row r="28" spans="1:15" ht="12.75" customHeight="1" x14ac:dyDescent="0.35">
      <c r="A28" s="31" t="e">
        <f t="shared" si="3"/>
        <v>#VALUE!</v>
      </c>
      <c r="B28" s="37" t="e">
        <f t="shared" si="4"/>
        <v>#VALUE!</v>
      </c>
      <c r="C28" s="170">
        <v>6.25E-2</v>
      </c>
      <c r="D28" s="327" t="str">
        <f t="shared" si="2"/>
        <v/>
      </c>
      <c r="E28" s="37" t="e">
        <f t="shared" si="5"/>
        <v>#VALUE!</v>
      </c>
      <c r="F28" s="270" t="s">
        <v>626</v>
      </c>
      <c r="G28" s="275"/>
      <c r="H28" s="283"/>
      <c r="I28" s="283"/>
      <c r="J28" s="283"/>
      <c r="K28" s="283"/>
      <c r="L28" s="337"/>
      <c r="M28" s="282"/>
      <c r="N28" s="268" t="s">
        <v>615</v>
      </c>
      <c r="O28" s="343">
        <f>SUM(L26:L31)</f>
        <v>1181.7845012626262</v>
      </c>
    </row>
    <row r="29" spans="1:15" ht="14.5" x14ac:dyDescent="0.35">
      <c r="A29" s="31" t="e">
        <f t="shared" si="3"/>
        <v>#VALUE!</v>
      </c>
      <c r="B29" s="37" t="e">
        <f t="shared" si="4"/>
        <v>#VALUE!</v>
      </c>
      <c r="C29" s="170">
        <v>7.6388888888888895E-2</v>
      </c>
      <c r="D29" s="327" t="str">
        <f t="shared" si="2"/>
        <v/>
      </c>
      <c r="E29" s="37" t="e">
        <f t="shared" si="5"/>
        <v>#VALUE!</v>
      </c>
      <c r="F29" s="270" t="s">
        <v>627</v>
      </c>
      <c r="G29" s="275"/>
      <c r="H29" s="283"/>
      <c r="I29" s="283"/>
      <c r="J29" s="283"/>
      <c r="K29" s="283">
        <v>461.78450126262624</v>
      </c>
      <c r="L29" s="337">
        <f t="shared" si="6"/>
        <v>461.78450126262624</v>
      </c>
      <c r="M29" s="282"/>
    </row>
    <row r="30" spans="1:15" ht="14.5" x14ac:dyDescent="0.35">
      <c r="A30" s="31" t="e">
        <f t="shared" si="3"/>
        <v>#VALUE!</v>
      </c>
      <c r="B30" s="37" t="e">
        <f t="shared" si="4"/>
        <v>#VALUE!</v>
      </c>
      <c r="C30" s="170">
        <v>6.25E-2</v>
      </c>
      <c r="D30" s="327" t="str">
        <f t="shared" si="2"/>
        <v/>
      </c>
      <c r="E30" s="37" t="e">
        <f t="shared" si="5"/>
        <v>#VALUE!</v>
      </c>
      <c r="F30" s="270" t="s">
        <v>589</v>
      </c>
      <c r="G30" s="275"/>
      <c r="H30" s="283"/>
      <c r="I30" s="283"/>
      <c r="J30" s="283"/>
      <c r="K30" s="283"/>
      <c r="L30" s="337"/>
      <c r="M30" s="282"/>
    </row>
    <row r="31" spans="1:15" ht="14.5" x14ac:dyDescent="0.35">
      <c r="A31" s="31" t="e">
        <f t="shared" si="3"/>
        <v>#VALUE!</v>
      </c>
      <c r="B31" s="37" t="e">
        <f t="shared" si="4"/>
        <v>#VALUE!</v>
      </c>
      <c r="C31" s="170">
        <v>0.125</v>
      </c>
      <c r="D31" s="327" t="str">
        <f t="shared" si="2"/>
        <v/>
      </c>
      <c r="E31" s="37" t="e">
        <f t="shared" si="5"/>
        <v>#VALUE!</v>
      </c>
      <c r="F31" s="270" t="s">
        <v>628</v>
      </c>
      <c r="G31" s="275"/>
      <c r="H31" s="283"/>
      <c r="I31" s="283"/>
      <c r="J31" s="283"/>
      <c r="K31" s="283"/>
      <c r="L31" s="337"/>
      <c r="M31" s="282"/>
    </row>
    <row r="32" spans="1:15" ht="14.5" x14ac:dyDescent="0.35">
      <c r="A32" s="31" t="e">
        <f t="shared" si="3"/>
        <v>#VALUE!</v>
      </c>
      <c r="B32" s="37" t="e">
        <f t="shared" si="4"/>
        <v>#VALUE!</v>
      </c>
      <c r="C32" s="170">
        <v>3.4722222222222224E-2</v>
      </c>
      <c r="D32" s="327" t="str">
        <f t="shared" si="2"/>
        <v/>
      </c>
      <c r="E32" s="37" t="e">
        <f t="shared" si="5"/>
        <v>#VALUE!</v>
      </c>
      <c r="F32" s="270" t="s">
        <v>629</v>
      </c>
      <c r="G32" s="275"/>
      <c r="H32" s="283"/>
      <c r="I32" s="283"/>
      <c r="J32" s="283"/>
      <c r="K32" s="283">
        <v>48.729924242424239</v>
      </c>
      <c r="L32" s="337">
        <f t="shared" si="6"/>
        <v>48.729924242424239</v>
      </c>
      <c r="M32" s="282"/>
      <c r="N32" s="1066" t="s">
        <v>630</v>
      </c>
      <c r="O32" s="1067"/>
    </row>
    <row r="33" spans="1:15" ht="14.5" x14ac:dyDescent="0.35">
      <c r="A33" s="31" t="e">
        <f t="shared" si="3"/>
        <v>#VALUE!</v>
      </c>
      <c r="B33" s="37" t="e">
        <f t="shared" si="4"/>
        <v>#VALUE!</v>
      </c>
      <c r="C33" s="170" t="s">
        <v>99</v>
      </c>
      <c r="D33" s="327" t="s">
        <v>99</v>
      </c>
      <c r="E33" s="37" t="s">
        <v>99</v>
      </c>
      <c r="F33" s="291" t="s">
        <v>631</v>
      </c>
      <c r="G33" s="275"/>
      <c r="H33" s="283"/>
      <c r="I33" s="283"/>
      <c r="J33" s="283"/>
      <c r="K33" s="283"/>
      <c r="L33" s="337"/>
      <c r="M33" s="282"/>
      <c r="N33" s="268" t="s">
        <v>611</v>
      </c>
      <c r="O33" s="343">
        <f>SUM(K32:K46)</f>
        <v>1804.0362373737373</v>
      </c>
    </row>
    <row r="34" spans="1:15" ht="16.5" customHeight="1" x14ac:dyDescent="0.35">
      <c r="A34" s="31" t="e">
        <f>IF(D32 = "",A32+C32,A32+D32)</f>
        <v>#VALUE!</v>
      </c>
      <c r="B34" s="37" t="e">
        <f>IF(D32 = "",B32+C32,B32+D32)</f>
        <v>#VALUE!</v>
      </c>
      <c r="C34" s="170">
        <v>0.11458333333333333</v>
      </c>
      <c r="D34" s="327" t="str">
        <f t="shared" si="2"/>
        <v/>
      </c>
      <c r="E34" s="37" t="e">
        <f t="shared" si="5"/>
        <v>#VALUE!</v>
      </c>
      <c r="F34" s="269" t="s">
        <v>589</v>
      </c>
      <c r="G34" s="275"/>
      <c r="H34" s="283"/>
      <c r="I34" s="283"/>
      <c r="J34" s="283"/>
      <c r="K34" s="283"/>
      <c r="L34" s="337"/>
      <c r="M34" s="282"/>
      <c r="N34" s="268" t="s">
        <v>613</v>
      </c>
      <c r="O34" s="343">
        <f>SUM(J32:J46)</f>
        <v>1561.3706873614192</v>
      </c>
    </row>
    <row r="35" spans="1:15" s="267" customFormat="1" ht="14.9" customHeight="1" x14ac:dyDescent="0.25">
      <c r="A35" s="280" t="s">
        <v>591</v>
      </c>
      <c r="B35" s="280"/>
      <c r="C35" s="280"/>
      <c r="D35" s="280"/>
      <c r="E35" s="280"/>
      <c r="F35" s="280"/>
      <c r="G35" s="280"/>
      <c r="H35" s="284"/>
      <c r="I35" s="284"/>
      <c r="J35" s="284"/>
      <c r="K35" s="284"/>
      <c r="L35" s="285"/>
      <c r="M35" s="341"/>
      <c r="N35" s="268" t="s">
        <v>615</v>
      </c>
      <c r="O35" s="343">
        <f>SUM(L32:L46)</f>
        <v>3365.4069247351563</v>
      </c>
    </row>
    <row r="36" spans="1:15" ht="15" customHeight="1" x14ac:dyDescent="0.35">
      <c r="A36" s="31" t="e">
        <f>IF(D34 = "",A34+C34,A34+D34)</f>
        <v>#VALUE!</v>
      </c>
      <c r="B36" s="37" t="e">
        <f>IF(D34 = "",B34+C34,B34+D34)</f>
        <v>#VALUE!</v>
      </c>
      <c r="C36" s="170">
        <v>1.3888888888888888E-2</v>
      </c>
      <c r="D36" s="327" t="str">
        <f t="shared" si="2"/>
        <v/>
      </c>
      <c r="E36" s="37" t="e">
        <f t="shared" si="5"/>
        <v>#VALUE!</v>
      </c>
      <c r="F36" s="268" t="s">
        <v>632</v>
      </c>
      <c r="G36" s="275"/>
      <c r="H36" s="283"/>
      <c r="I36" s="283"/>
      <c r="J36" s="283">
        <v>53.22811529933481</v>
      </c>
      <c r="K36" s="283"/>
      <c r="L36" s="337">
        <f t="shared" si="6"/>
        <v>53.22811529933481</v>
      </c>
      <c r="M36" s="282"/>
    </row>
    <row r="37" spans="1:15" ht="14.5" x14ac:dyDescent="0.35">
      <c r="A37" s="31" t="e">
        <f t="shared" ref="A37:A42" si="7">IF(D36 = "",A36+C36,A36+D36)</f>
        <v>#VALUE!</v>
      </c>
      <c r="B37" s="37" t="e">
        <f t="shared" ref="B37:B42" si="8">IF(D36 = "",B36+C36,B36+D36)</f>
        <v>#VALUE!</v>
      </c>
      <c r="C37" s="170">
        <v>0.20138888888888887</v>
      </c>
      <c r="D37" s="327" t="str">
        <f t="shared" si="2"/>
        <v/>
      </c>
      <c r="E37" s="37" t="e">
        <f t="shared" si="5"/>
        <v>#VALUE!</v>
      </c>
      <c r="F37" s="268" t="s">
        <v>633</v>
      </c>
      <c r="G37" s="275"/>
      <c r="H37" s="283"/>
      <c r="I37" s="283"/>
      <c r="J37" s="283">
        <v>402.40454545454548</v>
      </c>
      <c r="K37" s="283"/>
      <c r="L37" s="337">
        <f t="shared" si="6"/>
        <v>402.40454545454548</v>
      </c>
      <c r="M37" s="282"/>
    </row>
    <row r="38" spans="1:15" ht="14.5" x14ac:dyDescent="0.35">
      <c r="A38" s="31" t="e">
        <f t="shared" si="7"/>
        <v>#VALUE!</v>
      </c>
      <c r="B38" s="37" t="e">
        <f t="shared" si="8"/>
        <v>#VALUE!</v>
      </c>
      <c r="C38" s="170">
        <v>0.17361111111111113</v>
      </c>
      <c r="D38" s="327" t="str">
        <f t="shared" si="2"/>
        <v/>
      </c>
      <c r="E38" s="37" t="e">
        <f t="shared" si="5"/>
        <v>#VALUE!</v>
      </c>
      <c r="F38" s="268" t="s">
        <v>634</v>
      </c>
      <c r="G38" s="275"/>
      <c r="H38" s="283"/>
      <c r="I38" s="283"/>
      <c r="J38" s="283">
        <v>401.28492239467846</v>
      </c>
      <c r="K38" s="283"/>
      <c r="L38" s="337">
        <f t="shared" si="6"/>
        <v>401.28492239467846</v>
      </c>
      <c r="M38" s="282"/>
    </row>
    <row r="39" spans="1:15" ht="14.5" x14ac:dyDescent="0.35">
      <c r="A39" s="31" t="e">
        <f t="shared" si="7"/>
        <v>#VALUE!</v>
      </c>
      <c r="B39" s="37" t="e">
        <f t="shared" si="8"/>
        <v>#VALUE!</v>
      </c>
      <c r="C39" s="170">
        <v>0.15625</v>
      </c>
      <c r="D39" s="327" t="str">
        <f t="shared" si="2"/>
        <v/>
      </c>
      <c r="E39" s="37" t="e">
        <f t="shared" si="5"/>
        <v>#VALUE!</v>
      </c>
      <c r="F39" s="268" t="s">
        <v>635</v>
      </c>
      <c r="G39" s="275"/>
      <c r="H39" s="283"/>
      <c r="I39" s="283"/>
      <c r="J39" s="283">
        <v>401.58048780487803</v>
      </c>
      <c r="K39" s="283"/>
      <c r="L39" s="337">
        <f t="shared" si="6"/>
        <v>401.58048780487803</v>
      </c>
      <c r="M39" s="282"/>
    </row>
    <row r="40" spans="1:15" ht="14.5" x14ac:dyDescent="0.35">
      <c r="A40" s="31" t="e">
        <f t="shared" si="7"/>
        <v>#VALUE!</v>
      </c>
      <c r="B40" s="37" t="e">
        <f t="shared" si="8"/>
        <v>#VALUE!</v>
      </c>
      <c r="C40" s="170">
        <v>0.14583333333333334</v>
      </c>
      <c r="D40" s="327" t="str">
        <f t="shared" si="2"/>
        <v/>
      </c>
      <c r="E40" s="37" t="e">
        <f t="shared" si="5"/>
        <v>#VALUE!</v>
      </c>
      <c r="F40" s="268" t="s">
        <v>636</v>
      </c>
      <c r="G40" s="275"/>
      <c r="H40" s="283"/>
      <c r="I40" s="283"/>
      <c r="J40" s="283">
        <v>302.87261640798226</v>
      </c>
      <c r="K40" s="283"/>
      <c r="L40" s="337">
        <f t="shared" si="6"/>
        <v>302.87261640798226</v>
      </c>
      <c r="M40" s="282"/>
    </row>
    <row r="41" spans="1:15" ht="14.5" x14ac:dyDescent="0.35">
      <c r="A41" s="31" t="e">
        <f t="shared" si="7"/>
        <v>#VALUE!</v>
      </c>
      <c r="B41" s="37" t="e">
        <f t="shared" si="8"/>
        <v>#VALUE!</v>
      </c>
      <c r="C41" s="170">
        <v>2.0833333333333332E-2</v>
      </c>
      <c r="D41" s="327" t="str">
        <f t="shared" si="2"/>
        <v/>
      </c>
      <c r="E41" s="37" t="e">
        <f t="shared" si="5"/>
        <v>#VALUE!</v>
      </c>
      <c r="F41" s="268" t="s">
        <v>637</v>
      </c>
      <c r="G41" s="275"/>
      <c r="H41" s="283"/>
      <c r="I41" s="283"/>
      <c r="J41" s="283"/>
      <c r="K41" s="283"/>
      <c r="L41" s="337"/>
      <c r="M41" s="282"/>
    </row>
    <row r="42" spans="1:15" ht="14.5" x14ac:dyDescent="0.35">
      <c r="A42" s="31" t="e">
        <f t="shared" si="7"/>
        <v>#VALUE!</v>
      </c>
      <c r="B42" s="37" t="e">
        <f t="shared" si="8"/>
        <v>#VALUE!</v>
      </c>
      <c r="C42" s="170" t="s">
        <v>99</v>
      </c>
      <c r="D42" s="327" t="s">
        <v>99</v>
      </c>
      <c r="E42" s="37" t="s">
        <v>99</v>
      </c>
      <c r="F42" s="292" t="s">
        <v>638</v>
      </c>
      <c r="G42" s="275"/>
      <c r="H42" s="283"/>
      <c r="I42" s="283"/>
      <c r="J42" s="283"/>
      <c r="K42" s="283"/>
      <c r="L42" s="337"/>
      <c r="M42" s="282"/>
    </row>
    <row r="43" spans="1:15" ht="14.5" x14ac:dyDescent="0.35">
      <c r="A43" s="31" t="e">
        <f>IF(D41 = "",A41+C41,A41+D41)</f>
        <v>#VALUE!</v>
      </c>
      <c r="B43" s="37" t="e">
        <f>IF(D41 = "",B41+C41,B41+D41)</f>
        <v>#VALUE!</v>
      </c>
      <c r="C43" s="170">
        <v>6.5972222222222224E-2</v>
      </c>
      <c r="D43" s="327" t="str">
        <f t="shared" si="2"/>
        <v/>
      </c>
      <c r="E43" s="37" t="e">
        <f t="shared" si="5"/>
        <v>#VALUE!</v>
      </c>
      <c r="F43" s="268" t="s">
        <v>639</v>
      </c>
      <c r="G43" s="275"/>
      <c r="H43" s="283"/>
      <c r="I43" s="283"/>
      <c r="J43" s="283"/>
      <c r="K43" s="283"/>
      <c r="L43" s="337"/>
      <c r="M43" s="282"/>
    </row>
    <row r="44" spans="1:15" x14ac:dyDescent="0.25">
      <c r="A44" s="1070" t="s">
        <v>640</v>
      </c>
      <c r="B44" s="1070"/>
      <c r="C44" s="1070"/>
      <c r="D44" s="1070"/>
      <c r="E44" s="1070"/>
      <c r="F44" s="1070"/>
      <c r="G44" s="1071"/>
      <c r="H44" s="286"/>
      <c r="I44" s="286"/>
      <c r="J44" s="286"/>
      <c r="K44" s="286"/>
      <c r="L44" s="339"/>
      <c r="M44" s="286"/>
    </row>
    <row r="45" spans="1:15" ht="14.5" x14ac:dyDescent="0.35">
      <c r="A45" s="31" t="e">
        <f>IF(D43 = "",A43+C43,A43+D43)</f>
        <v>#VALUE!</v>
      </c>
      <c r="B45" s="37" t="e">
        <f>IF(D43 = "",B43+C43,B43+D43)</f>
        <v>#VALUE!</v>
      </c>
      <c r="C45" s="170">
        <v>1.0416666666666666E-2</v>
      </c>
      <c r="D45" s="327" t="str">
        <f t="shared" si="2"/>
        <v/>
      </c>
      <c r="E45" s="37" t="e">
        <f t="shared" si="5"/>
        <v>#VALUE!</v>
      </c>
      <c r="F45" s="273" t="s">
        <v>641</v>
      </c>
      <c r="G45" s="275"/>
      <c r="H45" s="283"/>
      <c r="I45" s="283"/>
      <c r="J45" s="283"/>
      <c r="K45" s="283">
        <v>133.60631313131313</v>
      </c>
      <c r="L45" s="337">
        <f t="shared" si="6"/>
        <v>133.60631313131313</v>
      </c>
      <c r="M45" s="282"/>
    </row>
    <row r="46" spans="1:15" ht="14.5" x14ac:dyDescent="0.35">
      <c r="A46" s="31" t="e">
        <f t="shared" ref="A46:A62" si="9">IF(D45 = "",A45+C45,A45+D45)</f>
        <v>#VALUE!</v>
      </c>
      <c r="B46" s="37" t="e">
        <f t="shared" ref="B46:B62" si="10">IF(D45 = "",B45+C45,B45+D45)</f>
        <v>#VALUE!</v>
      </c>
      <c r="C46" s="170">
        <v>9.375E-2</v>
      </c>
      <c r="D46" s="327" t="str">
        <f t="shared" si="2"/>
        <v/>
      </c>
      <c r="E46" s="37" t="e">
        <f t="shared" si="5"/>
        <v>#VALUE!</v>
      </c>
      <c r="F46" s="269" t="s">
        <v>642</v>
      </c>
      <c r="G46" s="275"/>
      <c r="H46" s="283"/>
      <c r="I46" s="283"/>
      <c r="J46" s="283"/>
      <c r="K46" s="283">
        <v>1621.7</v>
      </c>
      <c r="L46" s="337">
        <f t="shared" si="6"/>
        <v>1621.7</v>
      </c>
      <c r="M46" s="282"/>
    </row>
    <row r="47" spans="1:15" ht="14.5" x14ac:dyDescent="0.35">
      <c r="A47" s="31" t="e">
        <f t="shared" si="9"/>
        <v>#VALUE!</v>
      </c>
      <c r="B47" s="37" t="e">
        <f t="shared" si="10"/>
        <v>#VALUE!</v>
      </c>
      <c r="C47" s="170">
        <v>0.1388888888888889</v>
      </c>
      <c r="D47" s="327" t="str">
        <f t="shared" si="2"/>
        <v/>
      </c>
      <c r="E47" s="37" t="e">
        <f t="shared" si="5"/>
        <v>#VALUE!</v>
      </c>
      <c r="F47" s="269" t="s">
        <v>643</v>
      </c>
      <c r="G47" s="275"/>
      <c r="H47" s="283"/>
      <c r="I47" s="283"/>
      <c r="J47" s="283"/>
      <c r="K47" s="283">
        <v>260</v>
      </c>
      <c r="L47" s="337">
        <f t="shared" si="6"/>
        <v>260</v>
      </c>
      <c r="M47" s="282"/>
      <c r="N47" s="1066" t="s">
        <v>644</v>
      </c>
      <c r="O47" s="1067"/>
    </row>
    <row r="48" spans="1:15" ht="14.5" x14ac:dyDescent="0.35">
      <c r="A48" s="31" t="e">
        <f t="shared" si="9"/>
        <v>#VALUE!</v>
      </c>
      <c r="B48" s="37" t="e">
        <f t="shared" si="10"/>
        <v>#VALUE!</v>
      </c>
      <c r="C48" s="170">
        <v>0.1388888888888889</v>
      </c>
      <c r="D48" s="327" t="str">
        <f t="shared" si="2"/>
        <v/>
      </c>
      <c r="E48" s="37" t="e">
        <f t="shared" si="5"/>
        <v>#VALUE!</v>
      </c>
      <c r="F48" s="269" t="s">
        <v>645</v>
      </c>
      <c r="G48" s="275"/>
      <c r="H48" s="283"/>
      <c r="I48" s="283"/>
      <c r="J48" s="283"/>
      <c r="K48" s="283">
        <v>260</v>
      </c>
      <c r="L48" s="337">
        <f t="shared" si="6"/>
        <v>260</v>
      </c>
      <c r="M48" s="282"/>
      <c r="N48" s="268" t="s">
        <v>611</v>
      </c>
      <c r="O48" s="343">
        <f>SUM(K47:K57)</f>
        <v>2023.8206944444446</v>
      </c>
    </row>
    <row r="49" spans="1:15" ht="14.5" x14ac:dyDescent="0.35">
      <c r="A49" s="31" t="e">
        <f t="shared" si="9"/>
        <v>#VALUE!</v>
      </c>
      <c r="B49" s="37" t="e">
        <f t="shared" si="10"/>
        <v>#VALUE!</v>
      </c>
      <c r="C49" s="170">
        <v>0.1388888888888889</v>
      </c>
      <c r="D49" s="327" t="str">
        <f t="shared" si="2"/>
        <v/>
      </c>
      <c r="E49" s="37" t="e">
        <f t="shared" si="5"/>
        <v>#VALUE!</v>
      </c>
      <c r="F49" s="269" t="s">
        <v>646</v>
      </c>
      <c r="G49" s="275"/>
      <c r="H49" s="283"/>
      <c r="I49" s="283"/>
      <c r="J49" s="283"/>
      <c r="K49" s="283">
        <v>260</v>
      </c>
      <c r="L49" s="337">
        <f t="shared" si="6"/>
        <v>260</v>
      </c>
      <c r="M49" s="282"/>
      <c r="N49" s="268" t="s">
        <v>615</v>
      </c>
      <c r="O49" s="343">
        <f>SUM(L47:L57)</f>
        <v>2023.8206944444446</v>
      </c>
    </row>
    <row r="50" spans="1:15" ht="14.5" x14ac:dyDescent="0.35">
      <c r="A50" s="31" t="e">
        <f t="shared" si="9"/>
        <v>#VALUE!</v>
      </c>
      <c r="B50" s="37" t="e">
        <f t="shared" si="10"/>
        <v>#VALUE!</v>
      </c>
      <c r="C50" s="271">
        <v>8.3333333333333329E-2</v>
      </c>
      <c r="D50" s="327" t="str">
        <f t="shared" si="2"/>
        <v/>
      </c>
      <c r="E50" s="37" t="e">
        <f t="shared" si="5"/>
        <v>#VALUE!</v>
      </c>
      <c r="F50" s="269" t="s">
        <v>647</v>
      </c>
      <c r="G50" s="275"/>
      <c r="H50" s="283"/>
      <c r="I50" s="283"/>
      <c r="J50" s="283"/>
      <c r="K50" s="283"/>
      <c r="L50" s="337"/>
      <c r="M50" s="282"/>
    </row>
    <row r="51" spans="1:15" ht="14.5" x14ac:dyDescent="0.35">
      <c r="A51" s="31" t="e">
        <f t="shared" si="9"/>
        <v>#VALUE!</v>
      </c>
      <c r="B51" s="37" t="e">
        <f t="shared" si="10"/>
        <v>#VALUE!</v>
      </c>
      <c r="C51" s="271">
        <v>0.125</v>
      </c>
      <c r="D51" s="327" t="str">
        <f t="shared" si="2"/>
        <v/>
      </c>
      <c r="E51" s="37" t="e">
        <f t="shared" si="5"/>
        <v>#VALUE!</v>
      </c>
      <c r="F51" s="269" t="s">
        <v>597</v>
      </c>
      <c r="G51" s="275"/>
      <c r="H51" s="283"/>
      <c r="I51" s="283"/>
      <c r="J51" s="283"/>
      <c r="K51" s="283"/>
      <c r="L51" s="337"/>
      <c r="M51" s="282"/>
    </row>
    <row r="52" spans="1:15" ht="14.5" x14ac:dyDescent="0.35">
      <c r="A52" s="31" t="e">
        <f t="shared" si="9"/>
        <v>#VALUE!</v>
      </c>
      <c r="B52" s="37" t="e">
        <f t="shared" si="10"/>
        <v>#VALUE!</v>
      </c>
      <c r="C52" s="271">
        <v>3.125E-2</v>
      </c>
      <c r="D52" s="327" t="str">
        <f t="shared" si="2"/>
        <v/>
      </c>
      <c r="E52" s="37" t="e">
        <f t="shared" si="5"/>
        <v>#VALUE!</v>
      </c>
      <c r="F52" s="269" t="s">
        <v>642</v>
      </c>
      <c r="G52" s="275"/>
      <c r="H52" s="283"/>
      <c r="I52" s="283"/>
      <c r="J52" s="283"/>
      <c r="K52" s="283">
        <v>1206.9000000000001</v>
      </c>
      <c r="L52" s="337">
        <f t="shared" si="6"/>
        <v>1206.9000000000001</v>
      </c>
      <c r="M52" s="282"/>
    </row>
    <row r="53" spans="1:15" ht="14.5" x14ac:dyDescent="0.35">
      <c r="A53" s="31" t="e">
        <f t="shared" si="9"/>
        <v>#VALUE!</v>
      </c>
      <c r="B53" s="37" t="e">
        <f t="shared" si="10"/>
        <v>#VALUE!</v>
      </c>
      <c r="C53" s="170">
        <v>0.10416666666666667</v>
      </c>
      <c r="D53" s="327" t="str">
        <f t="shared" si="2"/>
        <v/>
      </c>
      <c r="E53" s="37" t="e">
        <f t="shared" si="5"/>
        <v>#VALUE!</v>
      </c>
      <c r="F53" s="269" t="s">
        <v>647</v>
      </c>
      <c r="G53" s="275"/>
      <c r="H53" s="283"/>
      <c r="I53" s="283"/>
      <c r="J53" s="283"/>
      <c r="K53" s="283"/>
      <c r="L53" s="337"/>
      <c r="M53" s="282"/>
    </row>
    <row r="54" spans="1:15" ht="14.5" x14ac:dyDescent="0.35">
      <c r="A54" s="31" t="e">
        <f t="shared" si="9"/>
        <v>#VALUE!</v>
      </c>
      <c r="B54" s="37" t="e">
        <f t="shared" si="10"/>
        <v>#VALUE!</v>
      </c>
      <c r="C54" s="170">
        <v>6.9444444444444434E-2</v>
      </c>
      <c r="D54" s="327" t="str">
        <f t="shared" si="2"/>
        <v/>
      </c>
      <c r="E54" s="37" t="e">
        <f t="shared" si="5"/>
        <v>#VALUE!</v>
      </c>
      <c r="F54" s="269" t="s">
        <v>648</v>
      </c>
      <c r="G54" s="275"/>
      <c r="H54" s="283"/>
      <c r="I54" s="283"/>
      <c r="J54" s="283"/>
      <c r="K54" s="283"/>
      <c r="L54" s="337"/>
      <c r="M54" s="282"/>
    </row>
    <row r="55" spans="1:15" s="267" customFormat="1" ht="16.399999999999999" customHeight="1" x14ac:dyDescent="0.35">
      <c r="A55" s="31" t="e">
        <f t="shared" si="9"/>
        <v>#VALUE!</v>
      </c>
      <c r="B55" s="37" t="e">
        <f t="shared" si="10"/>
        <v>#VALUE!</v>
      </c>
      <c r="C55" s="170">
        <v>2.0833333333333332E-2</v>
      </c>
      <c r="D55" s="327" t="str">
        <f t="shared" si="2"/>
        <v/>
      </c>
      <c r="E55" s="37" t="e">
        <f t="shared" si="5"/>
        <v>#VALUE!</v>
      </c>
      <c r="F55" s="273" t="s">
        <v>649</v>
      </c>
      <c r="G55" s="276"/>
      <c r="H55" s="283"/>
      <c r="I55" s="283"/>
      <c r="J55" s="283"/>
      <c r="K55" s="283">
        <v>36.920694444444443</v>
      </c>
      <c r="L55" s="337">
        <f>SUM(H55:K55)</f>
        <v>36.920694444444443</v>
      </c>
      <c r="M55" s="282"/>
    </row>
    <row r="56" spans="1:15" ht="14.5" x14ac:dyDescent="0.35">
      <c r="A56" s="31" t="e">
        <f t="shared" si="9"/>
        <v>#VALUE!</v>
      </c>
      <c r="B56" s="37" t="e">
        <f t="shared" si="10"/>
        <v>#VALUE!</v>
      </c>
      <c r="C56" s="170" t="s">
        <v>99</v>
      </c>
      <c r="D56" s="327" t="s">
        <v>99</v>
      </c>
      <c r="E56" s="37" t="s">
        <v>99</v>
      </c>
      <c r="F56" s="293" t="s">
        <v>650</v>
      </c>
      <c r="G56" s="275"/>
      <c r="H56" s="283"/>
      <c r="I56" s="283"/>
      <c r="J56" s="283"/>
      <c r="K56" s="283"/>
      <c r="L56" s="337"/>
      <c r="M56" s="282"/>
    </row>
    <row r="57" spans="1:15" ht="14.5" x14ac:dyDescent="0.35">
      <c r="A57" s="31" t="e">
        <f>IF(D55 = "",A55+C55,A55+D55)</f>
        <v>#VALUE!</v>
      </c>
      <c r="B57" s="37" t="e">
        <f>IF(D55 = "",B55+C55,B55+D55)</f>
        <v>#VALUE!</v>
      </c>
      <c r="C57" s="170">
        <v>0.10416666666666667</v>
      </c>
      <c r="D57" s="327" t="str">
        <f t="shared" si="2"/>
        <v/>
      </c>
      <c r="E57" s="37" t="e">
        <f t="shared" si="5"/>
        <v>#VALUE!</v>
      </c>
      <c r="F57" s="269" t="s">
        <v>647</v>
      </c>
      <c r="G57" s="275"/>
      <c r="H57" s="283"/>
      <c r="I57" s="283"/>
      <c r="J57" s="283"/>
      <c r="K57" s="283"/>
      <c r="L57" s="337"/>
      <c r="M57" s="282"/>
    </row>
    <row r="58" spans="1:15" ht="14.5" x14ac:dyDescent="0.35">
      <c r="A58" s="31" t="e">
        <f t="shared" si="9"/>
        <v>#VALUE!</v>
      </c>
      <c r="B58" s="37" t="e">
        <f t="shared" si="10"/>
        <v>#VALUE!</v>
      </c>
      <c r="C58" s="170">
        <v>2.0833333333333332E-2</v>
      </c>
      <c r="D58" s="327" t="str">
        <f t="shared" si="2"/>
        <v/>
      </c>
      <c r="E58" s="37" t="e">
        <f t="shared" si="5"/>
        <v>#VALUE!</v>
      </c>
      <c r="F58" s="269" t="s">
        <v>651</v>
      </c>
      <c r="G58" s="275"/>
      <c r="H58" s="283"/>
      <c r="I58" s="283"/>
      <c r="J58" s="283"/>
      <c r="K58" s="283">
        <v>100</v>
      </c>
      <c r="L58" s="337">
        <f t="shared" si="6"/>
        <v>100</v>
      </c>
      <c r="M58" s="282"/>
      <c r="N58" s="1066" t="s">
        <v>652</v>
      </c>
      <c r="O58" s="1067"/>
    </row>
    <row r="59" spans="1:15" ht="14.5" x14ac:dyDescent="0.35">
      <c r="A59" s="31" t="e">
        <f t="shared" si="9"/>
        <v>#VALUE!</v>
      </c>
      <c r="B59" s="37" t="e">
        <f t="shared" si="10"/>
        <v>#VALUE!</v>
      </c>
      <c r="C59" s="170">
        <v>3.4722222222222224E-2</v>
      </c>
      <c r="D59" s="327" t="str">
        <f t="shared" si="2"/>
        <v/>
      </c>
      <c r="E59" s="37" t="e">
        <f t="shared" si="5"/>
        <v>#VALUE!</v>
      </c>
      <c r="F59" s="269" t="s">
        <v>653</v>
      </c>
      <c r="G59" s="275"/>
      <c r="H59" s="283"/>
      <c r="I59" s="283"/>
      <c r="J59" s="283"/>
      <c r="K59" s="283">
        <v>133.60631313131313</v>
      </c>
      <c r="L59" s="337">
        <f t="shared" si="6"/>
        <v>133.60631313131313</v>
      </c>
      <c r="M59" s="282"/>
      <c r="N59" s="268" t="s">
        <v>611</v>
      </c>
      <c r="O59" s="343">
        <f>SUM(K58:K72)</f>
        <v>233.60631313131313</v>
      </c>
    </row>
    <row r="60" spans="1:15" ht="16.5" customHeight="1" x14ac:dyDescent="0.35">
      <c r="A60" s="31" t="e">
        <f t="shared" si="9"/>
        <v>#VALUE!</v>
      </c>
      <c r="B60" s="37" t="e">
        <f t="shared" si="10"/>
        <v>#VALUE!</v>
      </c>
      <c r="C60" s="170" t="s">
        <v>99</v>
      </c>
      <c r="D60" s="327" t="s">
        <v>99</v>
      </c>
      <c r="E60" s="37" t="s">
        <v>99</v>
      </c>
      <c r="F60" s="293" t="s">
        <v>654</v>
      </c>
      <c r="G60" s="275"/>
      <c r="H60" s="283"/>
      <c r="I60" s="283"/>
      <c r="J60" s="283"/>
      <c r="K60" s="283"/>
      <c r="L60" s="337"/>
      <c r="M60" s="282"/>
      <c r="N60" s="268" t="s">
        <v>613</v>
      </c>
      <c r="O60" s="343">
        <f>SUM(J58:J72)</f>
        <v>975.0121507760532</v>
      </c>
    </row>
    <row r="61" spans="1:15" ht="14.5" x14ac:dyDescent="0.35">
      <c r="A61" s="31" t="e">
        <f>IF(D59 = "",A59+C59,A59+D59)</f>
        <v>#VALUE!</v>
      </c>
      <c r="B61" s="37" t="e">
        <f>IF(D59 = "",B59+C59,B59+D59)</f>
        <v>#VALUE!</v>
      </c>
      <c r="C61" s="170">
        <v>3.4722222222222224E-2</v>
      </c>
      <c r="D61" s="327" t="str">
        <f t="shared" si="2"/>
        <v/>
      </c>
      <c r="E61" s="37" t="e">
        <f t="shared" si="5"/>
        <v>#VALUE!</v>
      </c>
      <c r="F61" s="269" t="s">
        <v>655</v>
      </c>
      <c r="G61" s="275"/>
      <c r="H61" s="283"/>
      <c r="I61" s="283"/>
      <c r="J61" s="283">
        <v>118.09456762749446</v>
      </c>
      <c r="K61" s="283"/>
      <c r="L61" s="337">
        <f t="shared" si="6"/>
        <v>118.09456762749446</v>
      </c>
      <c r="M61" s="282"/>
      <c r="N61" s="268" t="s">
        <v>615</v>
      </c>
      <c r="O61" s="343">
        <f>SUM(L58:L72)</f>
        <v>1208.6184639073663</v>
      </c>
    </row>
    <row r="62" spans="1:15" ht="14.5" x14ac:dyDescent="0.35">
      <c r="A62" s="31" t="e">
        <f t="shared" si="9"/>
        <v>#VALUE!</v>
      </c>
      <c r="B62" s="37" t="e">
        <f t="shared" si="10"/>
        <v>#VALUE!</v>
      </c>
      <c r="C62" s="170">
        <v>0.10416666666666667</v>
      </c>
      <c r="D62" s="327" t="str">
        <f t="shared" si="2"/>
        <v/>
      </c>
      <c r="E62" s="37" t="e">
        <f t="shared" si="5"/>
        <v>#VALUE!</v>
      </c>
      <c r="F62" s="269" t="s">
        <v>656</v>
      </c>
      <c r="G62" s="275"/>
      <c r="H62" s="283"/>
      <c r="I62" s="283"/>
      <c r="J62" s="283"/>
      <c r="K62" s="283"/>
      <c r="L62" s="337"/>
      <c r="M62" s="282"/>
    </row>
    <row r="63" spans="1:15" s="267" customFormat="1" ht="11.9" customHeight="1" x14ac:dyDescent="0.25">
      <c r="A63" s="280" t="s">
        <v>657</v>
      </c>
      <c r="B63" s="280"/>
      <c r="C63" s="280"/>
      <c r="D63" s="280"/>
      <c r="E63" s="280"/>
      <c r="F63" s="280"/>
      <c r="G63" s="1068"/>
      <c r="H63" s="1069"/>
      <c r="I63" s="1069"/>
      <c r="J63" s="1069"/>
      <c r="K63" s="1069"/>
      <c r="L63" s="1069"/>
      <c r="M63" s="342"/>
    </row>
    <row r="64" spans="1:15" s="267" customFormat="1" ht="14.5" x14ac:dyDescent="0.25">
      <c r="A64" s="31" t="e">
        <f>IF(D62 = "",A62+C62,A62+D62)</f>
        <v>#VALUE!</v>
      </c>
      <c r="B64" s="37" t="e">
        <f>IF(D62 = "",B62+C62,B62+D62)</f>
        <v>#VALUE!</v>
      </c>
      <c r="C64" s="170">
        <v>0.11458333333333333</v>
      </c>
      <c r="D64" s="327" t="str">
        <f t="shared" si="2"/>
        <v/>
      </c>
      <c r="E64" s="37" t="e">
        <f t="shared" si="5"/>
        <v>#VALUE!</v>
      </c>
      <c r="F64" s="268" t="s">
        <v>658</v>
      </c>
      <c r="G64" s="288"/>
      <c r="H64" s="288"/>
      <c r="I64" s="288"/>
      <c r="J64" s="288"/>
      <c r="K64" s="288"/>
      <c r="L64" s="340"/>
      <c r="M64" s="288"/>
    </row>
    <row r="65" spans="1:15" s="267" customFormat="1" ht="14.5" x14ac:dyDescent="0.25">
      <c r="A65" s="31" t="e">
        <f t="shared" ref="A65:A66" si="11">IF(D64 = "",A64+C64,A64+D64)</f>
        <v>#VALUE!</v>
      </c>
      <c r="B65" s="37" t="e">
        <f t="shared" ref="B65:B66" si="12">IF(D64 = "",B64+C64,B64+D64)</f>
        <v>#VALUE!</v>
      </c>
      <c r="C65" s="170">
        <v>3.125E-2</v>
      </c>
      <c r="D65" s="327" t="str">
        <f t="shared" si="2"/>
        <v/>
      </c>
      <c r="E65" s="37" t="e">
        <f t="shared" si="5"/>
        <v>#VALUE!</v>
      </c>
      <c r="F65" s="268" t="s">
        <v>637</v>
      </c>
      <c r="G65" s="288"/>
      <c r="H65" s="288"/>
      <c r="I65" s="288"/>
      <c r="J65" s="288"/>
      <c r="K65" s="288"/>
      <c r="L65" s="340"/>
      <c r="M65" s="288"/>
    </row>
    <row r="66" spans="1:15" s="267" customFormat="1" ht="14.5" x14ac:dyDescent="0.25">
      <c r="A66" s="31" t="e">
        <f t="shared" si="11"/>
        <v>#VALUE!</v>
      </c>
      <c r="B66" s="37" t="e">
        <f t="shared" si="12"/>
        <v>#VALUE!</v>
      </c>
      <c r="C66" s="170" t="s">
        <v>99</v>
      </c>
      <c r="D66" s="327" t="str">
        <f t="shared" si="2"/>
        <v/>
      </c>
      <c r="E66" s="37" t="e">
        <f t="shared" si="5"/>
        <v>#VALUE!</v>
      </c>
      <c r="F66" s="292" t="s">
        <v>638</v>
      </c>
      <c r="G66" s="288"/>
      <c r="H66" s="288"/>
      <c r="I66" s="288"/>
      <c r="J66" s="288"/>
      <c r="K66" s="288"/>
      <c r="L66" s="340"/>
      <c r="M66" s="288"/>
    </row>
    <row r="67" spans="1:15" s="267" customFormat="1" ht="14.5" x14ac:dyDescent="0.25">
      <c r="A67" s="31" t="e">
        <f>IF(D65 = "",A65+C65,A65+D65)</f>
        <v>#VALUE!</v>
      </c>
      <c r="B67" s="37" t="e">
        <f>IF(D65 = "",B65+C65,B65+D65)</f>
        <v>#VALUE!</v>
      </c>
      <c r="C67" s="170">
        <v>6.25E-2</v>
      </c>
      <c r="D67" s="327" t="str">
        <f t="shared" si="2"/>
        <v/>
      </c>
      <c r="E67" s="37" t="e">
        <f t="shared" si="5"/>
        <v>#VALUE!</v>
      </c>
      <c r="F67" s="268" t="s">
        <v>639</v>
      </c>
      <c r="G67" s="288"/>
      <c r="H67" s="288"/>
      <c r="I67" s="288"/>
      <c r="J67" s="288"/>
      <c r="K67" s="288"/>
      <c r="L67" s="340"/>
      <c r="M67" s="288"/>
    </row>
    <row r="68" spans="1:15" s="267" customFormat="1" ht="11.9" customHeight="1" x14ac:dyDescent="0.25">
      <c r="A68" s="280" t="s">
        <v>659</v>
      </c>
      <c r="B68" s="280"/>
      <c r="C68" s="280"/>
      <c r="D68" s="280"/>
      <c r="E68" s="280"/>
      <c r="F68" s="280"/>
      <c r="G68" s="1068"/>
      <c r="H68" s="1069"/>
      <c r="I68" s="1069"/>
      <c r="J68" s="1069"/>
      <c r="K68" s="1069"/>
      <c r="L68" s="1069"/>
      <c r="M68" s="342"/>
    </row>
    <row r="69" spans="1:15" s="267" customFormat="1" ht="14.5" x14ac:dyDescent="0.25">
      <c r="A69" s="31" t="e">
        <f>IF(D67 = "",A67+C67,A67+D67)</f>
        <v>#VALUE!</v>
      </c>
      <c r="B69" s="37" t="e">
        <f>IF(D67 = "",B67+C67,B67+D67)</f>
        <v>#VALUE!</v>
      </c>
      <c r="C69" s="398">
        <v>0.125</v>
      </c>
      <c r="D69" s="327" t="str">
        <f t="shared" si="2"/>
        <v/>
      </c>
      <c r="E69" s="37" t="e">
        <f t="shared" si="5"/>
        <v>#VALUE!</v>
      </c>
      <c r="F69" s="268" t="s">
        <v>589</v>
      </c>
      <c r="G69" s="288"/>
      <c r="H69" s="288"/>
      <c r="I69" s="288"/>
      <c r="J69" s="288"/>
      <c r="K69" s="288"/>
      <c r="L69" s="288"/>
      <c r="M69" s="288"/>
    </row>
    <row r="70" spans="1:15" s="267" customFormat="1" ht="14.5" x14ac:dyDescent="0.35">
      <c r="A70" s="31" t="e">
        <f t="shared" ref="A70:A76" si="13">IF(D69 = "",A69+C69,A69+D69)</f>
        <v>#VALUE!</v>
      </c>
      <c r="B70" s="37" t="e">
        <f t="shared" ref="B70:B76" si="14">IF(D69 = "",B69+C69,B69+D69)</f>
        <v>#VALUE!</v>
      </c>
      <c r="C70" s="398">
        <v>1.3888888888888888E-2</v>
      </c>
      <c r="D70" s="327" t="str">
        <f t="shared" si="2"/>
        <v/>
      </c>
      <c r="E70" s="37" t="e">
        <f t="shared" si="5"/>
        <v>#VALUE!</v>
      </c>
      <c r="F70" s="268" t="s">
        <v>660</v>
      </c>
      <c r="G70" s="288"/>
      <c r="H70" s="288"/>
      <c r="I70" s="288"/>
      <c r="J70" s="283">
        <v>53.22811529933481</v>
      </c>
      <c r="K70" s="337"/>
      <c r="L70" s="337">
        <v>53.22811529933481</v>
      </c>
      <c r="M70" s="288"/>
    </row>
    <row r="71" spans="1:15" s="267" customFormat="1" ht="14.5" x14ac:dyDescent="0.35">
      <c r="A71" s="31" t="e">
        <f t="shared" si="13"/>
        <v>#VALUE!</v>
      </c>
      <c r="B71" s="37" t="e">
        <f t="shared" si="14"/>
        <v>#VALUE!</v>
      </c>
      <c r="C71" s="398">
        <v>0.14583333333333334</v>
      </c>
      <c r="D71" s="327" t="str">
        <f t="shared" si="2"/>
        <v/>
      </c>
      <c r="E71" s="37" t="e">
        <f t="shared" si="5"/>
        <v>#VALUE!</v>
      </c>
      <c r="F71" s="268" t="s">
        <v>633</v>
      </c>
      <c r="G71" s="288"/>
      <c r="H71" s="288"/>
      <c r="I71" s="288"/>
      <c r="J71" s="283">
        <v>402.40454545454548</v>
      </c>
      <c r="K71" s="337"/>
      <c r="L71" s="337">
        <v>402.40454545454548</v>
      </c>
      <c r="M71" s="288"/>
    </row>
    <row r="72" spans="1:15" s="267" customFormat="1" ht="14.5" x14ac:dyDescent="0.35">
      <c r="A72" s="31" t="e">
        <f t="shared" si="13"/>
        <v>#VALUE!</v>
      </c>
      <c r="B72" s="37" t="e">
        <f t="shared" si="14"/>
        <v>#VALUE!</v>
      </c>
      <c r="C72" s="398">
        <v>0.14583333333333334</v>
      </c>
      <c r="D72" s="327" t="str">
        <f t="shared" si="2"/>
        <v/>
      </c>
      <c r="E72" s="37" t="e">
        <f t="shared" si="5"/>
        <v>#VALUE!</v>
      </c>
      <c r="F72" s="268" t="s">
        <v>634</v>
      </c>
      <c r="G72" s="288"/>
      <c r="H72" s="288"/>
      <c r="I72" s="288"/>
      <c r="J72" s="283">
        <v>401.28492239467846</v>
      </c>
      <c r="K72" s="337"/>
      <c r="L72" s="337">
        <v>401.28492239467846</v>
      </c>
      <c r="M72" s="288"/>
    </row>
    <row r="73" spans="1:15" s="267" customFormat="1" ht="14.5" x14ac:dyDescent="0.35">
      <c r="A73" s="31" t="e">
        <f t="shared" si="13"/>
        <v>#VALUE!</v>
      </c>
      <c r="B73" s="37" t="e">
        <f t="shared" si="14"/>
        <v>#VALUE!</v>
      </c>
      <c r="C73" s="170">
        <v>0.14583333333333334</v>
      </c>
      <c r="D73" s="327" t="str">
        <f t="shared" si="2"/>
        <v/>
      </c>
      <c r="E73" s="37" t="e">
        <f t="shared" si="5"/>
        <v>#VALUE!</v>
      </c>
      <c r="F73" s="268" t="s">
        <v>635</v>
      </c>
      <c r="G73" s="288"/>
      <c r="H73" s="288"/>
      <c r="I73" s="288"/>
      <c r="J73" s="283">
        <v>401.58048780487803</v>
      </c>
      <c r="K73" s="337"/>
      <c r="L73" s="337">
        <v>401.58048780487803</v>
      </c>
      <c r="M73" s="288"/>
      <c r="N73" s="1066" t="s">
        <v>609</v>
      </c>
      <c r="O73" s="1067"/>
    </row>
    <row r="74" spans="1:15" s="267" customFormat="1" ht="14.5" x14ac:dyDescent="0.35">
      <c r="A74" s="31" t="e">
        <f t="shared" si="13"/>
        <v>#VALUE!</v>
      </c>
      <c r="B74" s="37" t="e">
        <f t="shared" si="14"/>
        <v>#VALUE!</v>
      </c>
      <c r="C74" s="170">
        <v>0.14583333333333334</v>
      </c>
      <c r="D74" s="327" t="str">
        <f t="shared" si="2"/>
        <v/>
      </c>
      <c r="E74" s="37" t="e">
        <f t="shared" si="5"/>
        <v>#VALUE!</v>
      </c>
      <c r="F74" s="268" t="s">
        <v>636</v>
      </c>
      <c r="G74" s="288"/>
      <c r="H74" s="288"/>
      <c r="I74" s="288"/>
      <c r="J74" s="283">
        <v>302.87261640798226</v>
      </c>
      <c r="K74" s="337"/>
      <c r="L74" s="337">
        <v>302.87261640798226</v>
      </c>
      <c r="M74" s="288"/>
      <c r="N74" s="268" t="s">
        <v>613</v>
      </c>
      <c r="O74" s="343">
        <f>SUM(J73:J80)</f>
        <v>789.45310421286035</v>
      </c>
    </row>
    <row r="75" spans="1:15" s="267" customFormat="1" ht="14.5" x14ac:dyDescent="0.35">
      <c r="A75" s="31" t="e">
        <f t="shared" si="13"/>
        <v>#VALUE!</v>
      </c>
      <c r="B75" s="37" t="e">
        <f t="shared" si="14"/>
        <v>#VALUE!</v>
      </c>
      <c r="C75" s="170">
        <v>4.1666666666666664E-2</v>
      </c>
      <c r="D75" s="327" t="str">
        <f t="shared" si="2"/>
        <v/>
      </c>
      <c r="E75" s="37" t="e">
        <f t="shared" si="5"/>
        <v>#VALUE!</v>
      </c>
      <c r="F75" s="268" t="s">
        <v>661</v>
      </c>
      <c r="G75" s="288"/>
      <c r="H75" s="288"/>
      <c r="I75" s="288"/>
      <c r="J75" s="283"/>
      <c r="K75" s="337"/>
      <c r="L75" s="337"/>
      <c r="M75" s="288"/>
      <c r="N75" s="268"/>
      <c r="O75" s="343"/>
    </row>
    <row r="76" spans="1:15" s="267" customFormat="1" ht="14.5" x14ac:dyDescent="0.25">
      <c r="A76" s="31" t="e">
        <f t="shared" si="13"/>
        <v>#VALUE!</v>
      </c>
      <c r="B76" s="37" t="e">
        <f t="shared" si="14"/>
        <v>#VALUE!</v>
      </c>
      <c r="C76" s="170" t="s">
        <v>99</v>
      </c>
      <c r="D76" s="327" t="s">
        <v>99</v>
      </c>
      <c r="E76" s="37" t="s">
        <v>99</v>
      </c>
      <c r="F76" s="294" t="s">
        <v>662</v>
      </c>
      <c r="G76" s="288"/>
      <c r="H76" s="288"/>
      <c r="I76" s="288"/>
      <c r="J76" s="288">
        <v>85</v>
      </c>
      <c r="K76" s="288"/>
      <c r="L76" s="288">
        <v>85</v>
      </c>
      <c r="M76" s="288"/>
      <c r="N76" s="268" t="s">
        <v>615</v>
      </c>
      <c r="O76" s="343">
        <f>SUM(L73:L80)</f>
        <v>789.45310421286035</v>
      </c>
    </row>
    <row r="77" spans="1:15" s="267" customFormat="1" ht="14.5" x14ac:dyDescent="0.25">
      <c r="A77" s="31" t="e">
        <f>IF(D75 = "",A75+C75,A75+D75)</f>
        <v>#VALUE!</v>
      </c>
      <c r="B77" s="37" t="e">
        <f>IF(D75 = "",B75+C75,B75+D75)</f>
        <v>#VALUE!</v>
      </c>
      <c r="C77" s="354">
        <v>0.11805555555555557</v>
      </c>
      <c r="D77" s="327" t="str">
        <f t="shared" si="2"/>
        <v/>
      </c>
      <c r="E77" s="37" t="e">
        <f t="shared" si="5"/>
        <v>#VALUE!</v>
      </c>
      <c r="F77" s="294" t="s">
        <v>663</v>
      </c>
      <c r="G77" s="288"/>
      <c r="H77" s="288"/>
      <c r="I77" s="288"/>
      <c r="J77" s="288"/>
      <c r="K77" s="288"/>
      <c r="L77" s="288"/>
      <c r="M77" s="288"/>
    </row>
    <row r="78" spans="1:15" s="267" customFormat="1" ht="11.9" customHeight="1" x14ac:dyDescent="0.25">
      <c r="A78" s="280" t="s">
        <v>664</v>
      </c>
      <c r="B78" s="280"/>
      <c r="C78" s="280"/>
      <c r="D78" s="280"/>
      <c r="E78" s="280"/>
      <c r="F78" s="280"/>
      <c r="G78" s="775"/>
      <c r="H78" s="776"/>
      <c r="I78" s="776"/>
      <c r="J78" s="776"/>
      <c r="K78" s="776"/>
      <c r="L78" s="776"/>
      <c r="M78" s="342"/>
    </row>
    <row r="79" spans="1:15" s="267" customFormat="1" ht="14.5" x14ac:dyDescent="0.25">
      <c r="A79" s="31" t="e">
        <f>IF(D77 = "",A77+C77,A77+D77)</f>
        <v>#VALUE!</v>
      </c>
      <c r="B79" s="37" t="e">
        <f>IF(D77 = "",B77+C77,B77+D77)</f>
        <v>#VALUE!</v>
      </c>
      <c r="C79" s="354">
        <v>0.125</v>
      </c>
      <c r="D79" s="327" t="str">
        <f t="shared" si="2"/>
        <v/>
      </c>
      <c r="E79" s="37" t="e">
        <f t="shared" si="5"/>
        <v>#VALUE!</v>
      </c>
      <c r="F79" s="273" t="s">
        <v>665</v>
      </c>
      <c r="G79" s="288"/>
      <c r="H79" s="288"/>
      <c r="I79" s="288"/>
      <c r="J79" s="288"/>
      <c r="K79" s="288"/>
      <c r="L79" s="288"/>
      <c r="M79" s="288"/>
    </row>
    <row r="80" spans="1:15" s="267" customFormat="1" ht="14.5" x14ac:dyDescent="0.25">
      <c r="A80" s="31" t="e">
        <f t="shared" ref="A80" si="15">IF(D79 = "",A79+C79,A79+D79)</f>
        <v>#VALUE!</v>
      </c>
      <c r="B80" s="37" t="e">
        <f t="shared" ref="B80" si="16">IF(D79 = "",B79+C79,B79+D79)</f>
        <v>#VALUE!</v>
      </c>
      <c r="C80" s="170" t="s">
        <v>99</v>
      </c>
      <c r="D80" s="327" t="s">
        <v>99</v>
      </c>
      <c r="E80" s="37" t="s">
        <v>99</v>
      </c>
      <c r="F80" s="294" t="s">
        <v>666</v>
      </c>
      <c r="G80" s="288"/>
      <c r="H80" s="288"/>
      <c r="I80" s="288"/>
      <c r="J80" s="288"/>
      <c r="K80" s="288"/>
      <c r="L80" s="288"/>
      <c r="M80" s="288"/>
      <c r="N80" s="25"/>
      <c r="O80" s="25"/>
    </row>
    <row r="81" spans="1:13" ht="21" x14ac:dyDescent="0.55000000000000004">
      <c r="A81" s="34"/>
      <c r="B81" s="33" t="s">
        <v>534</v>
      </c>
      <c r="C81" s="32">
        <f>SUM(C45:C62,C16:C34,C36:C43,C64:C67,C73:C77)</f>
        <v>4.510416666666667</v>
      </c>
      <c r="D81" s="32">
        <f>SUM(D45:D62,D16:D34,D36:D43,D64:D67,D77,D69:D75,D79:D80)</f>
        <v>0</v>
      </c>
      <c r="G81" s="274" t="s">
        <v>607</v>
      </c>
      <c r="H81" s="287">
        <f>SUM(H45:H62,H36:H43,H16:H34)</f>
        <v>510</v>
      </c>
      <c r="I81" s="287">
        <f>SUM(I45:I62,I36:I43,I16:I34)</f>
        <v>1071.6359978316327</v>
      </c>
      <c r="J81" s="287">
        <f>SUM(J45:J62,J36:J43,J16:J34,J73:J76)</f>
        <v>2759.7831042128601</v>
      </c>
      <c r="K81" s="287">
        <f>SUM(K45:K62,K36:K43,K16:K34)</f>
        <v>5153.7401704545455</v>
      </c>
      <c r="L81" s="287">
        <f>SUM(L45:L62,L36:L43,L16:L34)</f>
        <v>8195.7061682861786</v>
      </c>
      <c r="M81" s="287">
        <f>SUM(M45:M62,M36:M43,M16:M34)</f>
        <v>510</v>
      </c>
    </row>
    <row r="82" spans="1:13" x14ac:dyDescent="0.25">
      <c r="B82" s="31" t="s">
        <v>536</v>
      </c>
      <c r="C82" s="112">
        <f>(C81/24)</f>
        <v>0.18793402777777779</v>
      </c>
      <c r="D82" s="112">
        <f>(D81/24)</f>
        <v>0</v>
      </c>
      <c r="G82" s="26"/>
      <c r="H82" s="26"/>
      <c r="I82" s="26"/>
      <c r="J82" s="26"/>
    </row>
    <row r="83" spans="1:13" x14ac:dyDescent="0.25">
      <c r="C83" s="262"/>
      <c r="D83" s="262"/>
      <c r="G83" s="26"/>
      <c r="H83" s="26"/>
      <c r="I83" s="26"/>
      <c r="J83" s="26"/>
    </row>
    <row r="84" spans="1:13" x14ac:dyDescent="0.25">
      <c r="G84" s="26"/>
      <c r="H84" s="26"/>
      <c r="I84" s="26"/>
      <c r="J84" s="26"/>
    </row>
    <row r="85" spans="1:13" x14ac:dyDescent="0.25">
      <c r="G85" s="26"/>
      <c r="H85" s="26"/>
      <c r="I85" s="26"/>
      <c r="J85" s="26"/>
    </row>
    <row r="86" spans="1:13" x14ac:dyDescent="0.25">
      <c r="G86" s="26"/>
      <c r="H86" s="26"/>
      <c r="I86" s="26"/>
      <c r="J86" s="26"/>
    </row>
    <row r="87" spans="1:13" x14ac:dyDescent="0.25">
      <c r="G87" s="26"/>
      <c r="H87" s="26"/>
      <c r="I87" s="26"/>
      <c r="J87" s="26"/>
    </row>
    <row r="88" spans="1:13" x14ac:dyDescent="0.25">
      <c r="G88" s="26"/>
      <c r="H88" s="26"/>
      <c r="I88" s="26"/>
      <c r="J88" s="26"/>
    </row>
    <row r="89" spans="1:13" x14ac:dyDescent="0.25">
      <c r="G89" s="26"/>
      <c r="H89" s="26"/>
      <c r="I89" s="26"/>
      <c r="J89" s="26"/>
    </row>
    <row r="90" spans="1:13" x14ac:dyDescent="0.25">
      <c r="G90" s="26"/>
      <c r="H90" s="26"/>
      <c r="I90" s="26"/>
      <c r="J90" s="26"/>
    </row>
    <row r="91" spans="1:13" x14ac:dyDescent="0.25">
      <c r="G91" s="26"/>
      <c r="H91" s="26"/>
      <c r="I91" s="26"/>
      <c r="J91" s="26"/>
    </row>
    <row r="92" spans="1:13" x14ac:dyDescent="0.25">
      <c r="G92" s="26"/>
      <c r="H92" s="26"/>
      <c r="I92" s="26"/>
      <c r="J92" s="26"/>
    </row>
    <row r="93" spans="1:13" x14ac:dyDescent="0.25">
      <c r="G93" s="26"/>
      <c r="H93" s="26"/>
      <c r="I93" s="26"/>
      <c r="J93" s="26"/>
    </row>
    <row r="94" spans="1:13" x14ac:dyDescent="0.25">
      <c r="G94" s="26"/>
      <c r="H94" s="26"/>
      <c r="I94" s="26"/>
      <c r="J94" s="26"/>
    </row>
    <row r="95" spans="1:13" x14ac:dyDescent="0.25">
      <c r="G95" s="26"/>
      <c r="H95" s="26"/>
      <c r="I95" s="26"/>
      <c r="J95" s="26"/>
    </row>
    <row r="96" spans="1:13" x14ac:dyDescent="0.25">
      <c r="G96" s="26"/>
      <c r="H96" s="26"/>
      <c r="I96" s="26"/>
      <c r="J96" s="26"/>
    </row>
    <row r="97" spans="6:10" x14ac:dyDescent="0.25">
      <c r="G97" s="26"/>
      <c r="H97" s="26"/>
      <c r="I97" s="26"/>
      <c r="J97" s="26"/>
    </row>
    <row r="98" spans="6:10" x14ac:dyDescent="0.25">
      <c r="G98" s="26"/>
      <c r="H98" s="26"/>
      <c r="I98" s="26"/>
      <c r="J98" s="26"/>
    </row>
    <row r="99" spans="6:10" x14ac:dyDescent="0.25">
      <c r="G99" s="26"/>
      <c r="H99" s="26"/>
      <c r="I99" s="26"/>
      <c r="J99" s="26"/>
    </row>
    <row r="100" spans="6:10" x14ac:dyDescent="0.25">
      <c r="G100" s="26"/>
      <c r="H100" s="26"/>
      <c r="I100" s="26"/>
      <c r="J100" s="26"/>
    </row>
    <row r="101" spans="6:10" x14ac:dyDescent="0.25">
      <c r="G101" s="26"/>
      <c r="H101" s="26"/>
      <c r="I101" s="26"/>
      <c r="J101" s="26"/>
    </row>
    <row r="102" spans="6:10" x14ac:dyDescent="0.25">
      <c r="G102" s="26"/>
      <c r="H102" s="26"/>
      <c r="I102" s="26"/>
      <c r="J102" s="26"/>
    </row>
    <row r="103" spans="6:10" x14ac:dyDescent="0.25">
      <c r="F103" s="26"/>
    </row>
    <row r="104" spans="6:10" x14ac:dyDescent="0.25">
      <c r="F104" s="26"/>
    </row>
  </sheetData>
  <mergeCells count="10">
    <mergeCell ref="N58:O58"/>
    <mergeCell ref="G63:L63"/>
    <mergeCell ref="G68:L68"/>
    <mergeCell ref="N73:O73"/>
    <mergeCell ref="A1:B1"/>
    <mergeCell ref="N16:O16"/>
    <mergeCell ref="N26:O26"/>
    <mergeCell ref="N32:O32"/>
    <mergeCell ref="A44:G44"/>
    <mergeCell ref="N47:O47"/>
  </mergeCells>
  <pageMargins left="0.75" right="0.75" top="1" bottom="1" header="0.5" footer="0.5"/>
  <pageSetup orientation="portrait" r:id="rId1"/>
  <headerFooter alignWithMargins="0">
    <oddFooter>&amp;R&amp;"Arial,Regular"&amp;08&amp;K7F7F7FAmgen Proprietary - Confidential   &amp;C&amp;"Calibri"&amp;11&amp;K000000&amp;"Calibri"&amp;11&amp;K000000&amp;"Arial,Regular"&amp;08&amp;K7F7F7FAmgen Proprietary - For Internal Use Only_x000D_&amp;1#&amp;"Calibri"&amp;10&amp;K000000 Non-Amgen</oddFooter>
    <evenFooter>&amp;R&amp;"Arial,Regular"&amp;08&amp;K7F7F7FAmgen Proprietary - Confidential   &amp;C&amp;"Arial,Regular"&amp;08&amp;K7F7F7FAmgen Proprietary - For Internal Use Only</evenFooter>
    <firstFooter>&amp;R&amp;"Arial,Regular"&amp;08&amp;K7F7F7FAmgen Proprietary - Confidential   &amp;C&amp;"Arial,Regular"&amp;08&amp;K7F7F7FAmgen Proprietary - For Internal Use Only</first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23FD85-23DB-41FA-BF76-E99C6F0F055A}">
  <sheetPr codeName="Sheet37">
    <pageSetUpPr autoPageBreaks="0"/>
  </sheetPr>
  <dimension ref="A1:J44"/>
  <sheetViews>
    <sheetView topLeftCell="E6" zoomScaleNormal="100" workbookViewId="0">
      <selection activeCell="C17" sqref="C17"/>
    </sheetView>
  </sheetViews>
  <sheetFormatPr defaultColWidth="23.453125" defaultRowHeight="11.5" x14ac:dyDescent="0.25"/>
  <cols>
    <col min="1" max="2" width="23.54296875" style="25" bestFit="1" customWidth="1"/>
    <col min="3" max="3" width="23.453125" style="25"/>
    <col min="4" max="4" width="22.453125" style="25" customWidth="1"/>
    <col min="5" max="5" width="23.453125" style="25"/>
    <col min="6" max="6" width="51.453125" style="25" customWidth="1"/>
    <col min="7" max="7" width="27.453125" style="25" customWidth="1"/>
    <col min="8" max="8" width="9" style="25" bestFit="1" customWidth="1"/>
    <col min="9" max="10" width="9" style="25" customWidth="1"/>
    <col min="11" max="16384" width="23.453125" style="25"/>
  </cols>
  <sheetData>
    <row r="1" spans="1:10" ht="12" thickBot="1" x14ac:dyDescent="0.3">
      <c r="A1" s="1053" t="s">
        <v>479</v>
      </c>
      <c r="B1" s="1054"/>
    </row>
    <row r="2" spans="1:10" x14ac:dyDescent="0.25">
      <c r="A2" s="43" t="s">
        <v>480</v>
      </c>
      <c r="B2" s="241" t="s">
        <v>667</v>
      </c>
    </row>
    <row r="3" spans="1:10" ht="12" thickBot="1" x14ac:dyDescent="0.3">
      <c r="A3" s="42" t="s">
        <v>482</v>
      </c>
      <c r="B3" s="239" t="s">
        <v>667</v>
      </c>
    </row>
    <row r="5" spans="1:10" x14ac:dyDescent="0.25">
      <c r="A5" s="1072" t="s">
        <v>484</v>
      </c>
      <c r="B5" s="1073"/>
      <c r="C5" s="1073"/>
      <c r="D5" s="1073"/>
    </row>
    <row r="6" spans="1:10" x14ac:dyDescent="0.25">
      <c r="A6" s="781" t="s">
        <v>485</v>
      </c>
      <c r="B6" s="781" t="s">
        <v>486</v>
      </c>
      <c r="C6" s="781" t="s">
        <v>487</v>
      </c>
      <c r="D6" s="781" t="s">
        <v>488</v>
      </c>
    </row>
    <row r="7" spans="1:10" x14ac:dyDescent="0.25">
      <c r="A7" s="41" t="str">
        <f>F14</f>
        <v>IPC1.0: Reaction Conversion</v>
      </c>
      <c r="B7" s="40" t="e">
        <f>INDEX($A$11:$A$56,MATCH(A7,$F$11:$F$56,0))</f>
        <v>#VALUE!</v>
      </c>
      <c r="C7" s="37" t="e">
        <f>INDEX($E$11:$E$59,MATCH(A7,$F$11:$F$59,0))</f>
        <v>#VALUE!</v>
      </c>
      <c r="D7" s="297"/>
    </row>
    <row r="8" spans="1:10" x14ac:dyDescent="0.25">
      <c r="A8" s="41" t="str">
        <f>F19</f>
        <v>IPC2.0: LOD (Analyzed by MFG)</v>
      </c>
      <c r="B8" s="40" t="e">
        <f>INDEX($A$11:$A$59,MATCH(A8,$F$11:$F$56,0))</f>
        <v>#VALUE!</v>
      </c>
      <c r="C8" s="37" t="e">
        <f>INDEX($E$11:$E$59,MATCH(A8,$F$11:$F$59,0))</f>
        <v>#VALUE!</v>
      </c>
      <c r="D8" s="297"/>
    </row>
    <row r="10" spans="1:10" ht="23.5" thickBot="1" x14ac:dyDescent="0.3">
      <c r="A10" s="749" t="s">
        <v>492</v>
      </c>
      <c r="B10" s="749" t="s">
        <v>493</v>
      </c>
      <c r="C10" s="749" t="s">
        <v>494</v>
      </c>
      <c r="D10" s="86" t="s">
        <v>495</v>
      </c>
      <c r="E10" s="749" t="s">
        <v>540</v>
      </c>
      <c r="F10" s="749" t="s">
        <v>541</v>
      </c>
      <c r="G10" s="749" t="s">
        <v>498</v>
      </c>
      <c r="H10" s="184" t="s">
        <v>204</v>
      </c>
      <c r="I10" s="184" t="s">
        <v>668</v>
      </c>
      <c r="J10" s="184" t="s">
        <v>138</v>
      </c>
    </row>
    <row r="11" spans="1:10" x14ac:dyDescent="0.25">
      <c r="A11" s="31" t="str">
        <f>B2</f>
        <v>Insert Date and Time here</v>
      </c>
      <c r="B11" s="38" t="str">
        <f>B3</f>
        <v>Insert Date and Time here</v>
      </c>
      <c r="C11" s="314">
        <v>9.375E-2</v>
      </c>
      <c r="D11" s="327" t="str">
        <f t="shared" ref="D11:D20" si="0">IF(_xlfn.ISFORMULA(E11)=TRUE,"",E11-B11)</f>
        <v/>
      </c>
      <c r="E11" s="317" t="e">
        <f>B11+C11</f>
        <v>#VALUE!</v>
      </c>
      <c r="F11" s="264" t="s">
        <v>669</v>
      </c>
      <c r="G11" s="78"/>
      <c r="H11" s="180"/>
      <c r="I11" s="180"/>
      <c r="J11" s="180"/>
    </row>
    <row r="12" spans="1:10" ht="12.75" customHeight="1" x14ac:dyDescent="0.25">
      <c r="A12" s="31" t="e">
        <f t="shared" ref="A12" si="1">IF(D11 = "",A11+C11,A11+D11)</f>
        <v>#VALUE!</v>
      </c>
      <c r="B12" s="37" t="e">
        <f t="shared" ref="B12" si="2">IF(D11 = "",B11+C11,B11+D11)</f>
        <v>#VALUE!</v>
      </c>
      <c r="C12" s="315">
        <v>5.5555555555555552E-2</v>
      </c>
      <c r="D12" s="327" t="str">
        <f t="shared" si="0"/>
        <v/>
      </c>
      <c r="E12" s="317" t="e">
        <f t="shared" ref="E12:E20" si="3">B12+C12</f>
        <v>#VALUE!</v>
      </c>
      <c r="F12" s="264" t="s">
        <v>670</v>
      </c>
      <c r="G12" s="35"/>
      <c r="H12" s="181"/>
      <c r="I12" s="181"/>
      <c r="J12" s="181"/>
    </row>
    <row r="13" spans="1:10" ht="12.75" customHeight="1" x14ac:dyDescent="0.25">
      <c r="A13" s="31" t="e">
        <f t="shared" ref="A13:A20" si="4">IF(D12 = "",A12+C12,A12+D12)</f>
        <v>#VALUE!</v>
      </c>
      <c r="B13" s="37" t="e">
        <f t="shared" ref="B13:B20" si="5">IF(D12 = "",B12+C12,B12+D12)</f>
        <v>#VALUE!</v>
      </c>
      <c r="C13" s="315">
        <v>0.21180555555555555</v>
      </c>
      <c r="D13" s="327" t="str">
        <f t="shared" si="0"/>
        <v/>
      </c>
      <c r="E13" s="317" t="e">
        <f t="shared" si="3"/>
        <v>#VALUE!</v>
      </c>
      <c r="F13" s="264" t="s">
        <v>671</v>
      </c>
      <c r="G13" s="39"/>
      <c r="H13" s="773"/>
      <c r="I13" s="773"/>
      <c r="J13" s="773"/>
    </row>
    <row r="14" spans="1:10" ht="13.5" customHeight="1" x14ac:dyDescent="0.25">
      <c r="A14" s="31" t="e">
        <f t="shared" si="4"/>
        <v>#VALUE!</v>
      </c>
      <c r="B14" s="37" t="e">
        <f t="shared" si="5"/>
        <v>#VALUE!</v>
      </c>
      <c r="C14" s="315">
        <v>0.10416666666666667</v>
      </c>
      <c r="D14" s="327" t="str">
        <f t="shared" si="0"/>
        <v/>
      </c>
      <c r="E14" s="317" t="e">
        <f t="shared" si="3"/>
        <v>#VALUE!</v>
      </c>
      <c r="F14" s="295" t="s">
        <v>546</v>
      </c>
      <c r="G14" s="35"/>
      <c r="H14" s="181"/>
      <c r="I14" s="181"/>
      <c r="J14" s="181"/>
    </row>
    <row r="15" spans="1:10" x14ac:dyDescent="0.25">
      <c r="A15" s="31" t="e">
        <f t="shared" si="4"/>
        <v>#VALUE!</v>
      </c>
      <c r="B15" s="37" t="e">
        <f t="shared" si="5"/>
        <v>#VALUE!</v>
      </c>
      <c r="C15" s="316">
        <v>0.1875</v>
      </c>
      <c r="D15" s="327" t="str">
        <f t="shared" si="0"/>
        <v/>
      </c>
      <c r="E15" s="317" t="e">
        <f t="shared" si="3"/>
        <v>#VALUE!</v>
      </c>
      <c r="F15" s="264" t="s">
        <v>548</v>
      </c>
      <c r="G15" s="35"/>
      <c r="H15" s="181"/>
      <c r="I15" s="181"/>
      <c r="J15" s="181"/>
    </row>
    <row r="16" spans="1:10" ht="13.5" customHeight="1" x14ac:dyDescent="0.25">
      <c r="A16" s="31" t="e">
        <f t="shared" si="4"/>
        <v>#VALUE!</v>
      </c>
      <c r="B16" s="37" t="e">
        <f t="shared" si="5"/>
        <v>#VALUE!</v>
      </c>
      <c r="C16" s="316">
        <v>3.125E-2</v>
      </c>
      <c r="D16" s="327" t="str">
        <f t="shared" si="0"/>
        <v/>
      </c>
      <c r="E16" s="317" t="e">
        <f t="shared" si="3"/>
        <v>#VALUE!</v>
      </c>
      <c r="F16" s="264" t="s">
        <v>549</v>
      </c>
      <c r="G16" s="35"/>
      <c r="H16" s="265">
        <v>44.9</v>
      </c>
      <c r="I16" s="265">
        <v>162.19999999999999</v>
      </c>
      <c r="J16" s="265">
        <v>80.5</v>
      </c>
    </row>
    <row r="17" spans="1:10" ht="12" customHeight="1" x14ac:dyDescent="0.25">
      <c r="A17" s="31" t="e">
        <f t="shared" si="4"/>
        <v>#VALUE!</v>
      </c>
      <c r="B17" s="37" t="e">
        <f t="shared" si="5"/>
        <v>#VALUE!</v>
      </c>
      <c r="C17" s="316">
        <v>8.3333333333333329E-2</v>
      </c>
      <c r="D17" s="327" t="str">
        <f t="shared" si="0"/>
        <v/>
      </c>
      <c r="E17" s="317" t="e">
        <f t="shared" si="3"/>
        <v>#VALUE!</v>
      </c>
      <c r="F17" s="264" t="s">
        <v>672</v>
      </c>
      <c r="G17" s="39"/>
      <c r="H17" s="773"/>
      <c r="I17" s="773">
        <v>60.9</v>
      </c>
      <c r="J17" s="773"/>
    </row>
    <row r="18" spans="1:10" ht="12.75" customHeight="1" x14ac:dyDescent="0.25">
      <c r="A18" s="31" t="e">
        <f t="shared" si="4"/>
        <v>#VALUE!</v>
      </c>
      <c r="B18" s="37" t="e">
        <f t="shared" si="5"/>
        <v>#VALUE!</v>
      </c>
      <c r="C18" s="316">
        <v>0.36805555555555558</v>
      </c>
      <c r="D18" s="327" t="str">
        <f t="shared" si="0"/>
        <v/>
      </c>
      <c r="E18" s="317" t="e">
        <f t="shared" si="3"/>
        <v>#VALUE!</v>
      </c>
      <c r="F18" s="240" t="s">
        <v>551</v>
      </c>
      <c r="G18" s="35"/>
      <c r="H18" s="773"/>
      <c r="I18" s="773"/>
      <c r="J18" s="773"/>
    </row>
    <row r="19" spans="1:10" x14ac:dyDescent="0.25">
      <c r="A19" s="31" t="e">
        <f t="shared" si="4"/>
        <v>#VALUE!</v>
      </c>
      <c r="B19" s="37" t="e">
        <f t="shared" si="5"/>
        <v>#VALUE!</v>
      </c>
      <c r="C19" s="315">
        <v>2.0833333333333332E-2</v>
      </c>
      <c r="D19" s="327" t="str">
        <f t="shared" si="0"/>
        <v/>
      </c>
      <c r="E19" s="317" t="e">
        <f t="shared" si="3"/>
        <v>#VALUE!</v>
      </c>
      <c r="F19" s="295" t="s">
        <v>673</v>
      </c>
      <c r="G19" s="35"/>
      <c r="H19" s="773"/>
      <c r="I19" s="773"/>
      <c r="J19" s="773"/>
    </row>
    <row r="20" spans="1:10" x14ac:dyDescent="0.25">
      <c r="A20" s="31" t="e">
        <f t="shared" si="4"/>
        <v>#VALUE!</v>
      </c>
      <c r="B20" s="37" t="e">
        <f t="shared" si="5"/>
        <v>#VALUE!</v>
      </c>
      <c r="C20" s="315">
        <v>5.2083333333333336E-2</v>
      </c>
      <c r="D20" s="327" t="str">
        <f t="shared" si="0"/>
        <v/>
      </c>
      <c r="E20" s="317" t="e">
        <f t="shared" si="3"/>
        <v>#VALUE!</v>
      </c>
      <c r="F20" s="264" t="s">
        <v>554</v>
      </c>
      <c r="G20" s="178"/>
      <c r="H20" s="773"/>
      <c r="I20" s="773"/>
      <c r="J20" s="773"/>
    </row>
    <row r="21" spans="1:10" ht="21" x14ac:dyDescent="0.55000000000000004">
      <c r="A21" s="34"/>
      <c r="B21" s="33" t="s">
        <v>534</v>
      </c>
      <c r="C21" s="32">
        <f>SUM(C11:C20)</f>
        <v>1.2083333333333333</v>
      </c>
      <c r="D21" s="32">
        <f>SUM(D11:D20)</f>
        <v>0</v>
      </c>
      <c r="G21" s="243" t="s">
        <v>535</v>
      </c>
      <c r="H21" s="266">
        <f>SUM(H11:H20)</f>
        <v>44.9</v>
      </c>
      <c r="I21" s="266">
        <f t="shared" ref="I21:J21" si="6">SUM(I11:I20)</f>
        <v>223.1</v>
      </c>
      <c r="J21" s="266">
        <f t="shared" si="6"/>
        <v>80.5</v>
      </c>
    </row>
    <row r="22" spans="1:10" x14ac:dyDescent="0.25">
      <c r="B22" s="31" t="s">
        <v>536</v>
      </c>
      <c r="C22" s="30">
        <f>(C21*60)/1440</f>
        <v>5.0347222222222224E-2</v>
      </c>
      <c r="D22" s="30">
        <f>(D21*60)/1440</f>
        <v>0</v>
      </c>
      <c r="G22" s="26"/>
      <c r="H22" s="26"/>
      <c r="I22" s="26"/>
      <c r="J22" s="26"/>
    </row>
    <row r="23" spans="1:10" x14ac:dyDescent="0.25">
      <c r="C23" s="774"/>
      <c r="G23" s="26"/>
      <c r="H23" s="26"/>
      <c r="I23" s="26"/>
      <c r="J23" s="26"/>
    </row>
    <row r="24" spans="1:10" x14ac:dyDescent="0.25">
      <c r="G24" s="26"/>
      <c r="H24" s="26"/>
      <c r="I24" s="26"/>
      <c r="J24" s="26"/>
    </row>
    <row r="25" spans="1:10" hidden="1" x14ac:dyDescent="0.25">
      <c r="A25" s="1053" t="s">
        <v>555</v>
      </c>
      <c r="B25" s="1054"/>
      <c r="G25" s="26"/>
      <c r="H25" s="26"/>
      <c r="I25" s="26"/>
      <c r="J25" s="26"/>
    </row>
    <row r="26" spans="1:10" hidden="1" x14ac:dyDescent="0.25">
      <c r="A26" s="781" t="s">
        <v>556</v>
      </c>
      <c r="B26" s="29" t="e">
        <f>MAX(A18,#REF!)</f>
        <v>#REF!</v>
      </c>
      <c r="G26" s="26"/>
      <c r="H26" s="26"/>
      <c r="I26" s="26"/>
      <c r="J26" s="26"/>
    </row>
    <row r="27" spans="1:10" hidden="1" x14ac:dyDescent="0.25">
      <c r="A27" s="781" t="s">
        <v>557</v>
      </c>
      <c r="B27" s="28" t="e">
        <f>MAX((#REF!+#REF!),(B18+C18))</f>
        <v>#REF!</v>
      </c>
      <c r="G27" s="26"/>
      <c r="H27" s="26"/>
      <c r="I27" s="26"/>
      <c r="J27" s="26"/>
    </row>
    <row r="28" spans="1:10" x14ac:dyDescent="0.25">
      <c r="G28" s="26"/>
      <c r="H28" s="26"/>
      <c r="I28" s="26"/>
      <c r="J28" s="26"/>
    </row>
    <row r="29" spans="1:10" x14ac:dyDescent="0.25">
      <c r="G29" s="26"/>
      <c r="H29" s="26"/>
      <c r="I29" s="26"/>
      <c r="J29" s="26"/>
    </row>
    <row r="30" spans="1:10" x14ac:dyDescent="0.25">
      <c r="G30" s="26"/>
      <c r="H30" s="26"/>
      <c r="I30" s="26"/>
      <c r="J30" s="26"/>
    </row>
    <row r="31" spans="1:10" x14ac:dyDescent="0.25">
      <c r="G31" s="26"/>
      <c r="H31" s="26"/>
      <c r="I31" s="26"/>
      <c r="J31" s="26"/>
    </row>
    <row r="32" spans="1:10" x14ac:dyDescent="0.25">
      <c r="C32" s="27"/>
      <c r="D32" s="27"/>
      <c r="G32" s="26"/>
      <c r="H32" s="26"/>
      <c r="I32" s="26"/>
      <c r="J32" s="26"/>
    </row>
    <row r="33" spans="6:10" x14ac:dyDescent="0.25">
      <c r="G33" s="26"/>
      <c r="H33" s="26"/>
      <c r="I33" s="26"/>
      <c r="J33" s="26"/>
    </row>
    <row r="34" spans="6:10" x14ac:dyDescent="0.25">
      <c r="G34" s="26"/>
      <c r="H34" s="26"/>
      <c r="I34" s="26"/>
      <c r="J34" s="26"/>
    </row>
    <row r="35" spans="6:10" x14ac:dyDescent="0.25">
      <c r="G35" s="26"/>
      <c r="H35" s="26"/>
      <c r="I35" s="26"/>
      <c r="J35" s="26"/>
    </row>
    <row r="36" spans="6:10" x14ac:dyDescent="0.25">
      <c r="G36" s="26"/>
      <c r="H36" s="26"/>
      <c r="I36" s="26"/>
      <c r="J36" s="26"/>
    </row>
    <row r="37" spans="6:10" x14ac:dyDescent="0.25">
      <c r="G37" s="26"/>
      <c r="H37" s="26"/>
      <c r="I37" s="26"/>
      <c r="J37" s="26"/>
    </row>
    <row r="38" spans="6:10" x14ac:dyDescent="0.25">
      <c r="G38" s="26"/>
      <c r="H38" s="26"/>
      <c r="I38" s="26"/>
      <c r="J38" s="26"/>
    </row>
    <row r="39" spans="6:10" x14ac:dyDescent="0.25">
      <c r="G39" s="26"/>
      <c r="H39" s="26"/>
      <c r="I39" s="26"/>
      <c r="J39" s="26"/>
    </row>
    <row r="40" spans="6:10" x14ac:dyDescent="0.25">
      <c r="G40" s="26"/>
      <c r="H40" s="26"/>
      <c r="I40" s="26"/>
      <c r="J40" s="26"/>
    </row>
    <row r="41" spans="6:10" x14ac:dyDescent="0.25">
      <c r="G41" s="26"/>
      <c r="H41" s="26"/>
      <c r="I41" s="26"/>
      <c r="J41" s="26"/>
    </row>
    <row r="42" spans="6:10" x14ac:dyDescent="0.25">
      <c r="G42" s="26"/>
      <c r="H42" s="26"/>
      <c r="I42" s="26"/>
      <c r="J42" s="26"/>
    </row>
    <row r="43" spans="6:10" x14ac:dyDescent="0.25">
      <c r="F43" s="26"/>
    </row>
    <row r="44" spans="6:10" x14ac:dyDescent="0.25">
      <c r="F44" s="26"/>
    </row>
  </sheetData>
  <mergeCells count="3">
    <mergeCell ref="A1:B1"/>
    <mergeCell ref="A5:D5"/>
    <mergeCell ref="A25:B25"/>
  </mergeCells>
  <pageMargins left="0.75" right="0.75" top="1" bottom="1" header="0.5" footer="0.5"/>
  <pageSetup orientation="portrait" r:id="rId1"/>
  <headerFooter alignWithMargins="0">
    <oddFooter>&amp;R&amp;"Arial,Regular"&amp;08&amp;K7F7F7FAmgen Proprietary - Confidential   &amp;C&amp;"Calibri"&amp;11&amp;K000000&amp;"Calibri"&amp;11&amp;K000000&amp;"Arial,Regular"&amp;08&amp;K7F7F7FAmgen Proprietary - For Internal Use Only_x000D_&amp;1#&amp;"Calibri"&amp;10&amp;K000000 Non-Amgen</oddFooter>
    <evenFooter>&amp;R&amp;"Arial,Regular"&amp;08&amp;K7F7F7FAmgen Proprietary - Confidential   &amp;C&amp;"Arial,Regular"&amp;08&amp;K7F7F7FAmgen Proprietary - For Internal Use Only</evenFooter>
    <firstFooter>&amp;R&amp;"Arial,Regular"&amp;08&amp;K7F7F7FAmgen Proprietary - Confidential   &amp;C&amp;"Arial,Regular"&amp;08&amp;K7F7F7FAmgen Proprietary - For Internal Use Only</first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D4CF97-A76D-44B4-A3FD-A9CF2541B517}">
  <sheetPr codeName="Sheet52">
    <pageSetUpPr autoPageBreaks="0"/>
  </sheetPr>
  <dimension ref="A1:O53"/>
  <sheetViews>
    <sheetView zoomScale="110" zoomScaleNormal="110" workbookViewId="0">
      <selection activeCell="C28" sqref="C28"/>
    </sheetView>
  </sheetViews>
  <sheetFormatPr defaultColWidth="23.453125" defaultRowHeight="11.5" x14ac:dyDescent="0.25"/>
  <cols>
    <col min="1" max="1" width="24.54296875" style="25" customWidth="1"/>
    <col min="2" max="2" width="23.54296875" style="25" bestFit="1" customWidth="1"/>
    <col min="3" max="3" width="25" style="25" customWidth="1"/>
    <col min="4" max="4" width="17.54296875" style="25" customWidth="1"/>
    <col min="5" max="5" width="23.453125" style="25" customWidth="1"/>
    <col min="6" max="6" width="67.54296875" style="25" bestFit="1" customWidth="1"/>
    <col min="7" max="7" width="41.453125" style="25" bestFit="1" customWidth="1"/>
    <col min="8" max="8" width="16.54296875" style="25" customWidth="1"/>
    <col min="9" max="9" width="14.453125" style="25" customWidth="1"/>
    <col min="10" max="10" width="11.54296875" style="25" customWidth="1"/>
    <col min="11" max="11" width="12.453125" style="25" customWidth="1"/>
    <col min="12" max="12" width="13.54296875" style="25" customWidth="1"/>
    <col min="13" max="13" width="13.453125" style="25" customWidth="1"/>
    <col min="14" max="16384" width="23.453125" style="25"/>
  </cols>
  <sheetData>
    <row r="1" spans="1:15" ht="12" thickBot="1" x14ac:dyDescent="0.3">
      <c r="A1" s="1053" t="s">
        <v>479</v>
      </c>
      <c r="B1" s="1054"/>
      <c r="C1" s="1068" t="s">
        <v>674</v>
      </c>
      <c r="D1" s="1069"/>
    </row>
    <row r="2" spans="1:15" x14ac:dyDescent="0.25">
      <c r="A2" s="43" t="s">
        <v>480</v>
      </c>
      <c r="B2" s="31" t="s">
        <v>675</v>
      </c>
      <c r="C2" s="1077" t="s">
        <v>676</v>
      </c>
      <c r="D2" s="1078"/>
    </row>
    <row r="3" spans="1:15" ht="12" thickBot="1" x14ac:dyDescent="0.3">
      <c r="A3" s="42" t="s">
        <v>482</v>
      </c>
      <c r="B3" s="406" t="s">
        <v>675</v>
      </c>
      <c r="C3" s="1079"/>
      <c r="D3" s="1080"/>
    </row>
    <row r="5" spans="1:15" x14ac:dyDescent="0.25">
      <c r="A5" s="1072" t="s">
        <v>484</v>
      </c>
      <c r="B5" s="1073"/>
      <c r="C5" s="1073"/>
      <c r="D5" s="1073"/>
    </row>
    <row r="6" spans="1:15" x14ac:dyDescent="0.25">
      <c r="A6" s="781" t="s">
        <v>485</v>
      </c>
      <c r="B6" s="781" t="s">
        <v>486</v>
      </c>
      <c r="C6" s="781" t="s">
        <v>487</v>
      </c>
      <c r="D6" s="781" t="s">
        <v>488</v>
      </c>
    </row>
    <row r="7" spans="1:15" x14ac:dyDescent="0.25">
      <c r="A7" s="324" t="str">
        <f>F13</f>
        <v>IPC: Reaction Conversion</v>
      </c>
      <c r="B7" s="325" t="e">
        <f>INDEX($E$11:$E$60,MATCH(A7,$F$11:$F$60,0))</f>
        <v>#VALUE!</v>
      </c>
      <c r="C7" s="272" t="e">
        <f>INDEX($B$11:$B$60,MATCH(A7,$F$11:$F$60,0))</f>
        <v>#VALUE!</v>
      </c>
      <c r="D7" s="405"/>
    </row>
    <row r="8" spans="1:15" x14ac:dyDescent="0.25">
      <c r="A8" s="324" t="str">
        <f>F28</f>
        <v>IPC: GC, LC, KF</v>
      </c>
      <c r="B8" s="325" t="e">
        <f>A28</f>
        <v>#VALUE!</v>
      </c>
      <c r="C8" s="272" t="e">
        <f>INDEX($B$11:$B$60,MATCH(A8,$F$11:$F$60,0))</f>
        <v>#VALUE!</v>
      </c>
      <c r="D8" s="405"/>
      <c r="E8" s="399"/>
    </row>
    <row r="10" spans="1:15" ht="23" x14ac:dyDescent="0.25">
      <c r="A10" s="749" t="s">
        <v>492</v>
      </c>
      <c r="B10" s="749" t="s">
        <v>493</v>
      </c>
      <c r="C10" s="749" t="s">
        <v>494</v>
      </c>
      <c r="D10" s="86" t="s">
        <v>495</v>
      </c>
      <c r="E10" s="749" t="s">
        <v>540</v>
      </c>
      <c r="F10" s="749" t="s">
        <v>541</v>
      </c>
      <c r="G10" s="749" t="s">
        <v>498</v>
      </c>
      <c r="H10" s="184" t="s">
        <v>92</v>
      </c>
      <c r="I10" s="184" t="s">
        <v>248</v>
      </c>
      <c r="J10" s="184" t="s">
        <v>267</v>
      </c>
      <c r="K10" s="184" t="s">
        <v>677</v>
      </c>
      <c r="L10" s="184" t="s">
        <v>678</v>
      </c>
      <c r="M10" s="184" t="s">
        <v>501</v>
      </c>
    </row>
    <row r="11" spans="1:15" x14ac:dyDescent="0.25">
      <c r="A11" s="31" t="str">
        <f>B2</f>
        <v>Insert time and Date here</v>
      </c>
      <c r="B11" s="38" t="str">
        <f>B3</f>
        <v>Insert time and Date here</v>
      </c>
      <c r="C11" s="170">
        <v>0.22916666666666666</v>
      </c>
      <c r="D11" s="327" t="str">
        <f t="shared" ref="D11:D29" si="0">IF(_xlfn.ISFORMULA(E11)=TRUE,"",E11-B11)</f>
        <v/>
      </c>
      <c r="E11" s="37" t="e">
        <f>B11+C11</f>
        <v>#VALUE!</v>
      </c>
      <c r="F11" s="264" t="s">
        <v>679</v>
      </c>
      <c r="G11" s="78"/>
      <c r="H11" s="352"/>
      <c r="I11" s="352"/>
      <c r="J11" s="352"/>
      <c r="K11" s="352"/>
      <c r="L11" s="352"/>
      <c r="M11" s="352"/>
      <c r="N11" s="1066" t="s">
        <v>609</v>
      </c>
      <c r="O11" s="1067"/>
    </row>
    <row r="12" spans="1:15" ht="12.75" customHeight="1" x14ac:dyDescent="0.25">
      <c r="A12" s="31" t="e">
        <f t="shared" ref="A12:A13" si="1">IF(D11 = "",A11+C11,A11+D11)</f>
        <v>#VALUE!</v>
      </c>
      <c r="B12" s="37" t="e">
        <f t="shared" ref="B12:B19" si="2">IF(D11 = "",B11+C11,B11+D11)</f>
        <v>#VALUE!</v>
      </c>
      <c r="C12" s="170">
        <v>0.25</v>
      </c>
      <c r="D12" s="327" t="str">
        <f t="shared" si="0"/>
        <v/>
      </c>
      <c r="E12" s="37" t="e">
        <f t="shared" ref="E12:E14" si="3">B12+C12</f>
        <v>#VALUE!</v>
      </c>
      <c r="F12" s="264" t="s">
        <v>680</v>
      </c>
      <c r="G12" s="35"/>
      <c r="H12" s="778"/>
      <c r="I12" s="778"/>
      <c r="J12" s="778"/>
      <c r="K12" s="778"/>
      <c r="L12" s="778"/>
      <c r="M12" s="778"/>
      <c r="N12" s="268" t="s">
        <v>681</v>
      </c>
      <c r="O12" s="343">
        <f>SUM(L11:L14)</f>
        <v>606.29999999999995</v>
      </c>
    </row>
    <row r="13" spans="1:15" ht="12.75" customHeight="1" x14ac:dyDescent="0.25">
      <c r="A13" s="31" t="e">
        <f t="shared" si="1"/>
        <v>#VALUE!</v>
      </c>
      <c r="B13" s="37" t="e">
        <f t="shared" si="2"/>
        <v>#VALUE!</v>
      </c>
      <c r="C13" s="170">
        <v>0.13541666666666666</v>
      </c>
      <c r="D13" s="327" t="str">
        <f t="shared" si="0"/>
        <v/>
      </c>
      <c r="E13" s="37" t="e">
        <f t="shared" si="3"/>
        <v>#VALUE!</v>
      </c>
      <c r="F13" s="320" t="s">
        <v>567</v>
      </c>
      <c r="G13" s="39"/>
      <c r="H13" s="778"/>
      <c r="I13" s="778"/>
      <c r="J13" s="778"/>
      <c r="K13" s="778"/>
      <c r="L13" s="778"/>
      <c r="M13" s="778"/>
      <c r="N13" s="268" t="s">
        <v>682</v>
      </c>
      <c r="O13" s="343">
        <f>SUM(M11:M14)</f>
        <v>0</v>
      </c>
    </row>
    <row r="14" spans="1:15" ht="13.5" customHeight="1" x14ac:dyDescent="0.25">
      <c r="A14" s="31" t="e">
        <f>IF(D13 = "",A13+C13,A13+D13)</f>
        <v>#VALUE!</v>
      </c>
      <c r="B14" s="37" t="e">
        <f t="shared" si="2"/>
        <v>#VALUE!</v>
      </c>
      <c r="C14" s="172">
        <v>0.3125</v>
      </c>
      <c r="D14" s="327" t="str">
        <f t="shared" si="0"/>
        <v/>
      </c>
      <c r="E14" s="37" t="e">
        <f t="shared" si="3"/>
        <v>#VALUE!</v>
      </c>
      <c r="F14" s="321" t="s">
        <v>683</v>
      </c>
      <c r="G14" s="35"/>
      <c r="H14" s="778">
        <v>511.4</v>
      </c>
      <c r="I14" s="778"/>
      <c r="J14" s="778">
        <v>94.9</v>
      </c>
      <c r="K14" s="778"/>
      <c r="L14" s="778">
        <f>H14+J14</f>
        <v>606.29999999999995</v>
      </c>
      <c r="M14" s="778"/>
    </row>
    <row r="15" spans="1:15" x14ac:dyDescent="0.25">
      <c r="A15" s="322" t="e">
        <f>IF(D14 = "",A14+C14,A14+D14)</f>
        <v>#VALUE!</v>
      </c>
      <c r="B15" s="323" t="e">
        <f t="shared" si="2"/>
        <v>#VALUE!</v>
      </c>
      <c r="C15" s="326">
        <v>2.0833333333333332E-2</v>
      </c>
      <c r="D15" s="400" t="str">
        <f t="shared" si="0"/>
        <v/>
      </c>
      <c r="E15" s="323" t="e">
        <f>B15+C15</f>
        <v>#VALUE!</v>
      </c>
      <c r="F15" s="370" t="s">
        <v>684</v>
      </c>
      <c r="G15" s="1081" t="s">
        <v>685</v>
      </c>
      <c r="H15" s="392"/>
      <c r="I15" s="392">
        <v>50</v>
      </c>
      <c r="J15" s="392"/>
      <c r="K15" s="392"/>
      <c r="L15" s="392"/>
      <c r="M15" s="392">
        <f>I15</f>
        <v>50</v>
      </c>
      <c r="N15" s="1066" t="s">
        <v>624</v>
      </c>
      <c r="O15" s="1067"/>
    </row>
    <row r="16" spans="1:15" ht="14.5" x14ac:dyDescent="0.25">
      <c r="A16" s="322" t="e">
        <f t="shared" ref="A16:A19" si="4">IF(D15 = "",A15+C15,A15+D15)</f>
        <v>#VALUE!</v>
      </c>
      <c r="B16" s="323" t="e">
        <f t="shared" si="2"/>
        <v>#VALUE!</v>
      </c>
      <c r="C16" s="326">
        <v>4.1666666666666664E-2</v>
      </c>
      <c r="D16" s="400" t="str">
        <f t="shared" si="0"/>
        <v/>
      </c>
      <c r="E16" s="323" t="e">
        <f t="shared" ref="E16:E29" si="5">B16+C16</f>
        <v>#VALUE!</v>
      </c>
      <c r="F16" s="370" t="s">
        <v>686</v>
      </c>
      <c r="G16" s="1082"/>
      <c r="H16" s="392">
        <v>100</v>
      </c>
      <c r="I16" s="392"/>
      <c r="J16" s="392"/>
      <c r="K16" s="392"/>
      <c r="L16" s="392">
        <f>H16</f>
        <v>100</v>
      </c>
      <c r="M16" s="392"/>
      <c r="N16" s="268" t="s">
        <v>681</v>
      </c>
      <c r="O16" s="343">
        <f>SUM(L15:L21)</f>
        <v>100</v>
      </c>
    </row>
    <row r="17" spans="1:15" ht="14.5" x14ac:dyDescent="0.25">
      <c r="A17" s="322" t="e">
        <f t="shared" si="4"/>
        <v>#VALUE!</v>
      </c>
      <c r="B17" s="323" t="e">
        <f t="shared" si="2"/>
        <v>#VALUE!</v>
      </c>
      <c r="C17" s="326">
        <v>4.1666666666666664E-2</v>
      </c>
      <c r="D17" s="400" t="str">
        <f t="shared" si="0"/>
        <v/>
      </c>
      <c r="E17" s="323" t="e">
        <f t="shared" si="5"/>
        <v>#VALUE!</v>
      </c>
      <c r="F17" s="370" t="s">
        <v>687</v>
      </c>
      <c r="G17" s="1082"/>
      <c r="H17" s="392"/>
      <c r="I17" s="392"/>
      <c r="J17" s="392"/>
      <c r="K17" s="392">
        <v>100</v>
      </c>
      <c r="L17" s="392"/>
      <c r="M17" s="392">
        <f>K17</f>
        <v>100</v>
      </c>
      <c r="N17" s="268" t="s">
        <v>682</v>
      </c>
      <c r="O17" s="343">
        <f>SUM(M15:M21)</f>
        <v>250</v>
      </c>
    </row>
    <row r="18" spans="1:15" x14ac:dyDescent="0.25">
      <c r="A18" s="322" t="e">
        <f t="shared" si="4"/>
        <v>#VALUE!</v>
      </c>
      <c r="B18" s="323" t="e">
        <f t="shared" si="2"/>
        <v>#VALUE!</v>
      </c>
      <c r="C18" s="326">
        <v>1.0416666666666666E-2</v>
      </c>
      <c r="D18" s="400" t="str">
        <f t="shared" si="0"/>
        <v/>
      </c>
      <c r="E18" s="323" t="e">
        <f t="shared" si="5"/>
        <v>#VALUE!</v>
      </c>
      <c r="F18" s="370" t="s">
        <v>688</v>
      </c>
      <c r="G18" s="1082"/>
      <c r="H18" s="392"/>
      <c r="I18" s="392"/>
      <c r="J18" s="392"/>
      <c r="K18" s="392">
        <v>100</v>
      </c>
      <c r="L18" s="392"/>
      <c r="M18" s="392">
        <f>K18</f>
        <v>100</v>
      </c>
    </row>
    <row r="19" spans="1:15" ht="12" customHeight="1" x14ac:dyDescent="0.25">
      <c r="A19" s="322" t="e">
        <f t="shared" si="4"/>
        <v>#VALUE!</v>
      </c>
      <c r="B19" s="323" t="e">
        <f t="shared" si="2"/>
        <v>#VALUE!</v>
      </c>
      <c r="C19" s="326">
        <v>6.25E-2</v>
      </c>
      <c r="D19" s="400" t="str">
        <f t="shared" si="0"/>
        <v/>
      </c>
      <c r="E19" s="323" t="e">
        <f t="shared" si="5"/>
        <v>#VALUE!</v>
      </c>
      <c r="F19" s="370" t="s">
        <v>689</v>
      </c>
      <c r="G19" s="1083"/>
      <c r="H19" s="392"/>
      <c r="I19" s="392"/>
      <c r="J19" s="392"/>
      <c r="K19" s="392"/>
      <c r="L19" s="392"/>
      <c r="M19" s="392"/>
    </row>
    <row r="20" spans="1:15" ht="13.5" customHeight="1" x14ac:dyDescent="0.25">
      <c r="A20" s="31" t="e">
        <f>IF(D14 = "",A14+C14,A14+D14)</f>
        <v>#VALUE!</v>
      </c>
      <c r="B20" s="37" t="e">
        <f>IF(D14 = "",B14+C14,B14+D14)</f>
        <v>#VALUE!</v>
      </c>
      <c r="C20" s="172">
        <v>3.125E-2</v>
      </c>
      <c r="D20" s="327" t="str">
        <f t="shared" si="0"/>
        <v/>
      </c>
      <c r="E20" s="37" t="e">
        <f t="shared" si="5"/>
        <v>#VALUE!</v>
      </c>
      <c r="F20" s="264" t="s">
        <v>690</v>
      </c>
      <c r="G20" s="35"/>
      <c r="H20" s="393"/>
      <c r="I20" s="393"/>
      <c r="J20" s="393"/>
      <c r="K20" s="393"/>
      <c r="L20" s="393"/>
      <c r="M20" s="393"/>
    </row>
    <row r="21" spans="1:15" ht="12" customHeight="1" x14ac:dyDescent="0.25">
      <c r="A21" s="31" t="e">
        <f t="shared" ref="A21:A25" si="6">IF(D20 = "",A20+C20,A20+D20)</f>
        <v>#VALUE!</v>
      </c>
      <c r="B21" s="37" t="e">
        <f t="shared" ref="B21:B29" si="7">IF(D20 = "",B20+C20,B20+D20)</f>
        <v>#VALUE!</v>
      </c>
      <c r="C21" s="172">
        <v>0.875</v>
      </c>
      <c r="D21" s="327" t="str">
        <f t="shared" si="0"/>
        <v/>
      </c>
      <c r="E21" s="37" t="e">
        <f t="shared" si="5"/>
        <v>#VALUE!</v>
      </c>
      <c r="F21" s="264" t="s">
        <v>691</v>
      </c>
      <c r="G21" s="39"/>
      <c r="H21" s="778"/>
      <c r="I21" s="778"/>
      <c r="J21" s="778"/>
      <c r="K21" s="1074">
        <v>300</v>
      </c>
      <c r="L21" s="778"/>
      <c r="M21" s="778"/>
    </row>
    <row r="22" spans="1:15" ht="12.75" customHeight="1" x14ac:dyDescent="0.25">
      <c r="A22" s="31" t="e">
        <f t="shared" si="6"/>
        <v>#VALUE!</v>
      </c>
      <c r="B22" s="37" t="e">
        <f t="shared" si="7"/>
        <v>#VALUE!</v>
      </c>
      <c r="C22" s="170">
        <v>0.41666666666666669</v>
      </c>
      <c r="D22" s="327" t="str">
        <f t="shared" si="0"/>
        <v/>
      </c>
      <c r="E22" s="37" t="e">
        <f t="shared" si="5"/>
        <v>#VALUE!</v>
      </c>
      <c r="F22" s="264" t="s">
        <v>548</v>
      </c>
      <c r="G22" s="35"/>
      <c r="H22" s="778"/>
      <c r="I22" s="778"/>
      <c r="J22" s="778"/>
      <c r="K22" s="1074"/>
      <c r="L22" s="778"/>
      <c r="M22" s="778"/>
      <c r="N22" s="1066" t="s">
        <v>630</v>
      </c>
      <c r="O22" s="1067"/>
    </row>
    <row r="23" spans="1:15" ht="14.5" x14ac:dyDescent="0.25">
      <c r="A23" s="31" t="e">
        <f t="shared" si="6"/>
        <v>#VALUE!</v>
      </c>
      <c r="B23" s="37" t="e">
        <f t="shared" si="7"/>
        <v>#VALUE!</v>
      </c>
      <c r="C23" s="170">
        <v>0.1875</v>
      </c>
      <c r="D23" s="327" t="str">
        <f t="shared" si="0"/>
        <v/>
      </c>
      <c r="E23" s="37" t="e">
        <f t="shared" si="5"/>
        <v>#VALUE!</v>
      </c>
      <c r="F23" s="264" t="s">
        <v>549</v>
      </c>
      <c r="G23" s="35"/>
      <c r="H23" s="778"/>
      <c r="I23" s="1075">
        <v>467.03699999999998</v>
      </c>
      <c r="J23" s="778"/>
      <c r="K23" s="1074"/>
      <c r="L23" s="778"/>
      <c r="M23" s="778"/>
      <c r="N23" s="268" t="s">
        <v>682</v>
      </c>
      <c r="O23" s="343">
        <f>SUM(M22:M24)</f>
        <v>767.03700000000003</v>
      </c>
    </row>
    <row r="24" spans="1:15" ht="14.5" x14ac:dyDescent="0.25">
      <c r="A24" s="31" t="e">
        <f t="shared" si="6"/>
        <v>#VALUE!</v>
      </c>
      <c r="B24" s="37" t="e">
        <f t="shared" si="7"/>
        <v>#VALUE!</v>
      </c>
      <c r="C24" s="170">
        <v>0.85416666666666663</v>
      </c>
      <c r="D24" s="327" t="str">
        <f t="shared" si="0"/>
        <v/>
      </c>
      <c r="E24" s="37" t="e">
        <f t="shared" si="5"/>
        <v>#VALUE!</v>
      </c>
      <c r="F24" s="264" t="s">
        <v>692</v>
      </c>
      <c r="G24" s="35"/>
      <c r="H24" s="778"/>
      <c r="I24" s="1076"/>
      <c r="J24" s="778"/>
      <c r="K24" s="1074"/>
      <c r="L24" s="778"/>
      <c r="M24" s="778">
        <f>I23+K21</f>
        <v>767.03700000000003</v>
      </c>
      <c r="N24" s="268" t="s">
        <v>682</v>
      </c>
      <c r="O24" s="343">
        <f>SUM(M22:M24)</f>
        <v>767.03700000000003</v>
      </c>
    </row>
    <row r="25" spans="1:15" ht="12" thickBot="1" x14ac:dyDescent="0.3">
      <c r="A25" s="410" t="e">
        <f t="shared" si="6"/>
        <v>#VALUE!</v>
      </c>
      <c r="B25" s="329" t="e">
        <f t="shared" si="7"/>
        <v>#VALUE!</v>
      </c>
      <c r="C25" s="173">
        <v>1.5625</v>
      </c>
      <c r="D25" s="468" t="str">
        <f t="shared" si="0"/>
        <v/>
      </c>
      <c r="E25" s="329" t="e">
        <f t="shared" si="5"/>
        <v>#VALUE!</v>
      </c>
      <c r="F25" s="353" t="s">
        <v>551</v>
      </c>
      <c r="G25" s="178"/>
      <c r="H25" s="779"/>
      <c r="I25" s="394"/>
      <c r="J25" s="779"/>
      <c r="K25" s="779"/>
      <c r="L25" s="779"/>
      <c r="M25" s="779"/>
    </row>
    <row r="26" spans="1:15" ht="12" thickBot="1" x14ac:dyDescent="0.3">
      <c r="A26" s="357" t="e">
        <f t="shared" ref="A26" si="8">A25+C25</f>
        <v>#VALUE!</v>
      </c>
      <c r="B26" s="358" t="e">
        <f t="shared" si="7"/>
        <v>#VALUE!</v>
      </c>
      <c r="C26" s="359">
        <v>2.1458333333333335</v>
      </c>
      <c r="D26" s="360"/>
      <c r="E26" s="358" t="e">
        <f t="shared" si="5"/>
        <v>#VALUE!</v>
      </c>
      <c r="F26" s="361" t="s">
        <v>693</v>
      </c>
      <c r="G26" s="362"/>
      <c r="H26" s="395"/>
      <c r="I26" s="395"/>
      <c r="J26" s="395"/>
      <c r="K26" s="395"/>
      <c r="L26" s="395"/>
      <c r="M26" s="396"/>
    </row>
    <row r="27" spans="1:15" x14ac:dyDescent="0.25">
      <c r="A27" s="330" t="e">
        <f t="shared" ref="A27:A29" si="9">IF(D26 = "",A26+C26,A26+D26)</f>
        <v>#VALUE!</v>
      </c>
      <c r="B27" s="331" t="e">
        <f t="shared" si="7"/>
        <v>#VALUE!</v>
      </c>
      <c r="C27" s="354">
        <v>0.97916666666666663</v>
      </c>
      <c r="D27" s="470" t="str">
        <f t="shared" si="0"/>
        <v/>
      </c>
      <c r="E27" s="331" t="e">
        <f t="shared" si="5"/>
        <v>#VALUE!</v>
      </c>
      <c r="F27" s="355" t="s">
        <v>551</v>
      </c>
      <c r="G27" s="356"/>
      <c r="H27" s="780"/>
      <c r="I27" s="780"/>
      <c r="J27" s="780"/>
      <c r="K27" s="780"/>
      <c r="L27" s="780"/>
      <c r="M27" s="780"/>
    </row>
    <row r="28" spans="1:15" x14ac:dyDescent="0.25">
      <c r="A28" s="31" t="e">
        <f t="shared" si="9"/>
        <v>#VALUE!</v>
      </c>
      <c r="B28" s="37" t="e">
        <f t="shared" si="7"/>
        <v>#VALUE!</v>
      </c>
      <c r="C28" s="170">
        <v>1.1041666666666667</v>
      </c>
      <c r="D28" s="327" t="str">
        <f t="shared" si="0"/>
        <v/>
      </c>
      <c r="E28" s="37" t="e">
        <f t="shared" si="5"/>
        <v>#VALUE!</v>
      </c>
      <c r="F28" s="320" t="s">
        <v>694</v>
      </c>
      <c r="G28" s="35"/>
      <c r="H28" s="778"/>
      <c r="I28" s="778"/>
      <c r="J28" s="778"/>
      <c r="K28" s="778"/>
      <c r="L28" s="778"/>
      <c r="M28" s="778"/>
    </row>
    <row r="29" spans="1:15" x14ac:dyDescent="0.25">
      <c r="A29" s="31" t="e">
        <f t="shared" si="9"/>
        <v>#VALUE!</v>
      </c>
      <c r="B29" s="37" t="e">
        <f t="shared" si="7"/>
        <v>#VALUE!</v>
      </c>
      <c r="C29" s="170">
        <v>0.125</v>
      </c>
      <c r="D29" s="327" t="str">
        <f t="shared" si="0"/>
        <v/>
      </c>
      <c r="E29" s="37" t="e">
        <f t="shared" si="5"/>
        <v>#VALUE!</v>
      </c>
      <c r="F29" s="264" t="s">
        <v>554</v>
      </c>
      <c r="G29" s="35"/>
      <c r="H29" s="397"/>
      <c r="I29" s="397"/>
      <c r="J29" s="397"/>
      <c r="K29" s="397"/>
      <c r="L29" s="397"/>
      <c r="M29" s="397"/>
    </row>
    <row r="30" spans="1:15" ht="21" x14ac:dyDescent="0.55000000000000004">
      <c r="A30" s="34"/>
      <c r="B30" s="33" t="s">
        <v>534</v>
      </c>
      <c r="C30" s="32">
        <f>SUM(C11:C14,C20:C25,C27:C29)</f>
        <v>7.0625</v>
      </c>
      <c r="D30" s="32">
        <f>SUM(D11:D14,D20:D25,D27:D29)</f>
        <v>0</v>
      </c>
      <c r="G30" s="243" t="s">
        <v>535</v>
      </c>
      <c r="H30" s="350">
        <f>SUM(H11:H24)</f>
        <v>611.4</v>
      </c>
      <c r="I30" s="350">
        <f>SUM(I11:I24)</f>
        <v>517.03700000000003</v>
      </c>
      <c r="J30" s="350">
        <f>SUM(J11:J24)</f>
        <v>94.9</v>
      </c>
      <c r="K30" s="351">
        <f>SUM(K11:K29)</f>
        <v>500</v>
      </c>
      <c r="L30" s="351">
        <f>SUM(L11:L29)</f>
        <v>706.3</v>
      </c>
      <c r="M30" s="351">
        <f>SUM(M11:M29)</f>
        <v>1017.037</v>
      </c>
    </row>
    <row r="31" spans="1:15" x14ac:dyDescent="0.25">
      <c r="B31" s="31" t="s">
        <v>536</v>
      </c>
      <c r="C31" s="30">
        <f>(C30*60)/1440</f>
        <v>0.29427083333333331</v>
      </c>
      <c r="D31" s="30">
        <f>(D30*60)/1440</f>
        <v>0</v>
      </c>
      <c r="G31" s="26"/>
      <c r="H31" s="26"/>
      <c r="I31" s="26"/>
      <c r="J31" s="26"/>
      <c r="K31" s="26"/>
      <c r="L31" s="26"/>
      <c r="M31" s="26"/>
    </row>
    <row r="32" spans="1:15" x14ac:dyDescent="0.25">
      <c r="F32" s="26"/>
      <c r="G32" s="26"/>
      <c r="H32" s="26"/>
      <c r="I32" s="26"/>
      <c r="J32" s="26"/>
      <c r="K32" s="26"/>
      <c r="L32" s="26"/>
    </row>
    <row r="33" spans="1:12" x14ac:dyDescent="0.25">
      <c r="F33" s="26"/>
      <c r="G33" s="26"/>
      <c r="H33" s="26"/>
      <c r="I33" s="26"/>
      <c r="J33" s="26"/>
      <c r="K33" s="26"/>
      <c r="L33" s="26"/>
    </row>
    <row r="34" spans="1:12" ht="11.9" hidden="1" customHeight="1" x14ac:dyDescent="0.25">
      <c r="A34" s="1072" t="s">
        <v>555</v>
      </c>
      <c r="B34" s="1073"/>
      <c r="F34" s="26"/>
      <c r="G34" s="26"/>
      <c r="H34" s="26"/>
      <c r="I34" s="26"/>
      <c r="J34" s="26"/>
      <c r="K34" s="26"/>
      <c r="L34" s="26"/>
    </row>
    <row r="35" spans="1:12" hidden="1" x14ac:dyDescent="0.25">
      <c r="A35" s="781" t="s">
        <v>556</v>
      </c>
      <c r="B35" s="29" t="e">
        <f>MAX(A22,#REF!)</f>
        <v>#REF!</v>
      </c>
      <c r="F35" s="26"/>
      <c r="G35" s="26"/>
      <c r="H35" s="26"/>
      <c r="I35" s="26"/>
      <c r="J35" s="26"/>
      <c r="K35" s="26"/>
      <c r="L35" s="26"/>
    </row>
    <row r="36" spans="1:12" hidden="1" x14ac:dyDescent="0.25">
      <c r="A36" s="781" t="s">
        <v>557</v>
      </c>
      <c r="B36" s="28" t="e">
        <f>MAX((#REF!+#REF!),(B22+C22))</f>
        <v>#REF!</v>
      </c>
      <c r="F36" s="26"/>
      <c r="G36" s="26"/>
      <c r="H36" s="26"/>
      <c r="I36" s="26"/>
      <c r="J36" s="26"/>
      <c r="K36" s="26"/>
      <c r="L36" s="26"/>
    </row>
    <row r="37" spans="1:12" x14ac:dyDescent="0.25">
      <c r="F37" s="26"/>
      <c r="G37" s="26"/>
      <c r="H37" s="26"/>
      <c r="I37" s="26"/>
      <c r="J37" s="26"/>
      <c r="K37" s="26"/>
      <c r="L37" s="26"/>
    </row>
    <row r="38" spans="1:12" x14ac:dyDescent="0.25">
      <c r="F38" s="26"/>
      <c r="G38" s="26"/>
      <c r="H38" s="26"/>
      <c r="I38" s="26"/>
      <c r="J38" s="26"/>
      <c r="K38" s="26"/>
      <c r="L38" s="26"/>
    </row>
    <row r="39" spans="1:12" x14ac:dyDescent="0.25">
      <c r="F39" s="26"/>
      <c r="G39" s="26"/>
      <c r="H39" s="26"/>
      <c r="I39" s="26"/>
      <c r="J39" s="26"/>
      <c r="K39" s="26"/>
      <c r="L39" s="26"/>
    </row>
    <row r="40" spans="1:12" x14ac:dyDescent="0.25">
      <c r="F40" s="26"/>
      <c r="G40" s="26"/>
      <c r="H40" s="26"/>
      <c r="I40" s="26"/>
      <c r="J40" s="26"/>
      <c r="K40" s="26"/>
      <c r="L40" s="26"/>
    </row>
    <row r="41" spans="1:12" x14ac:dyDescent="0.25">
      <c r="C41" s="27"/>
      <c r="F41" s="26"/>
      <c r="G41" s="26"/>
      <c r="H41" s="26"/>
      <c r="I41" s="26"/>
      <c r="J41" s="26"/>
      <c r="K41" s="26"/>
      <c r="L41" s="26"/>
    </row>
    <row r="42" spans="1:12" x14ac:dyDescent="0.25">
      <c r="F42" s="26"/>
      <c r="G42" s="26"/>
      <c r="H42" s="26"/>
      <c r="I42" s="26"/>
      <c r="J42" s="26"/>
      <c r="K42" s="26"/>
      <c r="L42" s="26"/>
    </row>
    <row r="43" spans="1:12" x14ac:dyDescent="0.25">
      <c r="F43" s="26"/>
      <c r="G43" s="26"/>
      <c r="H43" s="26"/>
      <c r="I43" s="26"/>
      <c r="J43" s="26"/>
      <c r="K43" s="26"/>
      <c r="L43" s="26"/>
    </row>
    <row r="44" spans="1:12" x14ac:dyDescent="0.25">
      <c r="F44" s="26"/>
      <c r="G44" s="26"/>
      <c r="H44" s="26"/>
      <c r="I44" s="26"/>
      <c r="J44" s="26"/>
      <c r="K44" s="26"/>
      <c r="L44" s="26"/>
    </row>
    <row r="45" spans="1:12" x14ac:dyDescent="0.25">
      <c r="F45" s="26"/>
      <c r="G45" s="26"/>
      <c r="H45" s="26"/>
      <c r="I45" s="26"/>
      <c r="J45" s="26"/>
      <c r="K45" s="26"/>
      <c r="L45" s="26"/>
    </row>
    <row r="46" spans="1:12" x14ac:dyDescent="0.25">
      <c r="F46" s="26"/>
      <c r="G46" s="26"/>
      <c r="H46" s="26"/>
      <c r="I46" s="26"/>
      <c r="J46" s="26"/>
      <c r="K46" s="26"/>
      <c r="L46" s="26"/>
    </row>
    <row r="47" spans="1:12" x14ac:dyDescent="0.25">
      <c r="F47" s="26"/>
      <c r="G47" s="26"/>
      <c r="H47" s="26"/>
      <c r="I47" s="26"/>
      <c r="J47" s="26"/>
      <c r="K47" s="26"/>
      <c r="L47" s="26"/>
    </row>
    <row r="48" spans="1:12" x14ac:dyDescent="0.25">
      <c r="F48" s="26"/>
      <c r="G48" s="26"/>
      <c r="H48" s="26"/>
      <c r="I48" s="26"/>
      <c r="J48" s="26"/>
      <c r="K48" s="26"/>
      <c r="L48" s="26"/>
    </row>
    <row r="49" spans="5:12" x14ac:dyDescent="0.25">
      <c r="F49" s="26"/>
      <c r="G49" s="26"/>
      <c r="H49" s="26"/>
      <c r="I49" s="26"/>
      <c r="J49" s="26"/>
      <c r="K49" s="26"/>
      <c r="L49" s="26"/>
    </row>
    <row r="50" spans="5:12" x14ac:dyDescent="0.25">
      <c r="F50" s="26"/>
      <c r="G50" s="26"/>
      <c r="H50" s="26"/>
      <c r="I50" s="26"/>
      <c r="J50" s="26"/>
      <c r="K50" s="26"/>
      <c r="L50" s="26"/>
    </row>
    <row r="51" spans="5:12" x14ac:dyDescent="0.25">
      <c r="F51" s="26"/>
      <c r="G51" s="26"/>
      <c r="H51" s="26"/>
      <c r="I51" s="26"/>
      <c r="J51" s="26"/>
      <c r="K51" s="26"/>
      <c r="L51" s="26"/>
    </row>
    <row r="52" spans="5:12" x14ac:dyDescent="0.25">
      <c r="E52" s="26"/>
    </row>
    <row r="53" spans="5:12" x14ac:dyDescent="0.25">
      <c r="E53" s="26"/>
    </row>
  </sheetData>
  <mergeCells count="11">
    <mergeCell ref="K21:K24"/>
    <mergeCell ref="N22:O22"/>
    <mergeCell ref="I23:I24"/>
    <mergeCell ref="A34:B34"/>
    <mergeCell ref="A1:B1"/>
    <mergeCell ref="C1:D1"/>
    <mergeCell ref="C2:D3"/>
    <mergeCell ref="A5:D5"/>
    <mergeCell ref="N11:O11"/>
    <mergeCell ref="G15:G19"/>
    <mergeCell ref="N15:O15"/>
  </mergeCells>
  <pageMargins left="0.75" right="0.75" top="1" bottom="1" header="0.5" footer="0.5"/>
  <pageSetup orientation="portrait" r:id="rId1"/>
  <headerFooter alignWithMargins="0">
    <oddFooter>&amp;R&amp;"Arial,Regular"&amp;08&amp;K7F7F7FAmgen Proprietary - Confidential   &amp;C&amp;"Calibri"&amp;11&amp;K000000&amp;"Calibri"&amp;11&amp;K000000&amp;"Arial,Regular"&amp;08&amp;K7F7F7FAmgen Proprietary - For Internal Use Only_x000D_&amp;1#&amp;"Calibri"&amp;10&amp;K000000 Non-Amgen</oddFooter>
    <evenFooter>&amp;R&amp;"Arial,Regular"&amp;08&amp;K7F7F7FAmgen Proprietary - Confidential   &amp;C&amp;"Arial,Regular"&amp;08&amp;K7F7F7FAmgen Proprietary - For Internal Use Only</evenFooter>
    <firstFooter>&amp;R&amp;"Arial,Regular"&amp;08&amp;K7F7F7FAmgen Proprietary - Confidential   &amp;C&amp;"Arial,Regular"&amp;08&amp;K7F7F7FAmgen Proprietary - For Internal Use Only</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79D29E-6878-42F8-BF57-D4CFC83B7AE2}">
  <sheetPr codeName="Sheet1"/>
  <dimension ref="A2:G43"/>
  <sheetViews>
    <sheetView zoomScale="110" zoomScaleNormal="110" workbookViewId="0">
      <selection activeCell="A37" sqref="A37:XFD43"/>
    </sheetView>
  </sheetViews>
  <sheetFormatPr defaultRowHeight="14.5" x14ac:dyDescent="0.35"/>
  <cols>
    <col min="2" max="2" width="23" bestFit="1" customWidth="1"/>
    <col min="3" max="3" width="104.54296875" customWidth="1"/>
    <col min="4" max="4" width="23.54296875" customWidth="1"/>
    <col min="5" max="6" width="17.453125" customWidth="1"/>
    <col min="7" max="7" width="59.36328125" style="737" bestFit="1" customWidth="1"/>
  </cols>
  <sheetData>
    <row r="2" spans="1:7" ht="45" customHeight="1" x14ac:dyDescent="0.35">
      <c r="A2" s="734" t="s">
        <v>695</v>
      </c>
      <c r="B2" s="734" t="s">
        <v>696</v>
      </c>
      <c r="C2" s="734" t="s">
        <v>697</v>
      </c>
      <c r="D2" s="734" t="s">
        <v>698</v>
      </c>
      <c r="E2" s="734" t="s">
        <v>333</v>
      </c>
      <c r="F2" s="734" t="s">
        <v>334</v>
      </c>
      <c r="G2" s="735" t="s">
        <v>699</v>
      </c>
    </row>
    <row r="3" spans="1:7" ht="58" hidden="1" x14ac:dyDescent="0.35">
      <c r="A3" s="401">
        <v>1</v>
      </c>
      <c r="B3" s="401" t="s">
        <v>700</v>
      </c>
      <c r="C3" s="403" t="s">
        <v>701</v>
      </c>
      <c r="D3" s="738">
        <v>44361</v>
      </c>
      <c r="E3" s="401" t="s">
        <v>702</v>
      </c>
      <c r="F3" s="401" t="s">
        <v>703</v>
      </c>
      <c r="G3" s="740" t="s">
        <v>704</v>
      </c>
    </row>
    <row r="4" spans="1:7" ht="29" hidden="1" x14ac:dyDescent="0.35">
      <c r="A4" s="401">
        <v>2</v>
      </c>
      <c r="B4" s="401" t="s">
        <v>700</v>
      </c>
      <c r="C4" s="404" t="s">
        <v>705</v>
      </c>
      <c r="D4" s="738">
        <v>44361</v>
      </c>
      <c r="E4" s="401" t="s">
        <v>433</v>
      </c>
      <c r="F4" s="401" t="s">
        <v>703</v>
      </c>
      <c r="G4" s="403" t="s">
        <v>706</v>
      </c>
    </row>
    <row r="5" spans="1:7" ht="29" hidden="1" x14ac:dyDescent="0.35">
      <c r="A5" s="401">
        <v>3</v>
      </c>
      <c r="B5" s="401" t="s">
        <v>700</v>
      </c>
      <c r="C5" s="698" t="s">
        <v>707</v>
      </c>
      <c r="D5" s="738">
        <v>44361</v>
      </c>
      <c r="E5" s="401" t="s">
        <v>477</v>
      </c>
      <c r="F5" s="401" t="s">
        <v>703</v>
      </c>
      <c r="G5" s="403" t="s">
        <v>708</v>
      </c>
    </row>
    <row r="6" spans="1:7" ht="58" hidden="1" x14ac:dyDescent="0.35">
      <c r="A6" s="401">
        <v>4</v>
      </c>
      <c r="B6" s="401" t="s">
        <v>700</v>
      </c>
      <c r="C6" s="404" t="s">
        <v>709</v>
      </c>
      <c r="D6" s="738">
        <v>44361</v>
      </c>
      <c r="E6" s="401" t="s">
        <v>477</v>
      </c>
      <c r="F6" s="401" t="s">
        <v>703</v>
      </c>
      <c r="G6" s="403" t="s">
        <v>710</v>
      </c>
    </row>
    <row r="7" spans="1:7" hidden="1" x14ac:dyDescent="0.35">
      <c r="A7" s="401">
        <v>5</v>
      </c>
      <c r="B7" s="401" t="s">
        <v>700</v>
      </c>
      <c r="C7" s="404" t="s">
        <v>711</v>
      </c>
      <c r="D7" s="738">
        <v>44361</v>
      </c>
      <c r="E7" s="401" t="s">
        <v>712</v>
      </c>
      <c r="F7" s="401" t="s">
        <v>703</v>
      </c>
      <c r="G7" s="404" t="s">
        <v>713</v>
      </c>
    </row>
    <row r="8" spans="1:7" ht="116" hidden="1" x14ac:dyDescent="0.35">
      <c r="A8" s="401">
        <v>6</v>
      </c>
      <c r="B8" s="401" t="s">
        <v>714</v>
      </c>
      <c r="C8" s="403" t="s">
        <v>715</v>
      </c>
      <c r="D8" s="738">
        <v>44384</v>
      </c>
      <c r="E8" s="401" t="s">
        <v>702</v>
      </c>
      <c r="F8" s="401" t="s">
        <v>703</v>
      </c>
      <c r="G8" s="403" t="s">
        <v>716</v>
      </c>
    </row>
    <row r="9" spans="1:7" ht="29" hidden="1" x14ac:dyDescent="0.35">
      <c r="A9" s="401">
        <v>7</v>
      </c>
      <c r="B9" s="401" t="s">
        <v>717</v>
      </c>
      <c r="C9" s="404" t="s">
        <v>705</v>
      </c>
      <c r="D9" s="738">
        <v>44384</v>
      </c>
      <c r="E9" s="401" t="s">
        <v>433</v>
      </c>
      <c r="F9" s="401" t="s">
        <v>703</v>
      </c>
      <c r="G9" s="403" t="s">
        <v>718</v>
      </c>
    </row>
    <row r="10" spans="1:7" ht="87" hidden="1" x14ac:dyDescent="0.35">
      <c r="A10" s="401">
        <v>8</v>
      </c>
      <c r="B10" s="401" t="s">
        <v>717</v>
      </c>
      <c r="C10" s="403" t="s">
        <v>719</v>
      </c>
      <c r="D10" s="738">
        <v>44384</v>
      </c>
      <c r="E10" s="401" t="s">
        <v>477</v>
      </c>
      <c r="F10" s="401" t="s">
        <v>703</v>
      </c>
      <c r="G10" s="403" t="s">
        <v>720</v>
      </c>
    </row>
    <row r="11" spans="1:7" ht="29" hidden="1" x14ac:dyDescent="0.35">
      <c r="A11" s="401">
        <v>9</v>
      </c>
      <c r="B11" s="401" t="s">
        <v>717</v>
      </c>
      <c r="C11" s="404" t="s">
        <v>709</v>
      </c>
      <c r="D11" s="738">
        <v>44384</v>
      </c>
      <c r="E11" s="401" t="s">
        <v>477</v>
      </c>
      <c r="F11" s="401" t="s">
        <v>703</v>
      </c>
      <c r="G11" s="403" t="s">
        <v>721</v>
      </c>
    </row>
    <row r="12" spans="1:7" hidden="1" x14ac:dyDescent="0.35">
      <c r="A12" s="401">
        <v>10</v>
      </c>
      <c r="B12" s="401" t="s">
        <v>717</v>
      </c>
      <c r="C12" s="404" t="s">
        <v>711</v>
      </c>
      <c r="D12" s="738">
        <v>44384</v>
      </c>
      <c r="E12" s="401" t="s">
        <v>712</v>
      </c>
      <c r="F12" s="401" t="s">
        <v>703</v>
      </c>
      <c r="G12" s="404" t="s">
        <v>722</v>
      </c>
    </row>
    <row r="13" spans="1:7" ht="29" hidden="1" x14ac:dyDescent="0.35">
      <c r="A13" s="401">
        <v>11</v>
      </c>
      <c r="B13" s="401" t="s">
        <v>723</v>
      </c>
      <c r="C13" s="403" t="s">
        <v>724</v>
      </c>
      <c r="D13" s="738">
        <v>44433</v>
      </c>
      <c r="E13" s="401" t="s">
        <v>702</v>
      </c>
      <c r="F13" s="401" t="s">
        <v>340</v>
      </c>
      <c r="G13" s="403"/>
    </row>
    <row r="14" spans="1:7" ht="29" hidden="1" x14ac:dyDescent="0.35">
      <c r="A14" s="401">
        <v>12</v>
      </c>
      <c r="B14" s="401" t="s">
        <v>723</v>
      </c>
      <c r="C14" s="403" t="s">
        <v>705</v>
      </c>
      <c r="D14" s="738">
        <v>44433</v>
      </c>
      <c r="E14" s="401" t="s">
        <v>433</v>
      </c>
      <c r="F14" s="401" t="s">
        <v>462</v>
      </c>
      <c r="G14" s="403" t="s">
        <v>718</v>
      </c>
    </row>
    <row r="15" spans="1:7" ht="43.5" hidden="1" x14ac:dyDescent="0.35">
      <c r="A15" s="401">
        <v>13</v>
      </c>
      <c r="B15" s="401" t="s">
        <v>723</v>
      </c>
      <c r="C15" s="403" t="s">
        <v>725</v>
      </c>
      <c r="D15" s="738">
        <v>44433</v>
      </c>
      <c r="E15" s="401" t="s">
        <v>477</v>
      </c>
      <c r="F15" s="401" t="s">
        <v>340</v>
      </c>
      <c r="G15" s="403" t="s">
        <v>726</v>
      </c>
    </row>
    <row r="16" spans="1:7" ht="29" hidden="1" x14ac:dyDescent="0.35">
      <c r="A16" s="401">
        <v>14</v>
      </c>
      <c r="B16" s="401" t="s">
        <v>723</v>
      </c>
      <c r="C16" s="403" t="s">
        <v>727</v>
      </c>
      <c r="D16" s="738">
        <v>44433</v>
      </c>
      <c r="E16" s="401" t="s">
        <v>477</v>
      </c>
      <c r="F16" s="401" t="s">
        <v>340</v>
      </c>
      <c r="G16" s="403" t="s">
        <v>728</v>
      </c>
    </row>
    <row r="17" spans="1:7" ht="29" hidden="1" x14ac:dyDescent="0.35">
      <c r="A17" s="401">
        <v>15</v>
      </c>
      <c r="B17" s="401" t="s">
        <v>723</v>
      </c>
      <c r="C17" s="403" t="s">
        <v>711</v>
      </c>
      <c r="D17" s="738">
        <v>44433</v>
      </c>
      <c r="E17" s="401" t="s">
        <v>712</v>
      </c>
      <c r="F17" s="401" t="s">
        <v>340</v>
      </c>
      <c r="G17" s="403" t="s">
        <v>729</v>
      </c>
    </row>
    <row r="18" spans="1:7" ht="87" hidden="1" x14ac:dyDescent="0.35">
      <c r="A18" s="131">
        <v>16</v>
      </c>
      <c r="B18" s="131" t="s">
        <v>730</v>
      </c>
      <c r="C18" s="369" t="s">
        <v>724</v>
      </c>
      <c r="D18" s="756">
        <v>44489</v>
      </c>
      <c r="E18" s="131" t="s">
        <v>702</v>
      </c>
      <c r="F18" s="131" t="s">
        <v>340</v>
      </c>
      <c r="G18" s="369" t="s">
        <v>731</v>
      </c>
    </row>
    <row r="19" spans="1:7" hidden="1" x14ac:dyDescent="0.35">
      <c r="A19" s="131">
        <v>17</v>
      </c>
      <c r="B19" s="131" t="s">
        <v>730</v>
      </c>
      <c r="C19" s="369" t="s">
        <v>705</v>
      </c>
      <c r="D19" s="756">
        <v>44489</v>
      </c>
      <c r="E19" s="131" t="s">
        <v>433</v>
      </c>
      <c r="F19" s="131" t="s">
        <v>340</v>
      </c>
      <c r="G19" s="365" t="s">
        <v>732</v>
      </c>
    </row>
    <row r="20" spans="1:7" ht="29" hidden="1" x14ac:dyDescent="0.35">
      <c r="A20" s="131">
        <v>18</v>
      </c>
      <c r="B20" s="131" t="s">
        <v>730</v>
      </c>
      <c r="C20" s="369" t="s">
        <v>725</v>
      </c>
      <c r="D20" s="756">
        <v>44489</v>
      </c>
      <c r="E20" s="131" t="s">
        <v>477</v>
      </c>
      <c r="F20" s="131" t="s">
        <v>340</v>
      </c>
      <c r="G20" s="365" t="s">
        <v>733</v>
      </c>
    </row>
    <row r="21" spans="1:7" hidden="1" x14ac:dyDescent="0.35">
      <c r="A21" s="131">
        <v>19</v>
      </c>
      <c r="B21" s="131" t="s">
        <v>730</v>
      </c>
      <c r="C21" s="369" t="s">
        <v>727</v>
      </c>
      <c r="D21" s="756">
        <v>44489</v>
      </c>
      <c r="E21" s="131" t="s">
        <v>477</v>
      </c>
      <c r="F21" s="131" t="s">
        <v>340</v>
      </c>
      <c r="G21" s="365" t="s">
        <v>734</v>
      </c>
    </row>
    <row r="22" spans="1:7" hidden="1" x14ac:dyDescent="0.35">
      <c r="A22" s="131">
        <v>20</v>
      </c>
      <c r="B22" s="131" t="s">
        <v>730</v>
      </c>
      <c r="C22" s="369" t="s">
        <v>711</v>
      </c>
      <c r="D22" s="756">
        <v>44489</v>
      </c>
      <c r="E22" s="131" t="s">
        <v>712</v>
      </c>
      <c r="F22" s="131" t="s">
        <v>340</v>
      </c>
      <c r="G22" s="365" t="s">
        <v>735</v>
      </c>
    </row>
    <row r="23" spans="1:7" hidden="1" x14ac:dyDescent="0.35">
      <c r="A23" s="131">
        <v>21</v>
      </c>
      <c r="B23" s="131" t="s">
        <v>730</v>
      </c>
      <c r="C23" s="365" t="s">
        <v>736</v>
      </c>
      <c r="D23" s="756">
        <v>44489</v>
      </c>
      <c r="E23" s="131" t="s">
        <v>737</v>
      </c>
      <c r="F23" s="131" t="s">
        <v>340</v>
      </c>
      <c r="G23" s="365"/>
    </row>
    <row r="24" spans="1:7" ht="39.65" hidden="1" customHeight="1" x14ac:dyDescent="0.35">
      <c r="A24" s="131">
        <v>22</v>
      </c>
      <c r="B24" s="131" t="s">
        <v>738</v>
      </c>
      <c r="C24" s="369" t="s">
        <v>739</v>
      </c>
      <c r="D24" s="756">
        <v>44553</v>
      </c>
      <c r="E24" s="131" t="s">
        <v>702</v>
      </c>
      <c r="F24" s="131" t="s">
        <v>703</v>
      </c>
      <c r="G24" s="369" t="s">
        <v>740</v>
      </c>
    </row>
    <row r="25" spans="1:7" ht="39.65" hidden="1" customHeight="1" x14ac:dyDescent="0.35">
      <c r="A25" s="131">
        <v>23</v>
      </c>
      <c r="B25" s="131" t="s">
        <v>738</v>
      </c>
      <c r="C25" s="369" t="s">
        <v>705</v>
      </c>
      <c r="D25" s="756">
        <v>44553</v>
      </c>
      <c r="E25" s="131" t="s">
        <v>433</v>
      </c>
      <c r="F25" s="131" t="s">
        <v>703</v>
      </c>
      <c r="G25" s="369" t="s">
        <v>741</v>
      </c>
    </row>
    <row r="26" spans="1:7" ht="29" hidden="1" x14ac:dyDescent="0.35">
      <c r="A26" s="131">
        <v>24</v>
      </c>
      <c r="B26" s="131" t="s">
        <v>738</v>
      </c>
      <c r="C26" s="369" t="s">
        <v>742</v>
      </c>
      <c r="D26" s="756">
        <v>44553</v>
      </c>
      <c r="E26" s="131" t="s">
        <v>477</v>
      </c>
      <c r="F26" s="131" t="s">
        <v>703</v>
      </c>
      <c r="G26" s="365" t="s">
        <v>743</v>
      </c>
    </row>
    <row r="27" spans="1:7" hidden="1" x14ac:dyDescent="0.35">
      <c r="A27" s="131">
        <v>25</v>
      </c>
      <c r="B27" s="131" t="s">
        <v>738</v>
      </c>
      <c r="C27" s="369" t="s">
        <v>727</v>
      </c>
      <c r="D27" s="756">
        <v>44553</v>
      </c>
      <c r="E27" s="131" t="s">
        <v>477</v>
      </c>
      <c r="F27" s="131" t="s">
        <v>703</v>
      </c>
      <c r="G27" s="365" t="s">
        <v>744</v>
      </c>
    </row>
    <row r="28" spans="1:7" hidden="1" x14ac:dyDescent="0.35">
      <c r="A28" s="131">
        <v>26</v>
      </c>
      <c r="B28" s="131" t="s">
        <v>738</v>
      </c>
      <c r="C28" s="369" t="s">
        <v>711</v>
      </c>
      <c r="D28" s="756">
        <v>44553</v>
      </c>
      <c r="E28" s="131" t="s">
        <v>745</v>
      </c>
      <c r="F28" s="131" t="s">
        <v>703</v>
      </c>
      <c r="G28" s="365" t="s">
        <v>743</v>
      </c>
    </row>
    <row r="29" spans="1:7" hidden="1" x14ac:dyDescent="0.35">
      <c r="A29" s="131">
        <v>27</v>
      </c>
      <c r="B29" s="131" t="s">
        <v>738</v>
      </c>
      <c r="C29" s="365" t="s">
        <v>736</v>
      </c>
      <c r="D29" s="756">
        <v>44553</v>
      </c>
      <c r="E29" s="131" t="s">
        <v>737</v>
      </c>
      <c r="F29" s="131" t="s">
        <v>703</v>
      </c>
      <c r="G29" s="736" t="s">
        <v>746</v>
      </c>
    </row>
    <row r="30" spans="1:7" ht="35" hidden="1" customHeight="1" x14ac:dyDescent="0.35">
      <c r="A30" s="126"/>
      <c r="B30" s="126"/>
      <c r="C30" s="369" t="s">
        <v>747</v>
      </c>
      <c r="D30" s="756">
        <v>44615</v>
      </c>
      <c r="E30" s="131" t="s">
        <v>702</v>
      </c>
      <c r="F30" s="131" t="s">
        <v>703</v>
      </c>
      <c r="G30" s="369" t="s">
        <v>748</v>
      </c>
    </row>
    <row r="31" spans="1:7" hidden="1" x14ac:dyDescent="0.35">
      <c r="A31" s="126"/>
      <c r="B31" s="126"/>
      <c r="C31" s="369" t="s">
        <v>705</v>
      </c>
      <c r="D31" s="756">
        <v>44615</v>
      </c>
      <c r="E31" s="131" t="s">
        <v>433</v>
      </c>
      <c r="F31" s="131" t="s">
        <v>703</v>
      </c>
      <c r="G31" s="369" t="s">
        <v>743</v>
      </c>
    </row>
    <row r="32" spans="1:7" ht="29" hidden="1" x14ac:dyDescent="0.35">
      <c r="A32" s="126"/>
      <c r="B32" s="126"/>
      <c r="C32" s="369" t="s">
        <v>749</v>
      </c>
      <c r="D32" s="756">
        <v>44615</v>
      </c>
      <c r="E32" s="131" t="s">
        <v>477</v>
      </c>
      <c r="F32" s="131" t="s">
        <v>703</v>
      </c>
      <c r="G32" s="365" t="s">
        <v>750</v>
      </c>
    </row>
    <row r="33" spans="1:7" hidden="1" x14ac:dyDescent="0.35">
      <c r="A33" s="126"/>
      <c r="B33" s="126"/>
      <c r="C33" s="369" t="s">
        <v>727</v>
      </c>
      <c r="D33" s="756">
        <v>44615</v>
      </c>
      <c r="E33" s="131" t="s">
        <v>477</v>
      </c>
      <c r="F33" s="131" t="s">
        <v>703</v>
      </c>
      <c r="G33" s="365" t="s">
        <v>743</v>
      </c>
    </row>
    <row r="34" spans="1:7" hidden="1" x14ac:dyDescent="0.35">
      <c r="A34" s="126"/>
      <c r="B34" s="126"/>
      <c r="C34" s="369" t="s">
        <v>711</v>
      </c>
      <c r="D34" s="756">
        <v>44615</v>
      </c>
      <c r="E34" s="131" t="s">
        <v>745</v>
      </c>
      <c r="F34" s="131" t="s">
        <v>703</v>
      </c>
      <c r="G34" s="365" t="s">
        <v>751</v>
      </c>
    </row>
    <row r="35" spans="1:7" hidden="1" x14ac:dyDescent="0.35">
      <c r="A35" s="126"/>
      <c r="B35" s="126"/>
      <c r="C35" s="365" t="s">
        <v>736</v>
      </c>
      <c r="D35" s="756">
        <v>44615</v>
      </c>
      <c r="E35" s="131" t="s">
        <v>737</v>
      </c>
      <c r="F35" s="131" t="s">
        <v>703</v>
      </c>
      <c r="G35" s="736" t="s">
        <v>752</v>
      </c>
    </row>
    <row r="36" spans="1:7" hidden="1" x14ac:dyDescent="0.35">
      <c r="A36" s="126"/>
      <c r="B36" s="126"/>
      <c r="C36" s="126" t="s">
        <v>753</v>
      </c>
      <c r="D36" s="126"/>
      <c r="E36" s="126"/>
      <c r="F36" s="131" t="s">
        <v>703</v>
      </c>
      <c r="G36" s="736" t="s">
        <v>754</v>
      </c>
    </row>
    <row r="37" spans="1:7" ht="87" x14ac:dyDescent="0.35">
      <c r="A37" s="126">
        <v>1</v>
      </c>
      <c r="B37" s="126" t="s">
        <v>755</v>
      </c>
      <c r="C37" s="369" t="s">
        <v>756</v>
      </c>
      <c r="D37" s="756">
        <v>44685</v>
      </c>
      <c r="E37" s="126" t="s">
        <v>757</v>
      </c>
      <c r="F37" s="126" t="s">
        <v>340</v>
      </c>
      <c r="G37" s="904" t="s">
        <v>758</v>
      </c>
    </row>
    <row r="38" spans="1:7" x14ac:dyDescent="0.35">
      <c r="A38" s="126">
        <v>2</v>
      </c>
      <c r="B38" s="126" t="s">
        <v>755</v>
      </c>
      <c r="C38" s="369" t="s">
        <v>705</v>
      </c>
      <c r="D38" s="756">
        <v>44685</v>
      </c>
      <c r="E38" s="126" t="s">
        <v>433</v>
      </c>
      <c r="F38" s="126" t="s">
        <v>340</v>
      </c>
      <c r="G38" s="736"/>
    </row>
    <row r="39" spans="1:7" ht="29" x14ac:dyDescent="0.35">
      <c r="A39" s="126">
        <v>3</v>
      </c>
      <c r="B39" s="126" t="s">
        <v>755</v>
      </c>
      <c r="C39" s="369" t="s">
        <v>759</v>
      </c>
      <c r="D39" s="756">
        <v>44685</v>
      </c>
      <c r="E39" s="126" t="s">
        <v>477</v>
      </c>
      <c r="F39" s="126" t="s">
        <v>340</v>
      </c>
      <c r="G39" s="736"/>
    </row>
    <row r="40" spans="1:7" ht="29" x14ac:dyDescent="0.35">
      <c r="A40" s="126">
        <v>4</v>
      </c>
      <c r="B40" s="126" t="s">
        <v>755</v>
      </c>
      <c r="C40" s="369" t="s">
        <v>727</v>
      </c>
      <c r="D40" s="756">
        <v>44685</v>
      </c>
      <c r="E40" s="126" t="s">
        <v>477</v>
      </c>
      <c r="F40" s="126" t="s">
        <v>388</v>
      </c>
      <c r="G40" s="904" t="s">
        <v>760</v>
      </c>
    </row>
    <row r="41" spans="1:7" x14ac:dyDescent="0.35">
      <c r="A41" s="126">
        <v>5</v>
      </c>
      <c r="B41" s="126" t="s">
        <v>755</v>
      </c>
      <c r="C41" s="369" t="s">
        <v>711</v>
      </c>
      <c r="D41" s="756">
        <v>44685</v>
      </c>
      <c r="E41" s="126" t="s">
        <v>761</v>
      </c>
      <c r="F41" s="126" t="s">
        <v>340</v>
      </c>
      <c r="G41" s="736" t="s">
        <v>762</v>
      </c>
    </row>
    <row r="42" spans="1:7" x14ac:dyDescent="0.35">
      <c r="A42" s="126">
        <v>6</v>
      </c>
      <c r="B42" s="126" t="s">
        <v>755</v>
      </c>
      <c r="C42" s="365" t="s">
        <v>736</v>
      </c>
      <c r="D42" s="756">
        <v>44685</v>
      </c>
      <c r="E42" s="126" t="s">
        <v>737</v>
      </c>
      <c r="F42" s="126" t="s">
        <v>340</v>
      </c>
      <c r="G42" s="736"/>
    </row>
    <row r="43" spans="1:7" x14ac:dyDescent="0.35">
      <c r="A43" s="126">
        <v>7</v>
      </c>
      <c r="B43" s="126" t="s">
        <v>755</v>
      </c>
      <c r="C43" s="126" t="s">
        <v>763</v>
      </c>
      <c r="D43" s="756">
        <v>44685</v>
      </c>
      <c r="E43" s="126" t="s">
        <v>764</v>
      </c>
      <c r="F43" s="126"/>
      <c r="G43" s="736"/>
    </row>
  </sheetData>
  <phoneticPr fontId="62" type="noConversion"/>
  <pageMargins left="0.7" right="0.7" top="0.75" bottom="0.75" header="0.3" footer="0.3"/>
  <pageSetup paperSize="9" orientation="portrait" r:id="rId1"/>
  <headerFooter>
    <oddFooter>&amp;C&amp;1#&amp;"Calibri"&amp;10&amp;K000000 Non-Amgen</oddFooter>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2:P1636"/>
  <sheetViews>
    <sheetView tabSelected="1" zoomScaleNormal="100" workbookViewId="0">
      <selection activeCell="C1512" sqref="C1512"/>
    </sheetView>
  </sheetViews>
  <sheetFormatPr defaultRowHeight="15" customHeight="1" x14ac:dyDescent="0.35"/>
  <cols>
    <col min="1" max="1" width="2.54296875" customWidth="1"/>
    <col min="2" max="2" width="8.54296875" hidden="1" customWidth="1"/>
    <col min="3" max="3" width="78.54296875" style="648" customWidth="1"/>
    <col min="4" max="4" width="15.54296875" style="306" customWidth="1"/>
    <col min="5" max="5" width="18.453125" style="130" customWidth="1"/>
    <col min="6" max="6" width="10.54296875" style="311" customWidth="1"/>
    <col min="7" max="7" width="11.90625" style="311" customWidth="1"/>
    <col min="8" max="8" width="12.453125" style="311" bestFit="1" customWidth="1"/>
    <col min="9" max="9" width="51.453125" style="649" customWidth="1"/>
    <col min="10" max="10" width="25.453125" style="70" customWidth="1"/>
    <col min="13" max="13" width="22.54296875" bestFit="1" customWidth="1"/>
    <col min="14" max="14" width="17.453125" bestFit="1" customWidth="1"/>
    <col min="15" max="15" width="2.54296875" customWidth="1"/>
    <col min="16" max="16" width="23.54296875" bestFit="1" customWidth="1"/>
    <col min="17" max="18" width="17.453125" bestFit="1" customWidth="1"/>
  </cols>
  <sheetData>
    <row r="2" spans="2:10" ht="87.65" customHeight="1" x14ac:dyDescent="0.35">
      <c r="B2" s="120" t="s">
        <v>765</v>
      </c>
      <c r="C2" s="615" t="s">
        <v>766</v>
      </c>
      <c r="D2" s="300" t="s">
        <v>767</v>
      </c>
      <c r="E2" s="307" t="s">
        <v>768</v>
      </c>
      <c r="F2" s="309" t="s">
        <v>480</v>
      </c>
      <c r="G2" s="309" t="s">
        <v>769</v>
      </c>
      <c r="H2" s="309" t="s">
        <v>334</v>
      </c>
      <c r="I2" s="616" t="s">
        <v>770</v>
      </c>
      <c r="J2" s="68" t="s">
        <v>771</v>
      </c>
    </row>
    <row r="3" spans="2:10" ht="15" hidden="1" customHeight="1" x14ac:dyDescent="0.35">
      <c r="B3" s="124">
        <v>1</v>
      </c>
      <c r="C3" s="617" t="s">
        <v>772</v>
      </c>
      <c r="D3" s="301">
        <v>43829</v>
      </c>
      <c r="E3" s="121" t="s">
        <v>773</v>
      </c>
      <c r="F3" s="237">
        <v>43832</v>
      </c>
      <c r="G3" s="237">
        <f>Table1[[#This Row],[Start Date]]</f>
        <v>43832</v>
      </c>
      <c r="H3" s="237" t="s">
        <v>340</v>
      </c>
      <c r="I3" s="618"/>
      <c r="J3" s="69" t="s">
        <v>774</v>
      </c>
    </row>
    <row r="4" spans="2:10" ht="15" hidden="1" customHeight="1" x14ac:dyDescent="0.35">
      <c r="B4" s="124">
        <v>2</v>
      </c>
      <c r="C4" s="617" t="s">
        <v>775</v>
      </c>
      <c r="D4" s="301">
        <v>43829</v>
      </c>
      <c r="E4" s="121" t="s">
        <v>418</v>
      </c>
      <c r="F4" s="237">
        <v>43832</v>
      </c>
      <c r="G4" s="237">
        <f>Table1[[#This Row],[Start Date]]</f>
        <v>43832</v>
      </c>
      <c r="H4" s="237" t="s">
        <v>340</v>
      </c>
      <c r="I4" s="618"/>
      <c r="J4" s="23" t="str">
        <f>Table1[[#This Row],[Routine Activities (PM/ PMCAL, CM, Genba, Isotanker, Material Readiness, Sampling)]]</f>
        <v>N2 loading</v>
      </c>
    </row>
    <row r="5" spans="2:10" ht="15" hidden="1" customHeight="1" x14ac:dyDescent="0.35">
      <c r="B5" s="124">
        <v>3</v>
      </c>
      <c r="C5" s="617" t="s">
        <v>776</v>
      </c>
      <c r="D5" s="301">
        <v>43829</v>
      </c>
      <c r="E5" s="121" t="s">
        <v>433</v>
      </c>
      <c r="F5" s="237">
        <v>43833</v>
      </c>
      <c r="G5" s="237">
        <f>Table1[[#This Row],[Start Date]]</f>
        <v>43833</v>
      </c>
      <c r="H5" s="237" t="s">
        <v>340</v>
      </c>
      <c r="I5" s="618"/>
      <c r="J5" s="23" t="s">
        <v>777</v>
      </c>
    </row>
    <row r="6" spans="2:10" ht="15" hidden="1" customHeight="1" x14ac:dyDescent="0.35">
      <c r="B6" s="124">
        <v>4</v>
      </c>
      <c r="C6" s="617" t="s">
        <v>778</v>
      </c>
      <c r="D6" s="301">
        <v>43836</v>
      </c>
      <c r="E6" s="121" t="s">
        <v>418</v>
      </c>
      <c r="F6" s="237">
        <v>43836</v>
      </c>
      <c r="G6" s="237">
        <f>Table1[[#This Row],[Start Date]]</f>
        <v>43836</v>
      </c>
      <c r="H6" s="237" t="s">
        <v>340</v>
      </c>
      <c r="I6" s="618"/>
      <c r="J6" s="23" t="str">
        <f>Table1[[#This Row],[Routine Activities (PM/ PMCAL, CM, Genba, Isotanker, Material Readiness, Sampling)]]</f>
        <v>Methanol loading</v>
      </c>
    </row>
    <row r="7" spans="2:10" ht="15" hidden="1" customHeight="1" x14ac:dyDescent="0.35">
      <c r="B7" s="124">
        <v>5</v>
      </c>
      <c r="C7" s="619" t="s">
        <v>779</v>
      </c>
      <c r="D7" s="301">
        <v>43836</v>
      </c>
      <c r="E7" s="121" t="s">
        <v>780</v>
      </c>
      <c r="F7" s="237">
        <v>43838</v>
      </c>
      <c r="G7" s="237">
        <f>Table1[[#This Row],[Start Date]]</f>
        <v>43838</v>
      </c>
      <c r="H7" s="237" t="s">
        <v>340</v>
      </c>
      <c r="I7" s="618" t="s">
        <v>781</v>
      </c>
      <c r="J7" s="23" t="str">
        <f>Table1[[#This Row],[Routine Activities (PM/ PMCAL, CM, Genba, Isotanker, Material Readiness, Sampling)]]</f>
        <v>MES OS patching</v>
      </c>
    </row>
    <row r="8" spans="2:10" ht="15" hidden="1" customHeight="1" x14ac:dyDescent="0.35">
      <c r="B8" s="124">
        <v>6</v>
      </c>
      <c r="C8" s="620" t="s">
        <v>782</v>
      </c>
      <c r="D8" s="301">
        <v>43836</v>
      </c>
      <c r="E8" s="122" t="s">
        <v>345</v>
      </c>
      <c r="F8" s="251">
        <v>43839</v>
      </c>
      <c r="G8" s="251">
        <f>Table1[[#This Row],[Start Date]]</f>
        <v>43839</v>
      </c>
      <c r="H8" s="251" t="s">
        <v>340</v>
      </c>
      <c r="I8" s="621"/>
      <c r="J8" s="85" t="s">
        <v>783</v>
      </c>
    </row>
    <row r="9" spans="2:10" ht="15" hidden="1" customHeight="1" x14ac:dyDescent="0.35">
      <c r="B9" s="124">
        <v>7</v>
      </c>
      <c r="C9" s="617" t="s">
        <v>784</v>
      </c>
      <c r="D9" s="301">
        <v>43836</v>
      </c>
      <c r="E9" s="121" t="s">
        <v>785</v>
      </c>
      <c r="F9" s="237">
        <v>43840</v>
      </c>
      <c r="G9" s="237">
        <f>Table1[[#This Row],[Start Date]]</f>
        <v>43840</v>
      </c>
      <c r="H9" s="237" t="s">
        <v>340</v>
      </c>
      <c r="I9" s="618"/>
      <c r="J9" s="69" t="s">
        <v>786</v>
      </c>
    </row>
    <row r="10" spans="2:10" ht="15" hidden="1" customHeight="1" x14ac:dyDescent="0.35">
      <c r="B10" s="124">
        <v>8</v>
      </c>
      <c r="C10" s="617" t="s">
        <v>787</v>
      </c>
      <c r="D10" s="301">
        <v>43836</v>
      </c>
      <c r="E10" s="121" t="s">
        <v>785</v>
      </c>
      <c r="F10" s="237">
        <v>43840</v>
      </c>
      <c r="G10" s="237">
        <f>Table1[[#This Row],[Start Date]]</f>
        <v>43840</v>
      </c>
      <c r="H10" s="237" t="s">
        <v>340</v>
      </c>
      <c r="I10" s="618"/>
      <c r="J10" s="69" t="str">
        <f>Table1[[#This Row],[Routine Activities (PM/ PMCAL, CM, Genba, Isotanker, Material Readiness, Sampling)]]</f>
        <v>Patheon DS pack-out</v>
      </c>
    </row>
    <row r="11" spans="2:10" ht="15" hidden="1" customHeight="1" x14ac:dyDescent="0.35">
      <c r="B11" s="124">
        <v>9</v>
      </c>
      <c r="C11" s="619" t="s">
        <v>788</v>
      </c>
      <c r="D11" s="301">
        <v>43836</v>
      </c>
      <c r="E11" s="121" t="s">
        <v>789</v>
      </c>
      <c r="F11" s="237">
        <v>43840</v>
      </c>
      <c r="G11" s="237">
        <f>Table1[[#This Row],[Start Date]]</f>
        <v>43840</v>
      </c>
      <c r="H11" s="237" t="s">
        <v>340</v>
      </c>
      <c r="I11" s="618"/>
      <c r="J11" s="69" t="s">
        <v>790</v>
      </c>
    </row>
    <row r="12" spans="2:10" ht="15" hidden="1" customHeight="1" x14ac:dyDescent="0.35">
      <c r="B12" s="124">
        <v>10</v>
      </c>
      <c r="C12" s="619" t="s">
        <v>791</v>
      </c>
      <c r="D12" s="301">
        <v>43836</v>
      </c>
      <c r="E12" s="121" t="s">
        <v>785</v>
      </c>
      <c r="F12" s="237">
        <v>43840</v>
      </c>
      <c r="G12" s="237">
        <f>Table1[[#This Row],[Start Date]]</f>
        <v>43840</v>
      </c>
      <c r="H12" s="237" t="s">
        <v>340</v>
      </c>
      <c r="I12" s="618"/>
      <c r="J12" s="69" t="s">
        <v>439</v>
      </c>
    </row>
    <row r="13" spans="2:10" ht="15" hidden="1" customHeight="1" x14ac:dyDescent="0.35">
      <c r="B13" s="124">
        <v>11</v>
      </c>
      <c r="C13" s="617" t="s">
        <v>792</v>
      </c>
      <c r="D13" s="301">
        <v>43836</v>
      </c>
      <c r="E13" s="121" t="s">
        <v>433</v>
      </c>
      <c r="F13" s="237">
        <v>43841</v>
      </c>
      <c r="G13" s="237">
        <f>Table1[[#This Row],[Start Date]]</f>
        <v>43841</v>
      </c>
      <c r="H13" s="237" t="s">
        <v>340</v>
      </c>
      <c r="I13" s="618" t="s">
        <v>793</v>
      </c>
      <c r="J13" s="23" t="str">
        <f>Table1[[#This Row],[Routine Activities (PM/ PMCAL, CM, Genba, Isotanker, Material Readiness, Sampling)]]</f>
        <v>Waste offloading - Aq</v>
      </c>
    </row>
    <row r="14" spans="2:10" ht="15" hidden="1" customHeight="1" x14ac:dyDescent="0.35">
      <c r="B14" s="124">
        <v>12</v>
      </c>
      <c r="C14" s="619" t="s">
        <v>775</v>
      </c>
      <c r="D14" s="302">
        <v>43843</v>
      </c>
      <c r="E14" s="121" t="s">
        <v>418</v>
      </c>
      <c r="F14" s="237">
        <v>43843</v>
      </c>
      <c r="G14" s="237">
        <f>Table1[[#This Row],[Start Date]]</f>
        <v>43843</v>
      </c>
      <c r="H14" s="251" t="s">
        <v>340</v>
      </c>
      <c r="I14" s="618"/>
      <c r="J14" s="69" t="str">
        <f>Table1[[#This Row],[Routine Activities (PM/ PMCAL, CM, Genba, Isotanker, Material Readiness, Sampling)]]</f>
        <v>N2 loading</v>
      </c>
    </row>
    <row r="15" spans="2:10" ht="15" hidden="1" customHeight="1" x14ac:dyDescent="0.35">
      <c r="B15" s="124">
        <v>13</v>
      </c>
      <c r="C15" s="619" t="s">
        <v>794</v>
      </c>
      <c r="D15" s="302">
        <v>43843</v>
      </c>
      <c r="E15" s="121" t="s">
        <v>345</v>
      </c>
      <c r="F15" s="237">
        <v>43843</v>
      </c>
      <c r="G15" s="237">
        <v>43861</v>
      </c>
      <c r="H15" s="251" t="s">
        <v>340</v>
      </c>
      <c r="I15" s="618" t="s">
        <v>795</v>
      </c>
      <c r="J15" s="69" t="s">
        <v>796</v>
      </c>
    </row>
    <row r="16" spans="2:10" ht="15" hidden="1" customHeight="1" x14ac:dyDescent="0.35">
      <c r="B16" s="124">
        <v>14</v>
      </c>
      <c r="C16" s="619" t="s">
        <v>797</v>
      </c>
      <c r="D16" s="302">
        <v>43843</v>
      </c>
      <c r="E16" s="121" t="s">
        <v>773</v>
      </c>
      <c r="F16" s="237">
        <v>43843</v>
      </c>
      <c r="G16" s="237">
        <f>Table1[[#This Row],[Start Date]]</f>
        <v>43843</v>
      </c>
      <c r="H16" s="237" t="s">
        <v>340</v>
      </c>
      <c r="I16" s="618" t="s">
        <v>798</v>
      </c>
      <c r="J16" s="69" t="s">
        <v>799</v>
      </c>
    </row>
    <row r="17" spans="2:16" ht="15" hidden="1" customHeight="1" x14ac:dyDescent="0.35">
      <c r="B17" s="124">
        <v>15</v>
      </c>
      <c r="C17" s="619" t="s">
        <v>800</v>
      </c>
      <c r="D17" s="302">
        <v>43843</v>
      </c>
      <c r="E17" s="121" t="s">
        <v>345</v>
      </c>
      <c r="F17" s="237">
        <v>43843</v>
      </c>
      <c r="G17" s="237">
        <f>Table1[[#This Row],[Start Date]]</f>
        <v>43843</v>
      </c>
      <c r="H17" s="237" t="s">
        <v>340</v>
      </c>
      <c r="I17" s="618"/>
      <c r="J17" s="69" t="s">
        <v>801</v>
      </c>
    </row>
    <row r="18" spans="2:16" ht="15" hidden="1" customHeight="1" x14ac:dyDescent="0.35">
      <c r="B18" s="124">
        <v>16</v>
      </c>
      <c r="C18" s="619" t="s">
        <v>802</v>
      </c>
      <c r="D18" s="302">
        <v>43843</v>
      </c>
      <c r="E18" s="121" t="s">
        <v>345</v>
      </c>
      <c r="F18" s="237">
        <v>43843</v>
      </c>
      <c r="G18" s="237">
        <f>Table1[[#This Row],[Start Date]]</f>
        <v>43843</v>
      </c>
      <c r="H18" s="237" t="s">
        <v>340</v>
      </c>
      <c r="I18" s="618"/>
      <c r="J18" s="69" t="s">
        <v>803</v>
      </c>
    </row>
    <row r="19" spans="2:16" ht="15" hidden="1" customHeight="1" x14ac:dyDescent="0.35">
      <c r="B19" s="124">
        <v>17</v>
      </c>
      <c r="C19" s="619" t="s">
        <v>804</v>
      </c>
      <c r="D19" s="302">
        <v>43843</v>
      </c>
      <c r="E19" s="121" t="s">
        <v>345</v>
      </c>
      <c r="F19" s="237">
        <v>43843</v>
      </c>
      <c r="G19" s="237">
        <f>Table1[[#This Row],[Start Date]]</f>
        <v>43843</v>
      </c>
      <c r="H19" s="237" t="s">
        <v>340</v>
      </c>
      <c r="I19" s="618"/>
      <c r="J19" s="69" t="s">
        <v>803</v>
      </c>
    </row>
    <row r="20" spans="2:16" ht="15" hidden="1" customHeight="1" x14ac:dyDescent="0.35">
      <c r="B20" s="124">
        <v>18</v>
      </c>
      <c r="C20" s="619" t="s">
        <v>805</v>
      </c>
      <c r="D20" s="302">
        <v>43843</v>
      </c>
      <c r="E20" s="121" t="s">
        <v>345</v>
      </c>
      <c r="F20" s="237">
        <v>43843</v>
      </c>
      <c r="G20" s="237">
        <f>Table1[[#This Row],[Start Date]]</f>
        <v>43843</v>
      </c>
      <c r="H20" s="237" t="s">
        <v>340</v>
      </c>
      <c r="I20" s="618"/>
      <c r="J20" s="69" t="s">
        <v>806</v>
      </c>
    </row>
    <row r="21" spans="2:16" ht="15" hidden="1" customHeight="1" x14ac:dyDescent="0.35">
      <c r="B21" s="124">
        <v>19</v>
      </c>
      <c r="C21" s="619" t="s">
        <v>807</v>
      </c>
      <c r="D21" s="302">
        <v>43843</v>
      </c>
      <c r="E21" s="121" t="s">
        <v>345</v>
      </c>
      <c r="F21" s="237">
        <v>43843</v>
      </c>
      <c r="G21" s="237">
        <f>Table1[[#This Row],[Start Date]]</f>
        <v>43843</v>
      </c>
      <c r="H21" s="237" t="s">
        <v>340</v>
      </c>
      <c r="I21" s="618"/>
      <c r="J21" s="69" t="s">
        <v>803</v>
      </c>
    </row>
    <row r="22" spans="2:16" ht="15" hidden="1" customHeight="1" x14ac:dyDescent="0.35">
      <c r="B22" s="124">
        <v>20</v>
      </c>
      <c r="C22" s="619" t="s">
        <v>808</v>
      </c>
      <c r="D22" s="302">
        <v>43843</v>
      </c>
      <c r="E22" s="121" t="s">
        <v>345</v>
      </c>
      <c r="F22" s="237">
        <v>43843</v>
      </c>
      <c r="G22" s="237">
        <f>Table1[[#This Row],[Start Date]]</f>
        <v>43843</v>
      </c>
      <c r="H22" s="237" t="s">
        <v>340</v>
      </c>
      <c r="I22" s="618" t="s">
        <v>809</v>
      </c>
      <c r="J22" s="69" t="s">
        <v>810</v>
      </c>
    </row>
    <row r="23" spans="2:16" ht="15" hidden="1" customHeight="1" x14ac:dyDescent="0.35">
      <c r="B23" s="124">
        <v>21</v>
      </c>
      <c r="C23" s="619" t="s">
        <v>811</v>
      </c>
      <c r="D23" s="302">
        <v>43843</v>
      </c>
      <c r="E23" s="121" t="s">
        <v>785</v>
      </c>
      <c r="F23" s="237">
        <v>43844</v>
      </c>
      <c r="G23" s="237">
        <f>Table1[[#This Row],[Start Date]]</f>
        <v>43844</v>
      </c>
      <c r="H23" s="251" t="s">
        <v>340</v>
      </c>
      <c r="I23" s="618"/>
      <c r="J23" s="69" t="s">
        <v>812</v>
      </c>
    </row>
    <row r="24" spans="2:16" ht="15" hidden="1" customHeight="1" x14ac:dyDescent="0.35">
      <c r="B24" s="124">
        <v>22</v>
      </c>
      <c r="C24" s="619" t="s">
        <v>813</v>
      </c>
      <c r="D24" s="302">
        <v>43843</v>
      </c>
      <c r="E24" s="121" t="s">
        <v>345</v>
      </c>
      <c r="F24" s="237">
        <v>43844</v>
      </c>
      <c r="G24" s="237">
        <f>Table1[[#This Row],[Start Date]]</f>
        <v>43844</v>
      </c>
      <c r="H24" s="237" t="s">
        <v>340</v>
      </c>
      <c r="I24" s="618"/>
      <c r="J24" s="69" t="s">
        <v>814</v>
      </c>
    </row>
    <row r="25" spans="2:16" ht="15" hidden="1" customHeight="1" x14ac:dyDescent="0.35">
      <c r="B25" s="124">
        <v>23</v>
      </c>
      <c r="C25" s="620" t="s">
        <v>815</v>
      </c>
      <c r="D25" s="302">
        <v>43843</v>
      </c>
      <c r="E25" s="122" t="s">
        <v>345</v>
      </c>
      <c r="F25" s="251">
        <v>43844</v>
      </c>
      <c r="G25" s="251">
        <f>Table1[[#This Row],[Start Date]]</f>
        <v>43844</v>
      </c>
      <c r="H25" s="251" t="s">
        <v>340</v>
      </c>
      <c r="I25" s="621"/>
      <c r="J25" s="85" t="s">
        <v>816</v>
      </c>
    </row>
    <row r="26" spans="2:16" ht="15" hidden="1" customHeight="1" x14ac:dyDescent="0.35">
      <c r="B26" s="124">
        <v>24</v>
      </c>
      <c r="C26" s="619" t="s">
        <v>817</v>
      </c>
      <c r="D26" s="302">
        <v>43843</v>
      </c>
      <c r="E26" s="121" t="s">
        <v>345</v>
      </c>
      <c r="F26" s="237">
        <v>43845</v>
      </c>
      <c r="G26" s="237">
        <f>Table1[[#This Row],[Start Date]]</f>
        <v>43845</v>
      </c>
      <c r="H26" s="251" t="s">
        <v>340</v>
      </c>
      <c r="I26" s="618"/>
      <c r="J26" s="69" t="s">
        <v>818</v>
      </c>
    </row>
    <row r="27" spans="2:16" ht="15" hidden="1" customHeight="1" x14ac:dyDescent="0.35">
      <c r="B27" s="124">
        <v>25</v>
      </c>
      <c r="C27" s="619" t="s">
        <v>819</v>
      </c>
      <c r="D27" s="302">
        <v>43843</v>
      </c>
      <c r="E27" s="121" t="s">
        <v>345</v>
      </c>
      <c r="F27" s="237">
        <v>43845</v>
      </c>
      <c r="G27" s="237">
        <f>Table1[[#This Row],[Start Date]]</f>
        <v>43845</v>
      </c>
      <c r="H27" s="251" t="s">
        <v>340</v>
      </c>
      <c r="I27" s="618"/>
      <c r="J27" s="69" t="s">
        <v>818</v>
      </c>
    </row>
    <row r="28" spans="2:16" ht="15" hidden="1" customHeight="1" x14ac:dyDescent="0.35">
      <c r="B28" s="124">
        <v>26</v>
      </c>
      <c r="C28" s="619" t="s">
        <v>820</v>
      </c>
      <c r="D28" s="302">
        <v>43843</v>
      </c>
      <c r="E28" s="121" t="s">
        <v>345</v>
      </c>
      <c r="F28" s="237">
        <v>43845</v>
      </c>
      <c r="G28" s="237">
        <f>Table1[[#This Row],[Start Date]]</f>
        <v>43845</v>
      </c>
      <c r="H28" s="251" t="s">
        <v>340</v>
      </c>
      <c r="I28" s="618"/>
      <c r="J28" s="69" t="s">
        <v>818</v>
      </c>
    </row>
    <row r="29" spans="2:16" ht="15" hidden="1" customHeight="1" x14ac:dyDescent="0.35">
      <c r="B29" s="124">
        <v>27</v>
      </c>
      <c r="C29" s="619" t="s">
        <v>821</v>
      </c>
      <c r="D29" s="302">
        <v>43843</v>
      </c>
      <c r="E29" s="121" t="s">
        <v>345</v>
      </c>
      <c r="F29" s="237">
        <v>43845</v>
      </c>
      <c r="G29" s="237">
        <f>Table1[[#This Row],[Start Date]]</f>
        <v>43845</v>
      </c>
      <c r="H29" s="251" t="s">
        <v>340</v>
      </c>
      <c r="I29" s="618"/>
      <c r="J29" s="69" t="s">
        <v>818</v>
      </c>
      <c r="P29" s="1"/>
    </row>
    <row r="30" spans="2:16" ht="15" hidden="1" customHeight="1" x14ac:dyDescent="0.35">
      <c r="B30" s="124">
        <v>28</v>
      </c>
      <c r="C30" s="619" t="s">
        <v>822</v>
      </c>
      <c r="D30" s="302">
        <v>43843</v>
      </c>
      <c r="E30" s="121" t="s">
        <v>345</v>
      </c>
      <c r="F30" s="237">
        <v>43845</v>
      </c>
      <c r="G30" s="237">
        <f>Table1[[#This Row],[Start Date]]</f>
        <v>43845</v>
      </c>
      <c r="H30" s="251" t="s">
        <v>340</v>
      </c>
      <c r="I30" s="618"/>
      <c r="J30" s="69" t="s">
        <v>818</v>
      </c>
      <c r="P30" s="1"/>
    </row>
    <row r="31" spans="2:16" ht="15" hidden="1" customHeight="1" x14ac:dyDescent="0.35">
      <c r="B31" s="124">
        <v>29</v>
      </c>
      <c r="C31" s="619" t="s">
        <v>823</v>
      </c>
      <c r="D31" s="302">
        <v>43843</v>
      </c>
      <c r="E31" s="121" t="s">
        <v>345</v>
      </c>
      <c r="F31" s="237">
        <v>43845</v>
      </c>
      <c r="G31" s="237">
        <f>Table1[[#This Row],[Start Date]]</f>
        <v>43845</v>
      </c>
      <c r="H31" s="251" t="s">
        <v>340</v>
      </c>
      <c r="I31" s="618"/>
      <c r="J31" s="69" t="s">
        <v>818</v>
      </c>
      <c r="P31" s="1"/>
    </row>
    <row r="32" spans="2:16" ht="15" hidden="1" customHeight="1" x14ac:dyDescent="0.35">
      <c r="B32" s="124">
        <v>30</v>
      </c>
      <c r="C32" s="619" t="s">
        <v>824</v>
      </c>
      <c r="D32" s="302">
        <v>43843</v>
      </c>
      <c r="E32" s="121" t="s">
        <v>345</v>
      </c>
      <c r="F32" s="237">
        <v>43845</v>
      </c>
      <c r="G32" s="237">
        <f>Table1[[#This Row],[Start Date]]</f>
        <v>43845</v>
      </c>
      <c r="H32" s="251" t="s">
        <v>340</v>
      </c>
      <c r="I32" s="618"/>
      <c r="J32" s="69" t="s">
        <v>818</v>
      </c>
      <c r="P32" s="1"/>
    </row>
    <row r="33" spans="2:16" ht="15" hidden="1" customHeight="1" x14ac:dyDescent="0.35">
      <c r="B33" s="124">
        <v>31</v>
      </c>
      <c r="C33" s="620" t="s">
        <v>825</v>
      </c>
      <c r="D33" s="302">
        <v>43843</v>
      </c>
      <c r="E33" s="121" t="s">
        <v>785</v>
      </c>
      <c r="F33" s="237">
        <v>43845</v>
      </c>
      <c r="G33" s="237">
        <v>43846</v>
      </c>
      <c r="H33" s="251" t="s">
        <v>340</v>
      </c>
      <c r="I33" s="618" t="s">
        <v>826</v>
      </c>
      <c r="J33" s="69" t="str">
        <f>Table1[[#This Row],[Routine Activities (PM/ PMCAL, CM, Genba, Isotanker, Material Readiness, Sampling)]]</f>
        <v>ADL DS pack-out</v>
      </c>
      <c r="P33" s="1"/>
    </row>
    <row r="34" spans="2:16" ht="15" hidden="1" customHeight="1" x14ac:dyDescent="0.35">
      <c r="B34" s="124">
        <v>32</v>
      </c>
      <c r="C34" s="619" t="s">
        <v>777</v>
      </c>
      <c r="D34" s="302">
        <v>43843</v>
      </c>
      <c r="E34" s="121" t="s">
        <v>433</v>
      </c>
      <c r="F34" s="237">
        <v>43847</v>
      </c>
      <c r="G34" s="237">
        <f>Table1[[#This Row],[Start Date]]</f>
        <v>43847</v>
      </c>
      <c r="H34" s="251" t="s">
        <v>340</v>
      </c>
      <c r="I34" s="618"/>
      <c r="J34" s="69" t="str">
        <f>Table1[[#This Row],[Routine Activities (PM/ PMCAL, CM, Genba, Isotanker, Material Readiness, Sampling)]]</f>
        <v>Waste offloading - Org</v>
      </c>
      <c r="P34" s="1"/>
    </row>
    <row r="35" spans="2:16" ht="15" hidden="1" customHeight="1" x14ac:dyDescent="0.35">
      <c r="B35" s="124">
        <v>33</v>
      </c>
      <c r="C35" s="620" t="s">
        <v>827</v>
      </c>
      <c r="D35" s="302">
        <v>43843</v>
      </c>
      <c r="E35" s="122" t="s">
        <v>345</v>
      </c>
      <c r="F35" s="251">
        <v>43847</v>
      </c>
      <c r="G35" s="251">
        <f>Table1[[#This Row],[Start Date]]</f>
        <v>43847</v>
      </c>
      <c r="H35" s="251" t="s">
        <v>340</v>
      </c>
      <c r="I35" s="622"/>
      <c r="J35" s="85" t="s">
        <v>828</v>
      </c>
      <c r="P35" s="1"/>
    </row>
    <row r="36" spans="2:16" ht="15" hidden="1" customHeight="1" x14ac:dyDescent="0.35">
      <c r="B36" s="124">
        <v>34</v>
      </c>
      <c r="C36" s="620" t="s">
        <v>829</v>
      </c>
      <c r="D36" s="302">
        <v>43843</v>
      </c>
      <c r="E36" s="122" t="s">
        <v>345</v>
      </c>
      <c r="F36" s="251">
        <v>43847</v>
      </c>
      <c r="G36" s="251">
        <f>Table1[[#This Row],[Start Date]]</f>
        <v>43847</v>
      </c>
      <c r="H36" s="251" t="s">
        <v>340</v>
      </c>
      <c r="I36" s="622"/>
      <c r="J36" s="85" t="s">
        <v>828</v>
      </c>
      <c r="P36" s="1"/>
    </row>
    <row r="37" spans="2:16" ht="15" hidden="1" customHeight="1" x14ac:dyDescent="0.35">
      <c r="B37" s="124">
        <v>35</v>
      </c>
      <c r="C37" s="620" t="s">
        <v>830</v>
      </c>
      <c r="D37" s="303">
        <v>43843</v>
      </c>
      <c r="E37" s="122" t="s">
        <v>345</v>
      </c>
      <c r="F37" s="251">
        <v>43847</v>
      </c>
      <c r="G37" s="251">
        <f>Table1[[#This Row],[Start Date]]</f>
        <v>43847</v>
      </c>
      <c r="H37" s="251" t="s">
        <v>340</v>
      </c>
      <c r="I37" s="622"/>
      <c r="J37" s="85" t="s">
        <v>828</v>
      </c>
      <c r="P37" s="1"/>
    </row>
    <row r="38" spans="2:16" ht="15" hidden="1" customHeight="1" x14ac:dyDescent="0.35">
      <c r="B38" s="124">
        <v>36</v>
      </c>
      <c r="C38" s="620" t="s">
        <v>831</v>
      </c>
      <c r="D38" s="302">
        <v>43843</v>
      </c>
      <c r="E38" s="122" t="s">
        <v>345</v>
      </c>
      <c r="F38" s="251">
        <v>43848</v>
      </c>
      <c r="G38" s="251">
        <f>Table1[[#This Row],[Start Date]]</f>
        <v>43848</v>
      </c>
      <c r="H38" s="251" t="s">
        <v>340</v>
      </c>
      <c r="I38" s="622"/>
      <c r="J38" s="85" t="s">
        <v>832</v>
      </c>
      <c r="P38" s="1"/>
    </row>
    <row r="39" spans="2:16" ht="15" hidden="1" customHeight="1" x14ac:dyDescent="0.35">
      <c r="B39" s="124">
        <v>37</v>
      </c>
      <c r="C39" s="620" t="s">
        <v>833</v>
      </c>
      <c r="D39" s="302">
        <v>43843</v>
      </c>
      <c r="E39" s="122" t="s">
        <v>345</v>
      </c>
      <c r="F39" s="251">
        <v>43848</v>
      </c>
      <c r="G39" s="251">
        <f>Table1[[#This Row],[Start Date]]</f>
        <v>43848</v>
      </c>
      <c r="H39" s="251" t="s">
        <v>340</v>
      </c>
      <c r="I39" s="622"/>
      <c r="J39" s="85" t="s">
        <v>832</v>
      </c>
      <c r="P39" s="1"/>
    </row>
    <row r="40" spans="2:16" ht="15" hidden="1" customHeight="1" x14ac:dyDescent="0.35">
      <c r="B40" s="124">
        <v>38</v>
      </c>
      <c r="C40" s="620" t="s">
        <v>834</v>
      </c>
      <c r="D40" s="303">
        <v>43843</v>
      </c>
      <c r="E40" s="122" t="s">
        <v>345</v>
      </c>
      <c r="F40" s="251">
        <v>43848</v>
      </c>
      <c r="G40" s="251">
        <f>Table1[[#This Row],[Start Date]]</f>
        <v>43848</v>
      </c>
      <c r="H40" s="251" t="s">
        <v>340</v>
      </c>
      <c r="I40" s="622"/>
      <c r="J40" s="85" t="s">
        <v>832</v>
      </c>
      <c r="P40" s="1"/>
    </row>
    <row r="41" spans="2:16" ht="15" hidden="1" customHeight="1" x14ac:dyDescent="0.35">
      <c r="B41" s="124">
        <v>39</v>
      </c>
      <c r="C41" s="619" t="s">
        <v>835</v>
      </c>
      <c r="D41" s="302">
        <v>43850</v>
      </c>
      <c r="E41" s="123" t="s">
        <v>418</v>
      </c>
      <c r="F41" s="237">
        <v>43850</v>
      </c>
      <c r="G41" s="312">
        <f>Table1[[#This Row],[Start Date]]</f>
        <v>43850</v>
      </c>
      <c r="H41" s="123" t="s">
        <v>340</v>
      </c>
      <c r="I41" s="619"/>
      <c r="J41" s="24" t="str">
        <f>Table1[[#This Row],[Routine Activities (PM/ PMCAL, CM, Genba, Isotanker, Material Readiness, Sampling)]]</f>
        <v>Material Readiness for A2</v>
      </c>
      <c r="P41" s="1"/>
    </row>
    <row r="42" spans="2:16" ht="15" hidden="1" customHeight="1" x14ac:dyDescent="0.35">
      <c r="B42" s="124">
        <v>40</v>
      </c>
      <c r="C42" s="619" t="s">
        <v>836</v>
      </c>
      <c r="D42" s="302">
        <v>43850</v>
      </c>
      <c r="E42" s="123" t="s">
        <v>418</v>
      </c>
      <c r="F42" s="237">
        <v>43850</v>
      </c>
      <c r="G42" s="312">
        <f>Table1[[#This Row],[Start Date]]</f>
        <v>43850</v>
      </c>
      <c r="H42" s="123" t="s">
        <v>340</v>
      </c>
      <c r="I42" s="619"/>
      <c r="J42" s="24" t="str">
        <f>Table1[[#This Row],[Routine Activities (PM/ PMCAL, CM, Genba, Isotanker, Material Readiness, Sampling)]]</f>
        <v>PO Release for A2</v>
      </c>
      <c r="P42" s="1"/>
    </row>
    <row r="43" spans="2:16" ht="15" hidden="1" customHeight="1" x14ac:dyDescent="0.35">
      <c r="B43" s="124">
        <v>41</v>
      </c>
      <c r="C43" s="620" t="s">
        <v>837</v>
      </c>
      <c r="D43" s="302">
        <v>43850</v>
      </c>
      <c r="E43" s="122" t="s">
        <v>838</v>
      </c>
      <c r="F43" s="251">
        <v>43850</v>
      </c>
      <c r="G43" s="251">
        <f>Table1[[#This Row],[Start Date]]</f>
        <v>43850</v>
      </c>
      <c r="H43" s="251" t="s">
        <v>340</v>
      </c>
      <c r="I43" s="621"/>
      <c r="J43" s="85" t="s">
        <v>839</v>
      </c>
      <c r="P43" s="1"/>
    </row>
    <row r="44" spans="2:16" ht="29" hidden="1" x14ac:dyDescent="0.35">
      <c r="B44" s="124">
        <v>42</v>
      </c>
      <c r="C44" s="619" t="s">
        <v>840</v>
      </c>
      <c r="D44" s="304">
        <v>43850</v>
      </c>
      <c r="E44" s="121" t="s">
        <v>345</v>
      </c>
      <c r="F44" s="237">
        <v>43850</v>
      </c>
      <c r="G44" s="237">
        <v>43858</v>
      </c>
      <c r="H44" s="251" t="s">
        <v>340</v>
      </c>
      <c r="I44" s="618"/>
      <c r="J44" s="69" t="s">
        <v>796</v>
      </c>
      <c r="P44" s="1"/>
    </row>
    <row r="45" spans="2:16" ht="15" hidden="1" customHeight="1" x14ac:dyDescent="0.35">
      <c r="B45" s="124">
        <v>43</v>
      </c>
      <c r="C45" s="619" t="s">
        <v>841</v>
      </c>
      <c r="D45" s="305">
        <v>43850</v>
      </c>
      <c r="E45" s="123" t="s">
        <v>773</v>
      </c>
      <c r="F45" s="237">
        <v>43851</v>
      </c>
      <c r="G45" s="312">
        <f>Table1[[#This Row],[Start Date]]</f>
        <v>43851</v>
      </c>
      <c r="H45" s="313" t="s">
        <v>340</v>
      </c>
      <c r="I45" s="619"/>
      <c r="J45" s="24" t="str">
        <f>Table1[[#This Row],[Routine Activities (PM/ PMCAL, CM, Genba, Isotanker, Material Readiness, Sampling)]]</f>
        <v>QoP - MT2 prep</v>
      </c>
      <c r="P45" s="1"/>
    </row>
    <row r="46" spans="2:16" ht="15" hidden="1" customHeight="1" x14ac:dyDescent="0.35">
      <c r="B46" s="124">
        <v>44</v>
      </c>
      <c r="C46" s="619" t="s">
        <v>842</v>
      </c>
      <c r="D46" s="305">
        <v>43850</v>
      </c>
      <c r="E46" s="121" t="s">
        <v>843</v>
      </c>
      <c r="F46" s="237">
        <v>43851</v>
      </c>
      <c r="G46" s="237">
        <v>43852</v>
      </c>
      <c r="H46" s="251" t="s">
        <v>340</v>
      </c>
      <c r="I46" s="618" t="s">
        <v>844</v>
      </c>
      <c r="J46" s="23" t="str">
        <f>Table1[[#This Row],[Routine Activities (PM/ PMCAL, CM, Genba, Isotanker, Material Readiness, Sampling)]]</f>
        <v>PI upgrade</v>
      </c>
      <c r="P46" s="1"/>
    </row>
    <row r="47" spans="2:16" ht="15" hidden="1" customHeight="1" x14ac:dyDescent="0.35">
      <c r="B47" s="124">
        <v>45</v>
      </c>
      <c r="C47" s="620" t="s">
        <v>845</v>
      </c>
      <c r="D47" s="304">
        <v>43850</v>
      </c>
      <c r="E47" s="122" t="s">
        <v>846</v>
      </c>
      <c r="F47" s="251">
        <v>43851</v>
      </c>
      <c r="G47" s="237">
        <v>43852</v>
      </c>
      <c r="H47" s="251" t="s">
        <v>340</v>
      </c>
      <c r="I47" s="621" t="s">
        <v>847</v>
      </c>
      <c r="J47" s="85" t="s">
        <v>848</v>
      </c>
      <c r="P47" s="1"/>
    </row>
    <row r="48" spans="2:16" ht="15" hidden="1" customHeight="1" x14ac:dyDescent="0.35">
      <c r="B48" s="124">
        <v>46</v>
      </c>
      <c r="C48" s="620" t="s">
        <v>849</v>
      </c>
      <c r="D48" s="305">
        <v>43850</v>
      </c>
      <c r="E48" s="122" t="s">
        <v>345</v>
      </c>
      <c r="F48" s="251">
        <v>43852</v>
      </c>
      <c r="G48" s="251">
        <f>Table1[[#This Row],[Start Date]]</f>
        <v>43852</v>
      </c>
      <c r="H48" s="251" t="s">
        <v>340</v>
      </c>
      <c r="I48" s="622"/>
      <c r="J48" s="85" t="s">
        <v>850</v>
      </c>
      <c r="P48" s="1"/>
    </row>
    <row r="49" spans="2:16" ht="15" hidden="1" customHeight="1" x14ac:dyDescent="0.35">
      <c r="B49" s="124">
        <v>47</v>
      </c>
      <c r="C49" s="620" t="s">
        <v>851</v>
      </c>
      <c r="D49" s="305">
        <v>43850</v>
      </c>
      <c r="E49" s="122" t="s">
        <v>345</v>
      </c>
      <c r="F49" s="251">
        <v>43852</v>
      </c>
      <c r="G49" s="251">
        <f>Table1[[#This Row],[Start Date]]</f>
        <v>43852</v>
      </c>
      <c r="H49" s="251" t="s">
        <v>340</v>
      </c>
      <c r="I49" s="622"/>
      <c r="J49" s="85" t="s">
        <v>850</v>
      </c>
      <c r="P49" s="1"/>
    </row>
    <row r="50" spans="2:16" ht="15" hidden="1" customHeight="1" x14ac:dyDescent="0.35">
      <c r="B50" s="124">
        <v>48</v>
      </c>
      <c r="C50" s="619" t="s">
        <v>775</v>
      </c>
      <c r="D50" s="305">
        <v>43850</v>
      </c>
      <c r="E50" s="123" t="s">
        <v>418</v>
      </c>
      <c r="F50" s="237">
        <v>43852</v>
      </c>
      <c r="G50" s="312">
        <f>Table1[[#This Row],[Start Date]]</f>
        <v>43852</v>
      </c>
      <c r="H50" s="313" t="s">
        <v>340</v>
      </c>
      <c r="I50" s="619" t="s">
        <v>852</v>
      </c>
      <c r="J50" s="24" t="str">
        <f>Table1[[#This Row],[Routine Activities (PM/ PMCAL, CM, Genba, Isotanker, Material Readiness, Sampling)]]</f>
        <v>N2 loading</v>
      </c>
      <c r="P50" s="1"/>
    </row>
    <row r="51" spans="2:16" ht="15" hidden="1" customHeight="1" x14ac:dyDescent="0.35">
      <c r="B51" s="124">
        <v>49</v>
      </c>
      <c r="C51" s="619" t="s">
        <v>853</v>
      </c>
      <c r="D51" s="304">
        <v>43850</v>
      </c>
      <c r="E51" s="308" t="s">
        <v>854</v>
      </c>
      <c r="F51" s="237">
        <v>43852</v>
      </c>
      <c r="G51" s="237">
        <f>Table1[[#This Row],[Start Date]]</f>
        <v>43852</v>
      </c>
      <c r="H51" s="251" t="s">
        <v>340</v>
      </c>
      <c r="I51" s="618"/>
      <c r="J51" s="23" t="str">
        <f>Table1[[#This Row],[Routine Activities (PM/ PMCAL, CM, Genba, Isotanker, Material Readiness, Sampling)]]</f>
        <v>Genba - Chiller walkdown</v>
      </c>
      <c r="P51" s="1"/>
    </row>
    <row r="52" spans="2:16" ht="15" hidden="1" customHeight="1" x14ac:dyDescent="0.35">
      <c r="B52" s="124">
        <v>50</v>
      </c>
      <c r="C52" s="620" t="s">
        <v>855</v>
      </c>
      <c r="D52" s="305">
        <v>43850</v>
      </c>
      <c r="E52" s="122" t="s">
        <v>345</v>
      </c>
      <c r="F52" s="251">
        <v>43853</v>
      </c>
      <c r="G52" s="251">
        <f>Table1[[#This Row],[Start Date]]</f>
        <v>43853</v>
      </c>
      <c r="H52" s="251" t="s">
        <v>340</v>
      </c>
      <c r="I52" s="622"/>
      <c r="J52" s="85" t="s">
        <v>856</v>
      </c>
      <c r="P52" s="1"/>
    </row>
    <row r="53" spans="2:16" ht="15" hidden="1" customHeight="1" x14ac:dyDescent="0.35">
      <c r="B53" s="124">
        <v>51</v>
      </c>
      <c r="C53" s="619" t="s">
        <v>857</v>
      </c>
      <c r="D53" s="305">
        <v>43850</v>
      </c>
      <c r="E53" s="123" t="s">
        <v>418</v>
      </c>
      <c r="F53" s="237">
        <v>43853</v>
      </c>
      <c r="G53" s="312">
        <f>Table1[[#This Row],[Start Date]]</f>
        <v>43853</v>
      </c>
      <c r="H53" s="313" t="s">
        <v>340</v>
      </c>
      <c r="I53" s="619"/>
      <c r="J53" s="24" t="str">
        <f>Table1[[#This Row],[Routine Activities (PM/ PMCAL, CM, Genba, Isotanker, Material Readiness, Sampling)]]</f>
        <v>Solvent loading - EtOAc</v>
      </c>
    </row>
    <row r="54" spans="2:16" ht="15" hidden="1" customHeight="1" x14ac:dyDescent="0.35">
      <c r="B54" s="124">
        <v>52</v>
      </c>
      <c r="C54" s="619" t="s">
        <v>858</v>
      </c>
      <c r="D54" s="305">
        <v>43850</v>
      </c>
      <c r="E54" s="122" t="s">
        <v>345</v>
      </c>
      <c r="F54" s="251">
        <v>43854</v>
      </c>
      <c r="G54" s="251">
        <f>Table1[[#This Row],[Start Date]]</f>
        <v>43854</v>
      </c>
      <c r="H54" s="251" t="s">
        <v>340</v>
      </c>
      <c r="I54" s="622"/>
      <c r="J54" s="85" t="s">
        <v>859</v>
      </c>
      <c r="P54" s="1"/>
    </row>
    <row r="55" spans="2:16" ht="15" hidden="1" customHeight="1" x14ac:dyDescent="0.35">
      <c r="B55" s="124">
        <v>53</v>
      </c>
      <c r="C55" s="620" t="s">
        <v>860</v>
      </c>
      <c r="D55" s="305">
        <v>43850</v>
      </c>
      <c r="E55" s="122" t="s">
        <v>345</v>
      </c>
      <c r="F55" s="251">
        <v>43854</v>
      </c>
      <c r="G55" s="251">
        <f>Table1[[#This Row],[Start Date]]</f>
        <v>43854</v>
      </c>
      <c r="H55" s="251" t="s">
        <v>340</v>
      </c>
      <c r="I55" s="622"/>
      <c r="J55" s="85" t="s">
        <v>861</v>
      </c>
      <c r="P55" s="1"/>
    </row>
    <row r="56" spans="2:16" ht="15" hidden="1" customHeight="1" x14ac:dyDescent="0.35">
      <c r="B56" s="124">
        <v>54</v>
      </c>
      <c r="C56" s="620" t="s">
        <v>862</v>
      </c>
      <c r="D56" s="303">
        <v>43850</v>
      </c>
      <c r="E56" s="122" t="s">
        <v>345</v>
      </c>
      <c r="F56" s="251">
        <v>43854</v>
      </c>
      <c r="G56" s="251">
        <f>Table1[[#This Row],[Start Date]]</f>
        <v>43854</v>
      </c>
      <c r="H56" s="251" t="s">
        <v>340</v>
      </c>
      <c r="I56" s="622"/>
      <c r="J56" s="85" t="s">
        <v>861</v>
      </c>
      <c r="P56" s="1"/>
    </row>
    <row r="57" spans="2:16" ht="15" hidden="1" customHeight="1" x14ac:dyDescent="0.35">
      <c r="B57" s="124">
        <v>55</v>
      </c>
      <c r="C57" s="620" t="s">
        <v>863</v>
      </c>
      <c r="D57" s="305">
        <v>43850</v>
      </c>
      <c r="E57" s="122" t="s">
        <v>345</v>
      </c>
      <c r="F57" s="251">
        <v>43855</v>
      </c>
      <c r="G57" s="251">
        <f>Table1[[#This Row],[Start Date]]</f>
        <v>43855</v>
      </c>
      <c r="H57" s="251" t="s">
        <v>340</v>
      </c>
      <c r="I57" s="622"/>
      <c r="J57" s="85" t="s">
        <v>864</v>
      </c>
      <c r="P57" s="1"/>
    </row>
    <row r="58" spans="2:16" ht="15" hidden="1" customHeight="1" x14ac:dyDescent="0.35">
      <c r="B58" s="124">
        <v>56</v>
      </c>
      <c r="C58" s="620" t="s">
        <v>865</v>
      </c>
      <c r="D58" s="303">
        <v>43850</v>
      </c>
      <c r="E58" s="122" t="s">
        <v>345</v>
      </c>
      <c r="F58" s="251">
        <v>43855</v>
      </c>
      <c r="G58" s="251">
        <f>Table1[[#This Row],[Start Date]]</f>
        <v>43855</v>
      </c>
      <c r="H58" s="251" t="s">
        <v>340</v>
      </c>
      <c r="I58" s="622"/>
      <c r="J58" s="85" t="s">
        <v>866</v>
      </c>
      <c r="P58" s="1"/>
    </row>
    <row r="59" spans="2:16" ht="15" hidden="1" customHeight="1" x14ac:dyDescent="0.35">
      <c r="B59" s="124">
        <v>57</v>
      </c>
      <c r="C59" s="619" t="s">
        <v>867</v>
      </c>
      <c r="D59" s="304">
        <v>43857</v>
      </c>
      <c r="E59" s="121" t="s">
        <v>345</v>
      </c>
      <c r="F59" s="237">
        <v>43858</v>
      </c>
      <c r="G59" s="237">
        <f>Table1[[#This Row],[Start Date]]</f>
        <v>43858</v>
      </c>
      <c r="H59" s="251" t="s">
        <v>340</v>
      </c>
      <c r="I59" s="618"/>
      <c r="J59" s="69" t="s">
        <v>814</v>
      </c>
      <c r="P59" s="11"/>
    </row>
    <row r="60" spans="2:16" ht="15" hidden="1" customHeight="1" x14ac:dyDescent="0.35">
      <c r="B60" s="124">
        <v>58</v>
      </c>
      <c r="C60" s="620" t="s">
        <v>778</v>
      </c>
      <c r="D60" s="304">
        <v>43857</v>
      </c>
      <c r="E60" s="122" t="s">
        <v>418</v>
      </c>
      <c r="F60" s="251">
        <v>43859</v>
      </c>
      <c r="G60" s="251">
        <f>Table1[[#This Row],[Start Date]]</f>
        <v>43859</v>
      </c>
      <c r="H60" s="251" t="s">
        <v>340</v>
      </c>
      <c r="I60" s="621"/>
      <c r="J60" s="140" t="str">
        <f>Table1[[#This Row],[Routine Activities (PM/ PMCAL, CM, Genba, Isotanker, Material Readiness, Sampling)]]</f>
        <v>Methanol loading</v>
      </c>
      <c r="P60" s="11"/>
    </row>
    <row r="61" spans="2:16" ht="15" hidden="1" customHeight="1" x14ac:dyDescent="0.35">
      <c r="B61" s="124">
        <v>59</v>
      </c>
      <c r="C61" s="619" t="s">
        <v>868</v>
      </c>
      <c r="D61" s="304">
        <v>43857</v>
      </c>
      <c r="E61" s="121" t="s">
        <v>345</v>
      </c>
      <c r="F61" s="237">
        <v>43859</v>
      </c>
      <c r="G61" s="237">
        <f>Table1[[#This Row],[Start Date]]</f>
        <v>43859</v>
      </c>
      <c r="H61" s="251" t="s">
        <v>340</v>
      </c>
      <c r="I61" s="618" t="s">
        <v>869</v>
      </c>
      <c r="J61" s="69" t="s">
        <v>870</v>
      </c>
      <c r="P61" s="1"/>
    </row>
    <row r="62" spans="2:16" ht="15" hidden="1" customHeight="1" x14ac:dyDescent="0.35">
      <c r="B62" s="124">
        <v>60</v>
      </c>
      <c r="C62" s="619" t="s">
        <v>871</v>
      </c>
      <c r="D62" s="238">
        <v>43857</v>
      </c>
      <c r="E62" s="121" t="s">
        <v>872</v>
      </c>
      <c r="F62" s="237">
        <v>43859</v>
      </c>
      <c r="G62" s="237">
        <f>Table1[[#This Row],[Start Date]]</f>
        <v>43859</v>
      </c>
      <c r="H62" s="251" t="s">
        <v>340</v>
      </c>
      <c r="I62" s="618"/>
      <c r="J62" s="69" t="str">
        <f>Table1[[#This Row],[Routine Activities (PM/ PMCAL, CM, Genba, Isotanker, Material Readiness, Sampling)]]</f>
        <v>Genba - THF drum charging</v>
      </c>
      <c r="P62" s="1"/>
    </row>
    <row r="63" spans="2:16" ht="15" hidden="1" customHeight="1" x14ac:dyDescent="0.35">
      <c r="B63" s="124">
        <v>61</v>
      </c>
      <c r="C63" s="619" t="s">
        <v>873</v>
      </c>
      <c r="D63" s="238">
        <v>43857</v>
      </c>
      <c r="E63" s="121" t="s">
        <v>773</v>
      </c>
      <c r="F63" s="237">
        <v>43859</v>
      </c>
      <c r="G63" s="237">
        <f>Table1[[#This Row],[Start Date]]</f>
        <v>43859</v>
      </c>
      <c r="H63" s="251" t="s">
        <v>340</v>
      </c>
      <c r="I63" s="618"/>
      <c r="J63" s="69" t="str">
        <f>Table1[[#This Row],[Routine Activities (PM/ PMCAL, CM, Genba, Isotanker, Material Readiness, Sampling)]]</f>
        <v>QoP - Distillation</v>
      </c>
      <c r="P63" s="1"/>
    </row>
    <row r="64" spans="2:16" ht="25.5" hidden="1" customHeight="1" x14ac:dyDescent="0.35">
      <c r="B64" s="124">
        <v>62</v>
      </c>
      <c r="C64" s="619" t="s">
        <v>775</v>
      </c>
      <c r="D64" s="238">
        <v>43857</v>
      </c>
      <c r="E64" s="121" t="s">
        <v>418</v>
      </c>
      <c r="F64" s="237">
        <v>43860</v>
      </c>
      <c r="G64" s="237">
        <f>Table1[[#This Row],[Start Date]]</f>
        <v>43860</v>
      </c>
      <c r="H64" s="251" t="s">
        <v>340</v>
      </c>
      <c r="I64" s="618"/>
      <c r="J64" s="69" t="str">
        <f>Table1[[#This Row],[Routine Activities (PM/ PMCAL, CM, Genba, Isotanker, Material Readiness, Sampling)]]</f>
        <v>N2 loading</v>
      </c>
      <c r="P64" s="1"/>
    </row>
    <row r="65" spans="2:16" ht="27" hidden="1" customHeight="1" x14ac:dyDescent="0.35">
      <c r="B65" s="124">
        <v>63</v>
      </c>
      <c r="C65" s="619" t="s">
        <v>874</v>
      </c>
      <c r="D65" s="238">
        <v>43864</v>
      </c>
      <c r="E65" s="121" t="s">
        <v>345</v>
      </c>
      <c r="F65" s="237">
        <v>43861</v>
      </c>
      <c r="G65" s="237">
        <v>43865</v>
      </c>
      <c r="H65" s="251" t="s">
        <v>340</v>
      </c>
      <c r="I65" s="618" t="s">
        <v>875</v>
      </c>
      <c r="J65" s="69" t="s">
        <v>876</v>
      </c>
      <c r="P65" s="1"/>
    </row>
    <row r="66" spans="2:16" ht="14.5" hidden="1" x14ac:dyDescent="0.35">
      <c r="B66" s="124">
        <v>64</v>
      </c>
      <c r="C66" s="619" t="s">
        <v>877</v>
      </c>
      <c r="D66" s="238">
        <v>43857</v>
      </c>
      <c r="E66" s="121" t="s">
        <v>345</v>
      </c>
      <c r="F66" s="237">
        <v>43862</v>
      </c>
      <c r="G66" s="237">
        <v>43862</v>
      </c>
      <c r="H66" s="251" t="s">
        <v>340</v>
      </c>
      <c r="I66" s="618"/>
      <c r="J66" s="69" t="str">
        <f>Table1[[#This Row],[Routine Activities (PM/ PMCAL, CM, Genba, Isotanker, Material Readiness, Sampling)]]</f>
        <v>UPS battery replacement</v>
      </c>
      <c r="P66" s="1"/>
    </row>
    <row r="67" spans="2:16" ht="45" hidden="1" customHeight="1" x14ac:dyDescent="0.35">
      <c r="B67" s="124">
        <v>65</v>
      </c>
      <c r="C67" s="623" t="s">
        <v>878</v>
      </c>
      <c r="D67" s="238">
        <v>43864</v>
      </c>
      <c r="E67" s="122" t="s">
        <v>345</v>
      </c>
      <c r="F67" s="251">
        <v>43864</v>
      </c>
      <c r="G67" s="237">
        <f>Table1[[#This Row],[Start Date]]</f>
        <v>43864</v>
      </c>
      <c r="H67" s="251" t="s">
        <v>340</v>
      </c>
      <c r="I67" s="624" t="s">
        <v>879</v>
      </c>
      <c r="J67" s="85" t="s">
        <v>880</v>
      </c>
      <c r="P67" s="1"/>
    </row>
    <row r="68" spans="2:16" ht="33.65" hidden="1" customHeight="1" x14ac:dyDescent="0.35">
      <c r="B68" s="124">
        <v>66</v>
      </c>
      <c r="C68" s="619" t="s">
        <v>881</v>
      </c>
      <c r="D68" s="238">
        <v>43864</v>
      </c>
      <c r="E68" s="122" t="s">
        <v>345</v>
      </c>
      <c r="F68" s="237">
        <v>43864</v>
      </c>
      <c r="G68" s="237">
        <f>Table1[[#This Row],[Start Date]]</f>
        <v>43864</v>
      </c>
      <c r="H68" s="251" t="s">
        <v>340</v>
      </c>
      <c r="I68" s="618"/>
      <c r="J68" s="69" t="s">
        <v>882</v>
      </c>
      <c r="P68" s="1"/>
    </row>
    <row r="69" spans="2:16" ht="29" hidden="1" x14ac:dyDescent="0.35">
      <c r="B69" s="124">
        <v>67</v>
      </c>
      <c r="C69" s="619" t="s">
        <v>883</v>
      </c>
      <c r="D69" s="238">
        <v>43864</v>
      </c>
      <c r="E69" s="122" t="s">
        <v>345</v>
      </c>
      <c r="F69" s="237">
        <v>43864</v>
      </c>
      <c r="G69" s="237">
        <f>Table1[[#This Row],[Start Date]]</f>
        <v>43864</v>
      </c>
      <c r="H69" s="251" t="s">
        <v>340</v>
      </c>
      <c r="I69" s="618"/>
      <c r="J69" s="69" t="s">
        <v>884</v>
      </c>
      <c r="P69" s="1"/>
    </row>
    <row r="70" spans="2:16" ht="116" hidden="1" x14ac:dyDescent="0.35">
      <c r="B70" s="124">
        <v>68</v>
      </c>
      <c r="C70" s="619" t="s">
        <v>885</v>
      </c>
      <c r="D70" s="238">
        <v>43864</v>
      </c>
      <c r="E70" s="122" t="s">
        <v>345</v>
      </c>
      <c r="F70" s="237">
        <v>43864</v>
      </c>
      <c r="G70" s="237">
        <f>Table1[[#This Row],[Start Date]]</f>
        <v>43864</v>
      </c>
      <c r="H70" s="251" t="s">
        <v>340</v>
      </c>
      <c r="I70" s="618" t="s">
        <v>886</v>
      </c>
      <c r="J70" s="69" t="str">
        <f>Table1[[#This Row],[Routine Activities (PM/ PMCAL, CM, Genba, Isotanker, Material Readiness, Sampling)]]</f>
        <v>53189429 - SG00281015CP01 - API WALK IN COLD ROOM (2-8 DEGREE CELSIUS) CONTROL PANEL CP-01 - ELECTRICAL - BULB REPLACEMENT - LIGHT " WAREHOUSE OUTGOING PHASE INDICATION LIGHT" FAULTY - W101</v>
      </c>
      <c r="P70" s="1"/>
    </row>
    <row r="71" spans="2:16" ht="58" hidden="1" x14ac:dyDescent="0.35">
      <c r="B71" s="124">
        <v>69</v>
      </c>
      <c r="C71" s="619" t="s">
        <v>887</v>
      </c>
      <c r="D71" s="238">
        <v>43864</v>
      </c>
      <c r="E71" s="122" t="s">
        <v>345</v>
      </c>
      <c r="F71" s="237">
        <v>43864</v>
      </c>
      <c r="G71" s="237">
        <v>43865</v>
      </c>
      <c r="H71" s="251" t="s">
        <v>340</v>
      </c>
      <c r="I71" s="618" t="s">
        <v>888</v>
      </c>
      <c r="J71" s="69" t="s">
        <v>889</v>
      </c>
      <c r="P71" s="1"/>
    </row>
    <row r="72" spans="2:16" ht="29.15" hidden="1" customHeight="1" x14ac:dyDescent="0.35">
      <c r="B72" s="124">
        <v>70</v>
      </c>
      <c r="C72" s="619" t="s">
        <v>890</v>
      </c>
      <c r="D72" s="238">
        <v>43864</v>
      </c>
      <c r="E72" s="122" t="s">
        <v>891</v>
      </c>
      <c r="F72" s="237">
        <v>43865</v>
      </c>
      <c r="G72" s="237">
        <f>Table1[[#This Row],[Start Date]]</f>
        <v>43865</v>
      </c>
      <c r="H72" s="251" t="s">
        <v>340</v>
      </c>
      <c r="I72" s="618"/>
      <c r="J72" s="69" t="str">
        <f>Table1[[#This Row],[Routine Activities (PM/ PMCAL, CM, Genba, Isotanker, Material Readiness, Sampling)]]</f>
        <v>QoP - R1 EVI</v>
      </c>
      <c r="P72" s="1"/>
    </row>
    <row r="73" spans="2:16" ht="35.15" hidden="1" customHeight="1" x14ac:dyDescent="0.35">
      <c r="B73" s="124">
        <v>71</v>
      </c>
      <c r="C73" s="619" t="s">
        <v>892</v>
      </c>
      <c r="D73" s="238">
        <v>43864</v>
      </c>
      <c r="E73" s="122" t="s">
        <v>345</v>
      </c>
      <c r="F73" s="237">
        <v>43866</v>
      </c>
      <c r="G73" s="237">
        <f>Table1[[#This Row],[Start Date]]</f>
        <v>43866</v>
      </c>
      <c r="H73" s="251" t="s">
        <v>340</v>
      </c>
      <c r="I73" s="618"/>
      <c r="J73" s="69" t="s">
        <v>893</v>
      </c>
      <c r="P73" s="1"/>
    </row>
    <row r="74" spans="2:16" ht="36" hidden="1" customHeight="1" x14ac:dyDescent="0.35">
      <c r="B74" s="124">
        <v>72</v>
      </c>
      <c r="C74" s="619" t="s">
        <v>894</v>
      </c>
      <c r="D74" s="238">
        <v>43864</v>
      </c>
      <c r="E74" s="122" t="s">
        <v>345</v>
      </c>
      <c r="F74" s="237">
        <v>43866</v>
      </c>
      <c r="G74" s="237">
        <f>Table1[[#This Row],[Start Date]]</f>
        <v>43866</v>
      </c>
      <c r="H74" s="251" t="s">
        <v>340</v>
      </c>
      <c r="I74" s="618"/>
      <c r="J74" s="69" t="s">
        <v>895</v>
      </c>
      <c r="P74" s="1"/>
    </row>
    <row r="75" spans="2:16" ht="2.9" hidden="1" customHeight="1" x14ac:dyDescent="0.35">
      <c r="B75" s="124">
        <v>73</v>
      </c>
      <c r="C75" s="619" t="s">
        <v>777</v>
      </c>
      <c r="D75" s="238">
        <v>43864</v>
      </c>
      <c r="E75" s="122" t="s">
        <v>433</v>
      </c>
      <c r="F75" s="237">
        <v>43866</v>
      </c>
      <c r="G75" s="237">
        <f>Table1[[#This Row],[Start Date]]</f>
        <v>43866</v>
      </c>
      <c r="H75" s="251" t="s">
        <v>340</v>
      </c>
      <c r="I75" s="618"/>
      <c r="J75" s="69" t="str">
        <f>Table1[[#This Row],[Routine Activities (PM/ PMCAL, CM, Genba, Isotanker, Material Readiness, Sampling)]]</f>
        <v>Waste offloading - Org</v>
      </c>
      <c r="P75" s="1"/>
    </row>
    <row r="76" spans="2:16" ht="44.15" hidden="1" customHeight="1" x14ac:dyDescent="0.35">
      <c r="B76" s="124">
        <v>74</v>
      </c>
      <c r="C76" s="619" t="s">
        <v>896</v>
      </c>
      <c r="D76" s="238">
        <v>43864</v>
      </c>
      <c r="E76" s="121" t="s">
        <v>418</v>
      </c>
      <c r="F76" s="237">
        <v>43866</v>
      </c>
      <c r="G76" s="237">
        <f>Table1[[#This Row],[Start Date]]</f>
        <v>43866</v>
      </c>
      <c r="H76" s="251" t="s">
        <v>340</v>
      </c>
      <c r="I76" s="618"/>
      <c r="J76" s="69" t="str">
        <f>Table1[[#This Row],[Routine Activities (PM/ PMCAL, CM, Genba, Isotanker, Material Readiness, Sampling)]]</f>
        <v>Material Readiness - A1</v>
      </c>
      <c r="P76" s="1"/>
    </row>
    <row r="77" spans="2:16" ht="0.65" hidden="1" customHeight="1" x14ac:dyDescent="0.35">
      <c r="B77" s="124">
        <v>75</v>
      </c>
      <c r="C77" s="619" t="s">
        <v>897</v>
      </c>
      <c r="D77" s="238">
        <v>43864</v>
      </c>
      <c r="E77" s="122" t="s">
        <v>785</v>
      </c>
      <c r="F77" s="237">
        <v>43866</v>
      </c>
      <c r="G77" s="237">
        <f>Table1[[#This Row],[Start Date]]</f>
        <v>43866</v>
      </c>
      <c r="H77" s="251" t="s">
        <v>340</v>
      </c>
      <c r="I77" s="618"/>
      <c r="J77" s="69" t="str">
        <f>Table1[[#This Row],[Routine Activities (PM/ PMCAL, CM, Genba, Isotanker, Material Readiness, Sampling)]]</f>
        <v>Genba - VI of chem can</v>
      </c>
      <c r="P77" s="1"/>
    </row>
    <row r="78" spans="2:16" ht="2.9" hidden="1" customHeight="1" x14ac:dyDescent="0.35">
      <c r="B78" s="124">
        <v>76</v>
      </c>
      <c r="C78" s="619" t="s">
        <v>898</v>
      </c>
      <c r="D78" s="238">
        <v>43864</v>
      </c>
      <c r="E78" s="122" t="s">
        <v>345</v>
      </c>
      <c r="F78" s="237">
        <v>43866</v>
      </c>
      <c r="G78" s="237">
        <f>Table1[[#This Row],[Start Date]]</f>
        <v>43866</v>
      </c>
      <c r="H78" s="251" t="s">
        <v>340</v>
      </c>
      <c r="I78" s="618" t="s">
        <v>899</v>
      </c>
      <c r="J78" s="69" t="s">
        <v>900</v>
      </c>
      <c r="P78" s="1"/>
    </row>
    <row r="79" spans="2:16" ht="51.65" hidden="1" customHeight="1" x14ac:dyDescent="0.35">
      <c r="B79" s="124">
        <v>77</v>
      </c>
      <c r="C79" s="619" t="s">
        <v>775</v>
      </c>
      <c r="D79" s="238">
        <v>43864</v>
      </c>
      <c r="E79" s="122" t="s">
        <v>418</v>
      </c>
      <c r="F79" s="237">
        <v>43867</v>
      </c>
      <c r="G79" s="237">
        <f>Table1[[#This Row],[Start Date]]</f>
        <v>43867</v>
      </c>
      <c r="H79" s="251" t="s">
        <v>340</v>
      </c>
      <c r="I79" s="618"/>
      <c r="J79" s="69" t="str">
        <f>Table1[[#This Row],[Routine Activities (PM/ PMCAL, CM, Genba, Isotanker, Material Readiness, Sampling)]]</f>
        <v>N2 loading</v>
      </c>
      <c r="P79" s="1"/>
    </row>
    <row r="80" spans="2:16" ht="1.5" hidden="1" customHeight="1" x14ac:dyDescent="0.35">
      <c r="B80" s="124">
        <v>78</v>
      </c>
      <c r="C80" s="619" t="s">
        <v>901</v>
      </c>
      <c r="D80" s="238">
        <v>43864</v>
      </c>
      <c r="E80" s="122" t="s">
        <v>345</v>
      </c>
      <c r="F80" s="237">
        <v>43868</v>
      </c>
      <c r="G80" s="237">
        <f>Table1[[#This Row],[Start Date]]</f>
        <v>43868</v>
      </c>
      <c r="H80" s="251" t="s">
        <v>340</v>
      </c>
      <c r="I80" s="618"/>
      <c r="J80" s="69" t="s">
        <v>902</v>
      </c>
      <c r="P80" s="1"/>
    </row>
    <row r="81" spans="2:16" ht="50.15" hidden="1" customHeight="1" x14ac:dyDescent="0.35">
      <c r="B81" s="124">
        <v>79</v>
      </c>
      <c r="C81" s="619" t="s">
        <v>903</v>
      </c>
      <c r="D81" s="238">
        <v>43864</v>
      </c>
      <c r="E81" s="122" t="s">
        <v>345</v>
      </c>
      <c r="F81" s="237">
        <v>43868</v>
      </c>
      <c r="G81" s="237">
        <f>Table1[[#This Row],[Start Date]]</f>
        <v>43868</v>
      </c>
      <c r="H81" s="251" t="s">
        <v>340</v>
      </c>
      <c r="I81" s="618" t="s">
        <v>904</v>
      </c>
      <c r="J81" s="69" t="s">
        <v>905</v>
      </c>
      <c r="P81" s="1"/>
    </row>
    <row r="82" spans="2:16" ht="29" hidden="1" x14ac:dyDescent="0.35">
      <c r="B82" s="124">
        <v>80</v>
      </c>
      <c r="C82" s="619" t="s">
        <v>906</v>
      </c>
      <c r="D82" s="238">
        <v>43871</v>
      </c>
      <c r="E82" s="121" t="s">
        <v>345</v>
      </c>
      <c r="F82" s="237">
        <v>43871</v>
      </c>
      <c r="G82" s="237">
        <f>Table1[[#This Row],[Start Date]]</f>
        <v>43871</v>
      </c>
      <c r="H82" s="251" t="s">
        <v>340</v>
      </c>
      <c r="I82" s="618" t="s">
        <v>907</v>
      </c>
      <c r="J82" s="69" t="s">
        <v>908</v>
      </c>
      <c r="P82" s="1"/>
    </row>
    <row r="83" spans="2:16" ht="29" hidden="1" x14ac:dyDescent="0.35">
      <c r="B83" s="124">
        <v>81</v>
      </c>
      <c r="C83" s="617" t="s">
        <v>909</v>
      </c>
      <c r="D83" s="238">
        <v>43871</v>
      </c>
      <c r="E83" s="121" t="s">
        <v>345</v>
      </c>
      <c r="F83" s="237">
        <v>43872</v>
      </c>
      <c r="G83" s="237">
        <v>43873</v>
      </c>
      <c r="H83" s="251" t="s">
        <v>340</v>
      </c>
      <c r="I83" s="618"/>
      <c r="J83" s="69" t="s">
        <v>814</v>
      </c>
      <c r="P83" s="1"/>
    </row>
    <row r="84" spans="2:16" ht="14.5" hidden="1" x14ac:dyDescent="0.35">
      <c r="B84" s="124">
        <v>82</v>
      </c>
      <c r="C84" s="619" t="s">
        <v>910</v>
      </c>
      <c r="D84" s="238">
        <v>43871</v>
      </c>
      <c r="E84" s="121" t="s">
        <v>891</v>
      </c>
      <c r="F84" s="237">
        <v>43872</v>
      </c>
      <c r="G84" s="237">
        <f>Table1[[#This Row],[Start Date]]</f>
        <v>43872</v>
      </c>
      <c r="H84" s="251" t="s">
        <v>340</v>
      </c>
      <c r="I84" s="618"/>
      <c r="J84" s="69" t="str">
        <f>Table1[[#This Row],[Routine Activities (PM/ PMCAL, CM, Genba, Isotanker, Material Readiness, Sampling)]]</f>
        <v>QoP - A1 batch cleaning</v>
      </c>
      <c r="P84" s="1"/>
    </row>
    <row r="85" spans="2:16" ht="29" hidden="1" x14ac:dyDescent="0.35">
      <c r="B85" s="124">
        <v>83</v>
      </c>
      <c r="C85" s="617" t="s">
        <v>911</v>
      </c>
      <c r="D85" s="238">
        <v>43871</v>
      </c>
      <c r="E85" s="121" t="s">
        <v>345</v>
      </c>
      <c r="F85" s="237">
        <v>43873</v>
      </c>
      <c r="G85" s="237">
        <f>Table1[[#This Row],[Start Date]]</f>
        <v>43873</v>
      </c>
      <c r="H85" s="251" t="s">
        <v>340</v>
      </c>
      <c r="I85" s="618" t="s">
        <v>912</v>
      </c>
      <c r="J85" s="69" t="s">
        <v>913</v>
      </c>
      <c r="P85" s="1"/>
    </row>
    <row r="86" spans="2:16" ht="159.5" hidden="1" x14ac:dyDescent="0.35">
      <c r="B86" s="124">
        <v>84</v>
      </c>
      <c r="C86" s="617" t="s">
        <v>914</v>
      </c>
      <c r="D86" s="238">
        <v>43871</v>
      </c>
      <c r="E86" s="121" t="s">
        <v>345</v>
      </c>
      <c r="F86" s="237">
        <v>43873</v>
      </c>
      <c r="G86" s="237">
        <f>Table1[[#This Row],[Start Date]]</f>
        <v>43873</v>
      </c>
      <c r="H86" s="251" t="s">
        <v>340</v>
      </c>
      <c r="I86" s="618"/>
      <c r="J86" s="179" t="s">
        <v>818</v>
      </c>
      <c r="P86" s="1"/>
    </row>
    <row r="87" spans="2:16" ht="75" hidden="1" customHeight="1" x14ac:dyDescent="0.35">
      <c r="B87" s="124">
        <v>85</v>
      </c>
      <c r="C87" s="617" t="s">
        <v>915</v>
      </c>
      <c r="D87" s="238">
        <v>43871</v>
      </c>
      <c r="E87" s="121" t="s">
        <v>345</v>
      </c>
      <c r="F87" s="237">
        <v>43873</v>
      </c>
      <c r="G87" s="237">
        <v>43874</v>
      </c>
      <c r="H87" s="251" t="s">
        <v>340</v>
      </c>
      <c r="I87" s="618"/>
      <c r="J87" s="69" t="s">
        <v>818</v>
      </c>
      <c r="P87" s="1"/>
    </row>
    <row r="88" spans="2:16" ht="29" hidden="1" x14ac:dyDescent="0.35">
      <c r="B88" s="124">
        <v>86</v>
      </c>
      <c r="C88" s="617" t="s">
        <v>916</v>
      </c>
      <c r="D88" s="238">
        <v>43871</v>
      </c>
      <c r="E88" s="121" t="s">
        <v>345</v>
      </c>
      <c r="F88" s="237">
        <v>43873</v>
      </c>
      <c r="G88" s="237">
        <v>43874</v>
      </c>
      <c r="H88" s="251" t="s">
        <v>340</v>
      </c>
      <c r="I88" s="618"/>
      <c r="J88" s="69" t="s">
        <v>917</v>
      </c>
      <c r="P88" s="1"/>
    </row>
    <row r="89" spans="2:16" ht="29" hidden="1" x14ac:dyDescent="0.35">
      <c r="B89" s="124">
        <v>87</v>
      </c>
      <c r="C89" s="617" t="s">
        <v>918</v>
      </c>
      <c r="D89" s="238">
        <v>43871</v>
      </c>
      <c r="E89" s="121" t="s">
        <v>345</v>
      </c>
      <c r="F89" s="237">
        <v>43873</v>
      </c>
      <c r="G89" s="237">
        <v>43874</v>
      </c>
      <c r="H89" s="251" t="s">
        <v>340</v>
      </c>
      <c r="I89" s="618"/>
      <c r="J89" s="69" t="s">
        <v>919</v>
      </c>
      <c r="P89" s="1"/>
    </row>
    <row r="90" spans="2:16" ht="29" hidden="1" x14ac:dyDescent="0.35">
      <c r="B90" s="124">
        <v>88</v>
      </c>
      <c r="C90" s="619" t="s">
        <v>792</v>
      </c>
      <c r="D90" s="238">
        <v>43871</v>
      </c>
      <c r="E90" s="121" t="s">
        <v>433</v>
      </c>
      <c r="F90" s="237">
        <v>43873</v>
      </c>
      <c r="G90" s="237">
        <f>Table1[[#This Row],[Start Date]]</f>
        <v>43873</v>
      </c>
      <c r="H90" s="251" t="s">
        <v>340</v>
      </c>
      <c r="I90" s="618" t="s">
        <v>920</v>
      </c>
      <c r="J90" s="69" t="str">
        <f>Table1[[#This Row],[Routine Activities (PM/ PMCAL, CM, Genba, Isotanker, Material Readiness, Sampling)]]</f>
        <v>Waste offloading - Aq</v>
      </c>
      <c r="P90" s="1"/>
    </row>
    <row r="91" spans="2:16" ht="14.5" hidden="1" x14ac:dyDescent="0.35">
      <c r="B91" s="124">
        <v>89</v>
      </c>
      <c r="C91" s="619" t="s">
        <v>921</v>
      </c>
      <c r="D91" s="238">
        <v>43871</v>
      </c>
      <c r="E91" s="121" t="s">
        <v>345</v>
      </c>
      <c r="F91" s="237">
        <v>43873</v>
      </c>
      <c r="G91" s="237">
        <f>Table1[[#This Row],[Start Date]]</f>
        <v>43873</v>
      </c>
      <c r="H91" s="251" t="s">
        <v>340</v>
      </c>
      <c r="I91" s="618"/>
      <c r="J91" s="69" t="str">
        <f>Table1[[#This Row],[Routine Activities (PM/ PMCAL, CM, Genba, Isotanker, Material Readiness, Sampling)]]</f>
        <v>Genba - aq waste offloading</v>
      </c>
      <c r="P91" s="1"/>
    </row>
    <row r="92" spans="2:16" ht="38.15" hidden="1" customHeight="1" x14ac:dyDescent="0.35">
      <c r="B92" s="124">
        <v>90</v>
      </c>
      <c r="C92" s="619" t="s">
        <v>922</v>
      </c>
      <c r="D92" s="238">
        <v>43871</v>
      </c>
      <c r="E92" s="121" t="s">
        <v>345</v>
      </c>
      <c r="F92" s="237">
        <v>43873</v>
      </c>
      <c r="G92" s="237">
        <f>Table1[[#This Row],[Start Date]]</f>
        <v>43873</v>
      </c>
      <c r="H92" s="251" t="s">
        <v>340</v>
      </c>
      <c r="I92" s="618"/>
      <c r="J92" s="69" t="s">
        <v>923</v>
      </c>
      <c r="P92" s="1"/>
    </row>
    <row r="93" spans="2:16" ht="1.5" hidden="1" customHeight="1" x14ac:dyDescent="0.35">
      <c r="B93" s="124">
        <v>91</v>
      </c>
      <c r="C93" s="620" t="s">
        <v>924</v>
      </c>
      <c r="D93" s="238">
        <v>43871</v>
      </c>
      <c r="E93" s="121" t="s">
        <v>345</v>
      </c>
      <c r="F93" s="237">
        <v>43873</v>
      </c>
      <c r="G93" s="237">
        <f>Table1[[#This Row],[Start Date]]</f>
        <v>43873</v>
      </c>
      <c r="H93" s="251" t="s">
        <v>340</v>
      </c>
      <c r="I93" s="618"/>
      <c r="J93" s="69" t="s">
        <v>925</v>
      </c>
      <c r="P93" s="1"/>
    </row>
    <row r="94" spans="2:16" ht="51.65" hidden="1" customHeight="1" x14ac:dyDescent="0.35">
      <c r="B94" s="124">
        <v>92</v>
      </c>
      <c r="C94" s="619" t="s">
        <v>926</v>
      </c>
      <c r="D94" s="238">
        <v>43871</v>
      </c>
      <c r="E94" s="121" t="s">
        <v>345</v>
      </c>
      <c r="F94" s="237">
        <v>43873</v>
      </c>
      <c r="G94" s="237">
        <f>Table1[[#This Row],[Start Date]]</f>
        <v>43873</v>
      </c>
      <c r="H94" s="251" t="s">
        <v>340</v>
      </c>
      <c r="I94" s="618"/>
      <c r="J94" s="69" t="s">
        <v>927</v>
      </c>
      <c r="P94" s="1"/>
    </row>
    <row r="95" spans="2:16" ht="14.5" hidden="1" x14ac:dyDescent="0.35">
      <c r="B95" s="124">
        <v>93</v>
      </c>
      <c r="C95" s="619" t="s">
        <v>928</v>
      </c>
      <c r="D95" s="238">
        <v>43871</v>
      </c>
      <c r="E95" s="121" t="s">
        <v>345</v>
      </c>
      <c r="F95" s="237">
        <v>43873</v>
      </c>
      <c r="G95" s="237">
        <f>Table1[[#This Row],[Start Date]]</f>
        <v>43873</v>
      </c>
      <c r="H95" s="251" t="s">
        <v>340</v>
      </c>
      <c r="I95" s="618"/>
      <c r="J95" s="179" t="s">
        <v>929</v>
      </c>
      <c r="P95" s="1"/>
    </row>
    <row r="96" spans="2:16" ht="14.5" hidden="1" x14ac:dyDescent="0.35">
      <c r="B96" s="124">
        <v>94</v>
      </c>
      <c r="C96" s="619" t="s">
        <v>930</v>
      </c>
      <c r="D96" s="238">
        <v>43885</v>
      </c>
      <c r="E96" s="121" t="s">
        <v>393</v>
      </c>
      <c r="F96" s="237">
        <v>43873</v>
      </c>
      <c r="G96" s="237">
        <v>43900</v>
      </c>
      <c r="H96" s="251" t="s">
        <v>340</v>
      </c>
      <c r="I96" s="618"/>
      <c r="J96" s="179" t="s">
        <v>931</v>
      </c>
      <c r="P96" s="1"/>
    </row>
    <row r="97" spans="2:16" ht="27.65" hidden="1" customHeight="1" x14ac:dyDescent="0.35">
      <c r="B97" s="124">
        <v>95</v>
      </c>
      <c r="C97" s="619" t="s">
        <v>932</v>
      </c>
      <c r="D97" s="238">
        <v>43871</v>
      </c>
      <c r="E97" s="121" t="s">
        <v>345</v>
      </c>
      <c r="F97" s="237">
        <v>43874</v>
      </c>
      <c r="G97" s="237">
        <f>Table1[[#This Row],[Start Date]]</f>
        <v>43874</v>
      </c>
      <c r="H97" s="251" t="s">
        <v>340</v>
      </c>
      <c r="I97" s="618"/>
      <c r="J97" s="69" t="s">
        <v>933</v>
      </c>
      <c r="P97" s="1"/>
    </row>
    <row r="98" spans="2:16" ht="1.5" hidden="1" customHeight="1" x14ac:dyDescent="0.35">
      <c r="B98" s="124">
        <v>96</v>
      </c>
      <c r="C98" s="619" t="s">
        <v>934</v>
      </c>
      <c r="D98" s="238">
        <v>43871</v>
      </c>
      <c r="E98" s="121" t="s">
        <v>345</v>
      </c>
      <c r="F98" s="237">
        <v>43874</v>
      </c>
      <c r="G98" s="237">
        <f>Table1[[#This Row],[Start Date]]</f>
        <v>43874</v>
      </c>
      <c r="H98" s="251" t="s">
        <v>340</v>
      </c>
      <c r="I98" s="618"/>
      <c r="J98" s="69" t="s">
        <v>935</v>
      </c>
      <c r="P98" s="1"/>
    </row>
    <row r="99" spans="2:16" ht="27.65" hidden="1" customHeight="1" x14ac:dyDescent="0.35">
      <c r="B99" s="124">
        <v>97</v>
      </c>
      <c r="C99" s="619" t="s">
        <v>936</v>
      </c>
      <c r="D99" s="238">
        <v>43871</v>
      </c>
      <c r="E99" s="121" t="s">
        <v>345</v>
      </c>
      <c r="F99" s="237">
        <v>43874</v>
      </c>
      <c r="G99" s="237">
        <f>Table1[[#This Row],[Start Date]]</f>
        <v>43874</v>
      </c>
      <c r="H99" s="251" t="s">
        <v>340</v>
      </c>
      <c r="I99" s="618"/>
      <c r="J99" s="69" t="s">
        <v>937</v>
      </c>
      <c r="P99" s="1"/>
    </row>
    <row r="100" spans="2:16" ht="1.4" hidden="1" customHeight="1" x14ac:dyDescent="0.35">
      <c r="B100" s="124">
        <v>98</v>
      </c>
      <c r="C100" s="619" t="s">
        <v>775</v>
      </c>
      <c r="D100" s="238">
        <v>43871</v>
      </c>
      <c r="E100" s="121" t="s">
        <v>418</v>
      </c>
      <c r="F100" s="237">
        <v>43874</v>
      </c>
      <c r="G100" s="237">
        <f>Table1[[#This Row],[Start Date]]</f>
        <v>43874</v>
      </c>
      <c r="H100" s="251" t="s">
        <v>340</v>
      </c>
      <c r="I100" s="618"/>
      <c r="J100" s="69" t="str">
        <f>Table1[[#This Row],[Routine Activities (PM/ PMCAL, CM, Genba, Isotanker, Material Readiness, Sampling)]]</f>
        <v>N2 loading</v>
      </c>
      <c r="P100" s="1"/>
    </row>
    <row r="101" spans="2:16" ht="1.4" hidden="1" customHeight="1" x14ac:dyDescent="0.35">
      <c r="B101" s="124">
        <v>99</v>
      </c>
      <c r="C101" s="619" t="s">
        <v>938</v>
      </c>
      <c r="D101" s="238">
        <v>43878</v>
      </c>
      <c r="E101" s="121" t="s">
        <v>785</v>
      </c>
      <c r="F101" s="237">
        <v>43875</v>
      </c>
      <c r="G101" s="237">
        <f>Table1[[#This Row],[Start Date]]</f>
        <v>43875</v>
      </c>
      <c r="H101" s="251" t="s">
        <v>340</v>
      </c>
      <c r="I101" s="618"/>
      <c r="J101" s="69" t="str">
        <f>Table1[[#This Row],[Routine Activities (PM/ PMCAL, CM, Genba, Isotanker, Material Readiness, Sampling)]]</f>
        <v>Genba - Drum tipper vs Helsinn bag</v>
      </c>
      <c r="P101" s="1"/>
    </row>
    <row r="102" spans="2:16" ht="39.65" hidden="1" customHeight="1" x14ac:dyDescent="0.35">
      <c r="B102" s="124">
        <v>100</v>
      </c>
      <c r="C102" s="619" t="s">
        <v>857</v>
      </c>
      <c r="D102" s="238">
        <v>43871</v>
      </c>
      <c r="E102" s="121" t="s">
        <v>418</v>
      </c>
      <c r="F102" s="237">
        <v>43875</v>
      </c>
      <c r="G102" s="237">
        <f>Table1[[#This Row],[Start Date]]</f>
        <v>43875</v>
      </c>
      <c r="H102" s="251" t="s">
        <v>340</v>
      </c>
      <c r="I102" s="618" t="s">
        <v>939</v>
      </c>
      <c r="J102" s="69" t="str">
        <f>Table1[[#This Row],[Routine Activities (PM/ PMCAL, CM, Genba, Isotanker, Material Readiness, Sampling)]]</f>
        <v>Solvent loading - EtOAc</v>
      </c>
      <c r="P102" s="1"/>
    </row>
    <row r="103" spans="2:16" ht="46.4" hidden="1" customHeight="1" x14ac:dyDescent="0.35">
      <c r="B103" s="124">
        <v>101</v>
      </c>
      <c r="C103" s="619" t="s">
        <v>940</v>
      </c>
      <c r="D103" s="238">
        <v>43878</v>
      </c>
      <c r="E103" s="121" t="s">
        <v>345</v>
      </c>
      <c r="F103" s="237">
        <v>43878</v>
      </c>
      <c r="G103" s="237">
        <f>Table1[[#This Row],[Start Date]]</f>
        <v>43878</v>
      </c>
      <c r="H103" s="251" t="s">
        <v>340</v>
      </c>
      <c r="I103" s="618"/>
      <c r="J103" s="69" t="s">
        <v>941</v>
      </c>
      <c r="P103" s="1"/>
    </row>
    <row r="104" spans="2:16" ht="41.9" hidden="1" customHeight="1" x14ac:dyDescent="0.35">
      <c r="B104" s="124">
        <v>102</v>
      </c>
      <c r="C104" s="619" t="s">
        <v>942</v>
      </c>
      <c r="D104" s="238">
        <v>43878</v>
      </c>
      <c r="E104" s="121" t="s">
        <v>345</v>
      </c>
      <c r="F104" s="237">
        <v>43878</v>
      </c>
      <c r="G104" s="237">
        <f>Table1[[#This Row],[Start Date]]</f>
        <v>43878</v>
      </c>
      <c r="H104" s="251" t="s">
        <v>340</v>
      </c>
      <c r="I104" s="618"/>
      <c r="J104" s="69" t="s">
        <v>943</v>
      </c>
      <c r="P104" s="1"/>
    </row>
    <row r="105" spans="2:16" ht="31.5" hidden="1" customHeight="1" x14ac:dyDescent="0.35">
      <c r="B105" s="124">
        <v>103</v>
      </c>
      <c r="C105" s="619" t="s">
        <v>944</v>
      </c>
      <c r="D105" s="238">
        <v>43878</v>
      </c>
      <c r="E105" s="121" t="s">
        <v>891</v>
      </c>
      <c r="F105" s="237">
        <v>43878</v>
      </c>
      <c r="G105" s="237">
        <f>Table1[[#This Row],[Start Date]]</f>
        <v>43878</v>
      </c>
      <c r="H105" s="251" t="s">
        <v>340</v>
      </c>
      <c r="I105" s="618"/>
      <c r="J105" s="69" t="s">
        <v>945</v>
      </c>
      <c r="P105" s="1"/>
    </row>
    <row r="106" spans="2:16" ht="30.65" hidden="1" customHeight="1" x14ac:dyDescent="0.35">
      <c r="B106" s="124">
        <v>104</v>
      </c>
      <c r="C106" s="619" t="s">
        <v>946</v>
      </c>
      <c r="D106" s="238">
        <v>43878</v>
      </c>
      <c r="E106" s="121" t="s">
        <v>345</v>
      </c>
      <c r="F106" s="237">
        <v>43879</v>
      </c>
      <c r="G106" s="237">
        <v>43880</v>
      </c>
      <c r="H106" s="251" t="s">
        <v>340</v>
      </c>
      <c r="I106" s="618"/>
      <c r="J106" s="69" t="s">
        <v>947</v>
      </c>
      <c r="P106" s="1"/>
    </row>
    <row r="107" spans="2:16" ht="43.5" hidden="1" x14ac:dyDescent="0.35">
      <c r="B107" s="124">
        <v>105</v>
      </c>
      <c r="C107" s="619" t="s">
        <v>948</v>
      </c>
      <c r="D107" s="238">
        <v>43878</v>
      </c>
      <c r="E107" s="121" t="s">
        <v>345</v>
      </c>
      <c r="F107" s="237">
        <v>43880</v>
      </c>
      <c r="G107" s="237">
        <f>Table1[[#This Row],[Start Date]]</f>
        <v>43880</v>
      </c>
      <c r="H107" s="251" t="s">
        <v>340</v>
      </c>
      <c r="I107" s="618"/>
      <c r="J107" s="69" t="s">
        <v>949</v>
      </c>
      <c r="P107" s="1"/>
    </row>
    <row r="108" spans="2:16" ht="246.5" hidden="1" x14ac:dyDescent="0.35">
      <c r="B108" s="124">
        <v>106</v>
      </c>
      <c r="C108" s="619" t="s">
        <v>950</v>
      </c>
      <c r="D108" s="238">
        <v>43878</v>
      </c>
      <c r="E108" s="121" t="s">
        <v>345</v>
      </c>
      <c r="F108" s="237">
        <v>43880</v>
      </c>
      <c r="G108" s="237">
        <v>43882</v>
      </c>
      <c r="H108" s="251" t="s">
        <v>340</v>
      </c>
      <c r="I108" s="618"/>
      <c r="J108" s="69" t="s">
        <v>951</v>
      </c>
      <c r="P108" s="1"/>
    </row>
    <row r="109" spans="2:16" ht="29" hidden="1" x14ac:dyDescent="0.35">
      <c r="B109" s="124">
        <v>107</v>
      </c>
      <c r="C109" s="617" t="s">
        <v>952</v>
      </c>
      <c r="D109" s="238">
        <v>43878</v>
      </c>
      <c r="E109" s="121" t="s">
        <v>345</v>
      </c>
      <c r="F109" s="237">
        <v>43880</v>
      </c>
      <c r="G109" s="237">
        <f>Table1[[#This Row],[Start Date]]</f>
        <v>43880</v>
      </c>
      <c r="H109" s="251" t="s">
        <v>340</v>
      </c>
      <c r="I109" s="618" t="s">
        <v>953</v>
      </c>
      <c r="J109" s="69" t="s">
        <v>954</v>
      </c>
      <c r="P109" s="1"/>
    </row>
    <row r="110" spans="2:16" ht="304.5" hidden="1" x14ac:dyDescent="0.35">
      <c r="B110" s="124">
        <v>108</v>
      </c>
      <c r="C110" s="617" t="s">
        <v>955</v>
      </c>
      <c r="D110" s="238">
        <v>43878</v>
      </c>
      <c r="E110" s="121" t="s">
        <v>345</v>
      </c>
      <c r="F110" s="237">
        <v>43880</v>
      </c>
      <c r="G110" s="237">
        <v>43882</v>
      </c>
      <c r="H110" s="251" t="s">
        <v>340</v>
      </c>
      <c r="I110" s="618"/>
      <c r="J110" s="69" t="s">
        <v>956</v>
      </c>
      <c r="P110" s="1"/>
    </row>
    <row r="111" spans="2:16" ht="14.5" hidden="1" x14ac:dyDescent="0.35">
      <c r="B111" s="124">
        <v>109</v>
      </c>
      <c r="C111" s="617" t="s">
        <v>957</v>
      </c>
      <c r="D111" s="238">
        <v>43878</v>
      </c>
      <c r="E111" s="121" t="s">
        <v>418</v>
      </c>
      <c r="F111" s="237">
        <v>43880</v>
      </c>
      <c r="G111" s="237">
        <f>Table1[[#This Row],[Start Date]]</f>
        <v>43880</v>
      </c>
      <c r="H111" s="251" t="s">
        <v>340</v>
      </c>
      <c r="I111" s="618" t="s">
        <v>958</v>
      </c>
      <c r="J111" s="69" t="str">
        <f>Table1[[#This Row],[Routine Activities (PM/ PMCAL, CM, Genba, Isotanker, Material Readiness, Sampling)]]</f>
        <v xml:space="preserve">Solvent loading - MeOH </v>
      </c>
      <c r="P111" s="1"/>
    </row>
    <row r="112" spans="2:16" ht="43.5" hidden="1" x14ac:dyDescent="0.35">
      <c r="B112" s="124">
        <v>110</v>
      </c>
      <c r="C112" s="617" t="s">
        <v>959</v>
      </c>
      <c r="D112" s="238">
        <v>43878</v>
      </c>
      <c r="E112" s="121" t="s">
        <v>345</v>
      </c>
      <c r="F112" s="237">
        <v>43881</v>
      </c>
      <c r="G112" s="237">
        <f>Table1[[#This Row],[Start Date]]</f>
        <v>43881</v>
      </c>
      <c r="H112" s="251" t="s">
        <v>340</v>
      </c>
      <c r="I112" s="618" t="s">
        <v>960</v>
      </c>
      <c r="J112" s="69" t="s">
        <v>961</v>
      </c>
      <c r="P112" s="1"/>
    </row>
    <row r="113" spans="1:16" ht="14.5" hidden="1" x14ac:dyDescent="0.35">
      <c r="B113" s="124">
        <v>111</v>
      </c>
      <c r="C113" s="617" t="s">
        <v>775</v>
      </c>
      <c r="D113" s="238">
        <v>43878</v>
      </c>
      <c r="E113" s="121" t="s">
        <v>418</v>
      </c>
      <c r="F113" s="237">
        <v>43881</v>
      </c>
      <c r="G113" s="237">
        <f>Table1[[#This Row],[Start Date]]</f>
        <v>43881</v>
      </c>
      <c r="H113" s="251" t="s">
        <v>340</v>
      </c>
      <c r="I113" s="618"/>
      <c r="J113" s="69" t="str">
        <f>Table1[[#This Row],[Routine Activities (PM/ PMCAL, CM, Genba, Isotanker, Material Readiness, Sampling)]]</f>
        <v>N2 loading</v>
      </c>
      <c r="P113" s="1"/>
    </row>
    <row r="114" spans="1:16" ht="14.5" hidden="1" x14ac:dyDescent="0.35">
      <c r="B114" s="124">
        <v>112</v>
      </c>
      <c r="C114" s="617" t="s">
        <v>777</v>
      </c>
      <c r="D114" s="238">
        <v>43878</v>
      </c>
      <c r="E114" s="121" t="s">
        <v>433</v>
      </c>
      <c r="F114" s="237">
        <v>43882</v>
      </c>
      <c r="G114" s="237">
        <f>Table1[[#This Row],[Start Date]]</f>
        <v>43882</v>
      </c>
      <c r="H114" s="251" t="s">
        <v>340</v>
      </c>
      <c r="I114" s="618"/>
      <c r="J114" s="69" t="str">
        <f>Table1[[#This Row],[Routine Activities (PM/ PMCAL, CM, Genba, Isotanker, Material Readiness, Sampling)]]</f>
        <v>Waste offloading - Org</v>
      </c>
      <c r="P114" s="1"/>
    </row>
    <row r="115" spans="1:16" ht="14.5" hidden="1" x14ac:dyDescent="0.35">
      <c r="B115" s="124">
        <v>113</v>
      </c>
      <c r="C115" s="619" t="s">
        <v>962</v>
      </c>
      <c r="D115" s="238">
        <v>43878</v>
      </c>
      <c r="E115" s="121" t="s">
        <v>418</v>
      </c>
      <c r="F115" s="237">
        <v>43882</v>
      </c>
      <c r="G115" s="237">
        <f>Table1[[#This Row],[Start Date]]</f>
        <v>43882</v>
      </c>
      <c r="H115" s="251" t="s">
        <v>340</v>
      </c>
      <c r="I115" s="618"/>
      <c r="J115" s="69" t="str">
        <f>Table1[[#This Row],[Routine Activities (PM/ PMCAL, CM, Genba, Isotanker, Material Readiness, Sampling)]]</f>
        <v>PO Release for Step A3</v>
      </c>
      <c r="P115" s="1"/>
    </row>
    <row r="116" spans="1:16" ht="2.15" hidden="1" customHeight="1" x14ac:dyDescent="0.35">
      <c r="B116" s="124">
        <v>114</v>
      </c>
      <c r="C116" s="617" t="s">
        <v>963</v>
      </c>
      <c r="D116" s="238">
        <v>43878</v>
      </c>
      <c r="E116" s="122" t="s">
        <v>345</v>
      </c>
      <c r="F116" s="251">
        <v>43882</v>
      </c>
      <c r="G116" s="251">
        <f>Table1[[#This Row],[Start Date]]</f>
        <v>43882</v>
      </c>
      <c r="H116" s="251" t="s">
        <v>340</v>
      </c>
      <c r="I116" s="621"/>
      <c r="J116" s="85" t="str">
        <f>Table1[[#This Row],[Routine Activities (PM/ PMCAL, CM, Genba, Isotanker, Material Readiness, Sampling)]]</f>
        <v>Chiller 1 VFD replacement</v>
      </c>
      <c r="P116" s="1"/>
    </row>
    <row r="117" spans="1:16" ht="1.4" hidden="1" customHeight="1" x14ac:dyDescent="0.35">
      <c r="B117" s="124">
        <v>115</v>
      </c>
      <c r="C117" s="625" t="s">
        <v>964</v>
      </c>
      <c r="D117" s="238">
        <v>43885</v>
      </c>
      <c r="E117" s="121" t="s">
        <v>965</v>
      </c>
      <c r="F117" s="237">
        <v>43885</v>
      </c>
      <c r="G117" s="237">
        <f>Table1[[#This Row],[Start Date]]</f>
        <v>43885</v>
      </c>
      <c r="H117" s="251" t="s">
        <v>966</v>
      </c>
      <c r="I117" s="626" t="s">
        <v>967</v>
      </c>
      <c r="J117" s="179" t="s">
        <v>968</v>
      </c>
      <c r="P117" s="1"/>
    </row>
    <row r="118" spans="1:16" ht="101.5" hidden="1" x14ac:dyDescent="0.35">
      <c r="B118" s="124">
        <v>116</v>
      </c>
      <c r="C118" s="617" t="s">
        <v>969</v>
      </c>
      <c r="D118" s="238">
        <v>43885</v>
      </c>
      <c r="E118" s="121" t="s">
        <v>965</v>
      </c>
      <c r="F118" s="237">
        <v>43885</v>
      </c>
      <c r="G118" s="237">
        <f>Table1[[#This Row],[Start Date]]</f>
        <v>43885</v>
      </c>
      <c r="H118" s="251" t="s">
        <v>340</v>
      </c>
      <c r="I118" s="618" t="s">
        <v>970</v>
      </c>
      <c r="J118" s="69" t="s">
        <v>971</v>
      </c>
      <c r="P118" s="1"/>
    </row>
    <row r="119" spans="1:16" ht="203" hidden="1" x14ac:dyDescent="0.35">
      <c r="B119" s="124">
        <v>117</v>
      </c>
      <c r="C119" s="626" t="s">
        <v>972</v>
      </c>
      <c r="D119" s="238">
        <v>43885</v>
      </c>
      <c r="E119" s="121" t="s">
        <v>965</v>
      </c>
      <c r="F119" s="237">
        <v>43885</v>
      </c>
      <c r="G119" s="237">
        <f>Table1[[#This Row],[Start Date]]</f>
        <v>43885</v>
      </c>
      <c r="H119" s="251" t="s">
        <v>340</v>
      </c>
      <c r="I119" s="627"/>
      <c r="J119" s="179" t="s">
        <v>973</v>
      </c>
      <c r="P119" s="1"/>
    </row>
    <row r="120" spans="1:16" ht="29" hidden="1" x14ac:dyDescent="0.35">
      <c r="B120" s="124">
        <v>118</v>
      </c>
      <c r="C120" s="619" t="s">
        <v>974</v>
      </c>
      <c r="D120" s="238">
        <v>43885</v>
      </c>
      <c r="E120" s="121" t="s">
        <v>975</v>
      </c>
      <c r="F120" s="237">
        <v>43885</v>
      </c>
      <c r="G120" s="237">
        <v>43889</v>
      </c>
      <c r="H120" s="251" t="s">
        <v>340</v>
      </c>
      <c r="I120" s="618" t="s">
        <v>976</v>
      </c>
      <c r="J120" s="179" t="s">
        <v>977</v>
      </c>
      <c r="P120" s="1"/>
    </row>
    <row r="121" spans="1:16" ht="29" hidden="1" x14ac:dyDescent="0.35">
      <c r="B121" s="124">
        <v>119</v>
      </c>
      <c r="C121" s="626" t="s">
        <v>978</v>
      </c>
      <c r="D121" s="238">
        <v>43885</v>
      </c>
      <c r="E121" s="121" t="s">
        <v>979</v>
      </c>
      <c r="F121" s="237">
        <v>43886</v>
      </c>
      <c r="G121" s="237">
        <f>Table1[[#This Row],[Start Date]]</f>
        <v>43886</v>
      </c>
      <c r="H121" s="251" t="s">
        <v>340</v>
      </c>
      <c r="I121" s="627" t="s">
        <v>980</v>
      </c>
      <c r="J121" s="179" t="s">
        <v>981</v>
      </c>
      <c r="P121" s="1"/>
    </row>
    <row r="122" spans="1:16" ht="48.65" hidden="1" customHeight="1" x14ac:dyDescent="0.35">
      <c r="B122" s="124">
        <v>120</v>
      </c>
      <c r="C122" s="626" t="s">
        <v>982</v>
      </c>
      <c r="D122" s="238">
        <v>43885</v>
      </c>
      <c r="E122" s="121" t="s">
        <v>983</v>
      </c>
      <c r="F122" s="237">
        <v>43886</v>
      </c>
      <c r="G122" s="237">
        <v>43887</v>
      </c>
      <c r="H122" s="251" t="s">
        <v>340</v>
      </c>
      <c r="I122" s="627"/>
      <c r="J122" s="179" t="s">
        <v>984</v>
      </c>
      <c r="P122" s="1"/>
    </row>
    <row r="123" spans="1:16" ht="14.5" hidden="1" x14ac:dyDescent="0.35">
      <c r="B123" s="124">
        <v>121</v>
      </c>
      <c r="C123" s="619" t="s">
        <v>985</v>
      </c>
      <c r="D123" s="238">
        <v>43885</v>
      </c>
      <c r="E123" s="121" t="s">
        <v>418</v>
      </c>
      <c r="F123" s="237">
        <v>43886</v>
      </c>
      <c r="G123" s="237">
        <f>Table1[[#This Row],[Start Date]]</f>
        <v>43886</v>
      </c>
      <c r="H123" s="251" t="s">
        <v>340</v>
      </c>
      <c r="I123" s="618"/>
      <c r="J123" s="69" t="s">
        <v>986</v>
      </c>
      <c r="P123" s="1"/>
    </row>
    <row r="124" spans="1:16" ht="14.5" hidden="1" x14ac:dyDescent="0.35">
      <c r="B124" s="124">
        <v>122</v>
      </c>
      <c r="C124" s="619" t="s">
        <v>987</v>
      </c>
      <c r="D124" s="238">
        <v>43885</v>
      </c>
      <c r="E124" s="121" t="s">
        <v>891</v>
      </c>
      <c r="F124" s="237">
        <v>43886</v>
      </c>
      <c r="G124" s="237">
        <f>Table1[[#This Row],[Start Date]]</f>
        <v>43886</v>
      </c>
      <c r="H124" s="251" t="s">
        <v>340</v>
      </c>
      <c r="I124" s="618"/>
      <c r="J124" s="69" t="str">
        <f>Table1[[#This Row],[Routine Activities (PM/ PMCAL, CM, Genba, Isotanker, Material Readiness, Sampling)]]</f>
        <v>QoP - Hydrog Room</v>
      </c>
      <c r="P124" s="1"/>
    </row>
    <row r="125" spans="1:16" ht="14.5" hidden="1" x14ac:dyDescent="0.35">
      <c r="B125" s="124">
        <v>123</v>
      </c>
      <c r="C125" s="619" t="s">
        <v>775</v>
      </c>
      <c r="D125" s="238">
        <v>43885</v>
      </c>
      <c r="E125" s="121" t="s">
        <v>418</v>
      </c>
      <c r="F125" s="237">
        <v>43888</v>
      </c>
      <c r="G125" s="237">
        <f>Table1[[#This Row],[Start Date]]</f>
        <v>43888</v>
      </c>
      <c r="H125" s="251" t="s">
        <v>988</v>
      </c>
      <c r="I125" s="618"/>
      <c r="J125" s="69" t="str">
        <f>Table1[[#This Row],[Routine Activities (PM/ PMCAL, CM, Genba, Isotanker, Material Readiness, Sampling)]]</f>
        <v>N2 loading</v>
      </c>
      <c r="P125" s="1"/>
    </row>
    <row r="126" spans="1:16" ht="29" hidden="1" x14ac:dyDescent="0.35">
      <c r="A126" s="236"/>
      <c r="B126" s="124">
        <v>124</v>
      </c>
      <c r="C126" s="626" t="s">
        <v>989</v>
      </c>
      <c r="D126" s="238">
        <v>43885</v>
      </c>
      <c r="E126" s="121" t="s">
        <v>979</v>
      </c>
      <c r="F126" s="237">
        <v>43888</v>
      </c>
      <c r="G126" s="237">
        <f>Table1[[#This Row],[Start Date]]</f>
        <v>43888</v>
      </c>
      <c r="H126" s="251" t="s">
        <v>988</v>
      </c>
      <c r="I126" s="627"/>
      <c r="J126" s="179" t="s">
        <v>990</v>
      </c>
      <c r="P126" s="1"/>
    </row>
    <row r="127" spans="1:16" ht="29" hidden="1" x14ac:dyDescent="0.35">
      <c r="A127" s="236"/>
      <c r="B127" s="124">
        <v>126</v>
      </c>
      <c r="C127" s="626" t="s">
        <v>991</v>
      </c>
      <c r="D127" s="238">
        <v>43885</v>
      </c>
      <c r="E127" s="121" t="s">
        <v>992</v>
      </c>
      <c r="F127" s="237">
        <v>43888</v>
      </c>
      <c r="G127" s="237">
        <f>Table1[[#This Row],[Start Date]]</f>
        <v>43888</v>
      </c>
      <c r="H127" s="251" t="s">
        <v>988</v>
      </c>
      <c r="I127" s="628" t="s">
        <v>993</v>
      </c>
      <c r="J127" s="179" t="s">
        <v>994</v>
      </c>
      <c r="P127" s="1"/>
    </row>
    <row r="128" spans="1:16" ht="30.65" hidden="1" customHeight="1" x14ac:dyDescent="0.35">
      <c r="A128" s="236"/>
      <c r="B128" s="124">
        <v>127</v>
      </c>
      <c r="C128" s="625" t="s">
        <v>995</v>
      </c>
      <c r="D128" s="238">
        <v>43885</v>
      </c>
      <c r="E128" s="121" t="s">
        <v>979</v>
      </c>
      <c r="F128" s="237">
        <v>43888</v>
      </c>
      <c r="G128" s="237">
        <f>Table1[[#This Row],[Start Date]]</f>
        <v>43888</v>
      </c>
      <c r="H128" s="251" t="s">
        <v>340</v>
      </c>
      <c r="I128" s="626" t="s">
        <v>996</v>
      </c>
      <c r="J128" s="179" t="s">
        <v>997</v>
      </c>
      <c r="P128" s="1"/>
    </row>
    <row r="129" spans="1:16" ht="74.150000000000006" hidden="1" customHeight="1" x14ac:dyDescent="0.35">
      <c r="A129" s="236"/>
      <c r="B129" s="124">
        <v>128</v>
      </c>
      <c r="C129" s="619" t="s">
        <v>998</v>
      </c>
      <c r="D129" s="238">
        <v>43885</v>
      </c>
      <c r="E129" s="121" t="s">
        <v>418</v>
      </c>
      <c r="F129" s="237">
        <v>43889</v>
      </c>
      <c r="G129" s="237">
        <f>Table1[[#This Row],[Start Date]]</f>
        <v>43889</v>
      </c>
      <c r="H129" s="251" t="s">
        <v>340</v>
      </c>
      <c r="I129" s="618"/>
      <c r="J129" s="69" t="str">
        <f>Table1[[#This Row],[Routine Activities (PM/ PMCAL, CM, Genba, Isotanker, Material Readiness, Sampling)]]</f>
        <v>Solvent loading - MeOH</v>
      </c>
      <c r="P129" s="1"/>
    </row>
    <row r="130" spans="1:16" ht="14.5" hidden="1" x14ac:dyDescent="0.35">
      <c r="A130" s="236"/>
      <c r="B130" s="124">
        <v>129</v>
      </c>
      <c r="C130" s="619" t="s">
        <v>999</v>
      </c>
      <c r="D130" s="238">
        <v>43885</v>
      </c>
      <c r="E130" s="121" t="s">
        <v>1000</v>
      </c>
      <c r="F130" s="237">
        <v>43889</v>
      </c>
      <c r="G130" s="237">
        <f>Table1[[#This Row],[Start Date]]</f>
        <v>43889</v>
      </c>
      <c r="H130" s="251" t="s">
        <v>340</v>
      </c>
      <c r="I130" s="618"/>
      <c r="J130" s="69" t="s">
        <v>1001</v>
      </c>
      <c r="P130" s="1"/>
    </row>
    <row r="131" spans="1:16" ht="29" hidden="1" x14ac:dyDescent="0.35">
      <c r="A131" s="236"/>
      <c r="B131" s="124">
        <v>130</v>
      </c>
      <c r="C131" s="617" t="s">
        <v>1002</v>
      </c>
      <c r="D131" s="238">
        <v>43885</v>
      </c>
      <c r="E131" s="121" t="s">
        <v>433</v>
      </c>
      <c r="F131" s="237">
        <v>43889</v>
      </c>
      <c r="G131" s="237">
        <f>Table1[[#This Row],[Start Date]]</f>
        <v>43889</v>
      </c>
      <c r="H131" s="251" t="s">
        <v>340</v>
      </c>
      <c r="I131" s="618"/>
      <c r="J131" s="69" t="str">
        <f>Table1[[#This Row],[Routine Activities (PM/ PMCAL, CM, Genba, Isotanker, Material Readiness, Sampling)]]</f>
        <v>Catalyst waste drums removal</v>
      </c>
      <c r="P131" s="1"/>
    </row>
    <row r="132" spans="1:16" ht="28.5" hidden="1" customHeight="1" x14ac:dyDescent="0.35">
      <c r="A132" s="236"/>
      <c r="B132" s="124">
        <v>131</v>
      </c>
      <c r="C132" s="627" t="s">
        <v>1003</v>
      </c>
      <c r="D132" s="238">
        <v>43885</v>
      </c>
      <c r="E132" s="121" t="s">
        <v>345</v>
      </c>
      <c r="F132" s="237">
        <v>43890</v>
      </c>
      <c r="G132" s="237">
        <v>43891</v>
      </c>
      <c r="H132" s="251" t="s">
        <v>340</v>
      </c>
      <c r="I132" s="618"/>
      <c r="J132" s="69" t="s">
        <v>1004</v>
      </c>
      <c r="P132" s="1"/>
    </row>
    <row r="133" spans="1:16" ht="28.5" hidden="1" customHeight="1" x14ac:dyDescent="0.35">
      <c r="A133" s="236"/>
      <c r="B133" s="124">
        <v>132</v>
      </c>
      <c r="C133" s="619" t="s">
        <v>777</v>
      </c>
      <c r="D133" s="238">
        <v>43885</v>
      </c>
      <c r="E133" s="121" t="s">
        <v>433</v>
      </c>
      <c r="F133" s="237">
        <v>43890</v>
      </c>
      <c r="G133" s="237">
        <f>Table1[[#This Row],[Start Date]]</f>
        <v>43890</v>
      </c>
      <c r="H133" s="251" t="s">
        <v>340</v>
      </c>
      <c r="I133" s="618" t="s">
        <v>1005</v>
      </c>
      <c r="J133" s="69" t="str">
        <f>Table1[[#This Row],[Routine Activities (PM/ PMCAL, CM, Genba, Isotanker, Material Readiness, Sampling)]]</f>
        <v>Waste offloading - Org</v>
      </c>
      <c r="P133" s="1"/>
    </row>
    <row r="134" spans="1:16" ht="19.399999999999999" hidden="1" customHeight="1" x14ac:dyDescent="0.35">
      <c r="A134" s="236"/>
      <c r="B134" s="124">
        <v>133</v>
      </c>
      <c r="C134" s="626" t="s">
        <v>1006</v>
      </c>
      <c r="D134" s="238">
        <v>43885</v>
      </c>
      <c r="E134" s="121" t="s">
        <v>1007</v>
      </c>
      <c r="F134" s="237">
        <v>43891</v>
      </c>
      <c r="G134" s="237">
        <v>43920</v>
      </c>
      <c r="H134" s="251" t="s">
        <v>340</v>
      </c>
      <c r="I134" s="628" t="s">
        <v>340</v>
      </c>
      <c r="J134" s="179" t="s">
        <v>796</v>
      </c>
      <c r="P134" s="1"/>
    </row>
    <row r="135" spans="1:16" ht="43.5" hidden="1" x14ac:dyDescent="0.35">
      <c r="A135" s="236"/>
      <c r="B135" s="124">
        <v>134</v>
      </c>
      <c r="C135" s="626" t="s">
        <v>1008</v>
      </c>
      <c r="D135" s="238">
        <v>43885</v>
      </c>
      <c r="E135" s="121" t="s">
        <v>1007</v>
      </c>
      <c r="F135" s="237">
        <v>43891</v>
      </c>
      <c r="G135" s="237">
        <v>43920</v>
      </c>
      <c r="H135" s="251" t="s">
        <v>340</v>
      </c>
      <c r="I135" s="628" t="s">
        <v>340</v>
      </c>
      <c r="J135" s="179" t="s">
        <v>796</v>
      </c>
      <c r="P135" s="1"/>
    </row>
    <row r="136" spans="1:16" ht="174" hidden="1" x14ac:dyDescent="0.35">
      <c r="A136" s="236"/>
      <c r="B136" s="124">
        <v>135</v>
      </c>
      <c r="C136" s="617" t="s">
        <v>1009</v>
      </c>
      <c r="D136" s="238">
        <v>43885</v>
      </c>
      <c r="E136" s="121" t="s">
        <v>983</v>
      </c>
      <c r="F136" s="237">
        <v>43891</v>
      </c>
      <c r="G136" s="237">
        <v>43892</v>
      </c>
      <c r="H136" s="251" t="s">
        <v>340</v>
      </c>
      <c r="I136" s="618"/>
      <c r="J136" s="69" t="s">
        <v>1010</v>
      </c>
      <c r="P136" s="1"/>
    </row>
    <row r="137" spans="1:16" ht="29" hidden="1" x14ac:dyDescent="0.35">
      <c r="A137" s="236"/>
      <c r="B137" s="124">
        <v>136</v>
      </c>
      <c r="C137" s="617" t="s">
        <v>1011</v>
      </c>
      <c r="D137" s="238">
        <v>43892</v>
      </c>
      <c r="E137" s="121" t="s">
        <v>1012</v>
      </c>
      <c r="F137" s="237">
        <v>43893</v>
      </c>
      <c r="G137" s="237">
        <f>Table1[[#This Row],[Start Date]]</f>
        <v>43893</v>
      </c>
      <c r="H137" s="251" t="s">
        <v>340</v>
      </c>
      <c r="I137" s="618"/>
      <c r="J137" s="69" t="s">
        <v>1013</v>
      </c>
      <c r="P137" s="1"/>
    </row>
    <row r="138" spans="1:16" ht="29" hidden="1" x14ac:dyDescent="0.35">
      <c r="B138" s="124">
        <v>137</v>
      </c>
      <c r="C138" s="617" t="s">
        <v>1014</v>
      </c>
      <c r="D138" s="238">
        <v>43892</v>
      </c>
      <c r="E138" s="121" t="s">
        <v>1015</v>
      </c>
      <c r="F138" s="237">
        <v>43894</v>
      </c>
      <c r="G138" s="237">
        <f>Table1[[#This Row],[Start Date]]</f>
        <v>43894</v>
      </c>
      <c r="H138" s="251" t="s">
        <v>340</v>
      </c>
      <c r="I138" s="618"/>
      <c r="J138" s="69" t="s">
        <v>1016</v>
      </c>
      <c r="P138" s="1"/>
    </row>
    <row r="139" spans="1:16" ht="14.5" hidden="1" x14ac:dyDescent="0.35">
      <c r="B139" s="124">
        <v>138</v>
      </c>
      <c r="C139" s="617" t="s">
        <v>1002</v>
      </c>
      <c r="D139" s="238">
        <v>43892</v>
      </c>
      <c r="E139" s="121" t="s">
        <v>433</v>
      </c>
      <c r="F139" s="237">
        <v>43894</v>
      </c>
      <c r="G139" s="237">
        <f>Table1[[#This Row],[Start Date]]</f>
        <v>43894</v>
      </c>
      <c r="H139" s="251" t="s">
        <v>340</v>
      </c>
      <c r="I139" s="618"/>
      <c r="J139" s="69" t="s">
        <v>1017</v>
      </c>
      <c r="P139" s="1"/>
    </row>
    <row r="140" spans="1:16" ht="14.5" hidden="1" x14ac:dyDescent="0.35">
      <c r="B140" s="124">
        <v>139</v>
      </c>
      <c r="C140" s="617" t="s">
        <v>1018</v>
      </c>
      <c r="D140" s="238">
        <v>43892</v>
      </c>
      <c r="E140" s="121" t="s">
        <v>1019</v>
      </c>
      <c r="F140" s="237">
        <v>43894</v>
      </c>
      <c r="G140" s="237">
        <f>Table1[[#This Row],[Start Date]]</f>
        <v>43894</v>
      </c>
      <c r="H140" s="251" t="s">
        <v>340</v>
      </c>
      <c r="I140" s="618" t="s">
        <v>1020</v>
      </c>
      <c r="J140" s="69" t="str">
        <f>Table1[[#This Row],[Routine Activities (PM/ PMCAL, CM, Genba, Isotanker, Material Readiness, Sampling)]]</f>
        <v xml:space="preserve">QoP </v>
      </c>
      <c r="P140" s="1"/>
    </row>
    <row r="141" spans="1:16" ht="48" hidden="1" customHeight="1" x14ac:dyDescent="0.35">
      <c r="B141" s="124">
        <v>140</v>
      </c>
      <c r="C141" s="617" t="s">
        <v>775</v>
      </c>
      <c r="D141" s="238">
        <v>43892</v>
      </c>
      <c r="E141" s="121" t="s">
        <v>418</v>
      </c>
      <c r="F141" s="237">
        <v>43895</v>
      </c>
      <c r="G141" s="237">
        <f>Table1[[#This Row],[Start Date]]</f>
        <v>43895</v>
      </c>
      <c r="H141" s="251" t="s">
        <v>340</v>
      </c>
      <c r="I141" s="618"/>
      <c r="J141" s="69" t="str">
        <f>Table1[[#This Row],[Routine Activities (PM/ PMCAL, CM, Genba, Isotanker, Material Readiness, Sampling)]]</f>
        <v>N2 loading</v>
      </c>
      <c r="P141" s="1"/>
    </row>
    <row r="142" spans="1:16" ht="14.5" hidden="1" x14ac:dyDescent="0.35">
      <c r="B142" s="124">
        <v>141</v>
      </c>
      <c r="C142" s="619" t="s">
        <v>1021</v>
      </c>
      <c r="D142" s="238">
        <v>43892</v>
      </c>
      <c r="E142" s="121" t="s">
        <v>345</v>
      </c>
      <c r="F142" s="237">
        <v>43896</v>
      </c>
      <c r="G142" s="237">
        <f>Table1[[#This Row],[Start Date]]</f>
        <v>43896</v>
      </c>
      <c r="H142" s="251" t="s">
        <v>340</v>
      </c>
      <c r="I142" s="618"/>
      <c r="J142" s="179" t="s">
        <v>1022</v>
      </c>
      <c r="P142" s="1"/>
    </row>
    <row r="143" spans="1:16" ht="14.5" hidden="1" x14ac:dyDescent="0.35">
      <c r="B143" s="124">
        <v>142</v>
      </c>
      <c r="C143" s="617" t="s">
        <v>792</v>
      </c>
      <c r="D143" s="238"/>
      <c r="E143" s="121" t="s">
        <v>433</v>
      </c>
      <c r="F143" s="237">
        <v>43896</v>
      </c>
      <c r="G143" s="237">
        <f>Table1[[#This Row],[Start Date]]</f>
        <v>43896</v>
      </c>
      <c r="H143" s="251" t="s">
        <v>340</v>
      </c>
      <c r="I143" s="618"/>
      <c r="J143" s="69" t="str">
        <f>Table1[[#This Row],[Routine Activities (PM/ PMCAL, CM, Genba, Isotanker, Material Readiness, Sampling)]]</f>
        <v>Waste offloading - Aq</v>
      </c>
      <c r="P143" s="1"/>
    </row>
    <row r="144" spans="1:16" ht="29" hidden="1" x14ac:dyDescent="0.35">
      <c r="B144" s="124">
        <v>143</v>
      </c>
      <c r="C144" s="619" t="s">
        <v>1023</v>
      </c>
      <c r="D144" s="238">
        <v>43892</v>
      </c>
      <c r="E144" s="121" t="s">
        <v>1024</v>
      </c>
      <c r="F144" s="237">
        <v>43897</v>
      </c>
      <c r="G144" s="237">
        <v>43898</v>
      </c>
      <c r="H144" s="251" t="s">
        <v>340</v>
      </c>
      <c r="I144" s="618" t="s">
        <v>1025</v>
      </c>
      <c r="J144" s="179" t="s">
        <v>1026</v>
      </c>
      <c r="P144" s="1"/>
    </row>
    <row r="145" spans="2:16" ht="24" hidden="1" customHeight="1" x14ac:dyDescent="0.35">
      <c r="B145" s="124">
        <v>144</v>
      </c>
      <c r="C145" s="617" t="s">
        <v>1027</v>
      </c>
      <c r="D145" s="238">
        <v>43892</v>
      </c>
      <c r="E145" s="121" t="s">
        <v>1028</v>
      </c>
      <c r="F145" s="237">
        <v>43897</v>
      </c>
      <c r="G145" s="237">
        <v>43898</v>
      </c>
      <c r="H145" s="251" t="s">
        <v>340</v>
      </c>
      <c r="I145" s="618" t="s">
        <v>1025</v>
      </c>
      <c r="J145" s="69" t="s">
        <v>1029</v>
      </c>
      <c r="P145" s="1"/>
    </row>
    <row r="146" spans="2:16" ht="29" hidden="1" x14ac:dyDescent="0.35">
      <c r="B146" s="124">
        <v>145</v>
      </c>
      <c r="C146" s="619" t="s">
        <v>1030</v>
      </c>
      <c r="D146" s="238">
        <v>43892</v>
      </c>
      <c r="E146" s="121" t="s">
        <v>1024</v>
      </c>
      <c r="F146" s="237">
        <v>43897</v>
      </c>
      <c r="G146" s="237">
        <v>43898</v>
      </c>
      <c r="H146" s="251" t="s">
        <v>340</v>
      </c>
      <c r="I146" s="618" t="s">
        <v>1025</v>
      </c>
      <c r="J146" s="179" t="s">
        <v>832</v>
      </c>
      <c r="P146" s="1"/>
    </row>
    <row r="147" spans="2:16" ht="29" hidden="1" x14ac:dyDescent="0.35">
      <c r="B147" s="124">
        <v>146</v>
      </c>
      <c r="C147" s="619" t="s">
        <v>1031</v>
      </c>
      <c r="D147" s="238">
        <v>43892</v>
      </c>
      <c r="E147" s="121" t="s">
        <v>1024</v>
      </c>
      <c r="F147" s="237">
        <v>43897</v>
      </c>
      <c r="G147" s="237">
        <v>43898</v>
      </c>
      <c r="H147" s="251" t="s">
        <v>340</v>
      </c>
      <c r="I147" s="618" t="s">
        <v>1025</v>
      </c>
      <c r="J147" s="179" t="s">
        <v>832</v>
      </c>
      <c r="P147" s="1"/>
    </row>
    <row r="148" spans="2:16" ht="29" hidden="1" x14ac:dyDescent="0.35">
      <c r="B148" s="124">
        <v>147</v>
      </c>
      <c r="C148" s="617" t="s">
        <v>1032</v>
      </c>
      <c r="D148" s="238">
        <v>43892</v>
      </c>
      <c r="E148" s="121" t="s">
        <v>1012</v>
      </c>
      <c r="F148" s="237">
        <v>43898</v>
      </c>
      <c r="G148" s="237">
        <f>Table1[[#This Row],[Start Date]]</f>
        <v>43898</v>
      </c>
      <c r="H148" s="251" t="s">
        <v>340</v>
      </c>
      <c r="I148" s="618"/>
      <c r="J148" s="69" t="s">
        <v>1033</v>
      </c>
      <c r="P148" s="1"/>
    </row>
    <row r="149" spans="2:16" ht="29" hidden="1" x14ac:dyDescent="0.35">
      <c r="B149" s="124">
        <v>148</v>
      </c>
      <c r="C149" s="617" t="s">
        <v>1034</v>
      </c>
      <c r="D149" s="238">
        <v>43892</v>
      </c>
      <c r="E149" s="121" t="s">
        <v>345</v>
      </c>
      <c r="F149" s="237">
        <v>43898</v>
      </c>
      <c r="G149" s="237">
        <f>Table1[[#This Row],[Start Date]]</f>
        <v>43898</v>
      </c>
      <c r="H149" s="251" t="s">
        <v>340</v>
      </c>
      <c r="I149" s="618"/>
      <c r="J149" s="69" t="s">
        <v>1033</v>
      </c>
      <c r="P149" s="1"/>
    </row>
    <row r="150" spans="2:16" ht="29.9" hidden="1" customHeight="1" x14ac:dyDescent="0.35">
      <c r="B150" s="124">
        <v>149</v>
      </c>
      <c r="C150" s="617" t="s">
        <v>1002</v>
      </c>
      <c r="D150" s="238">
        <v>43899</v>
      </c>
      <c r="E150" s="121" t="s">
        <v>433</v>
      </c>
      <c r="F150" s="237">
        <v>43900</v>
      </c>
      <c r="G150" s="237">
        <f>Table1[[#This Row],[Start Date]]</f>
        <v>43900</v>
      </c>
      <c r="H150" s="251" t="s">
        <v>340</v>
      </c>
      <c r="I150" s="618"/>
      <c r="J150" s="69" t="s">
        <v>1017</v>
      </c>
      <c r="P150" s="1"/>
    </row>
    <row r="151" spans="2:16" ht="29" hidden="1" x14ac:dyDescent="0.35">
      <c r="B151" s="124">
        <v>150</v>
      </c>
      <c r="C151" s="617" t="s">
        <v>1035</v>
      </c>
      <c r="D151" s="238">
        <v>43899</v>
      </c>
      <c r="E151" s="121" t="s">
        <v>345</v>
      </c>
      <c r="F151" s="237">
        <v>43900</v>
      </c>
      <c r="G151" s="237">
        <v>43901</v>
      </c>
      <c r="H151" s="251" t="s">
        <v>340</v>
      </c>
      <c r="I151" s="618"/>
      <c r="J151" s="69" t="s">
        <v>1036</v>
      </c>
      <c r="P151" s="1"/>
    </row>
    <row r="152" spans="2:16" ht="29" hidden="1" x14ac:dyDescent="0.35">
      <c r="B152" s="124">
        <v>151</v>
      </c>
      <c r="C152" s="617" t="s">
        <v>1037</v>
      </c>
      <c r="D152" s="238">
        <v>43899</v>
      </c>
      <c r="E152" s="121" t="s">
        <v>345</v>
      </c>
      <c r="F152" s="237">
        <v>43900</v>
      </c>
      <c r="G152" s="237">
        <f>Table1[[#This Row],[Start Date]]</f>
        <v>43900</v>
      </c>
      <c r="H152" s="251" t="s">
        <v>340</v>
      </c>
      <c r="I152" s="618"/>
      <c r="J152" s="69" t="s">
        <v>1038</v>
      </c>
      <c r="P152" s="1"/>
    </row>
    <row r="153" spans="2:16" ht="15" hidden="1" customHeight="1" x14ac:dyDescent="0.35">
      <c r="B153" s="124">
        <v>152</v>
      </c>
      <c r="C153" s="617" t="s">
        <v>1039</v>
      </c>
      <c r="D153" s="238">
        <v>43899</v>
      </c>
      <c r="E153" s="121" t="s">
        <v>345</v>
      </c>
      <c r="F153" s="237">
        <v>43900</v>
      </c>
      <c r="G153" s="237">
        <f>Table1[[#This Row],[Start Date]]</f>
        <v>43900</v>
      </c>
      <c r="H153" s="251" t="s">
        <v>340</v>
      </c>
      <c r="I153" s="618"/>
      <c r="J153" s="69" t="s">
        <v>1040</v>
      </c>
      <c r="P153" s="1"/>
    </row>
    <row r="154" spans="2:16" ht="15" hidden="1" customHeight="1" x14ac:dyDescent="0.35">
      <c r="B154" s="121">
        <v>153</v>
      </c>
      <c r="C154" s="617" t="s">
        <v>1041</v>
      </c>
      <c r="D154" s="238">
        <v>43899</v>
      </c>
      <c r="E154" s="121" t="s">
        <v>433</v>
      </c>
      <c r="F154" s="237">
        <v>43900</v>
      </c>
      <c r="G154" s="237">
        <f>Table1[[#This Row],[Start Date]]</f>
        <v>43900</v>
      </c>
      <c r="H154" s="251" t="s">
        <v>340</v>
      </c>
      <c r="I154" s="618"/>
      <c r="J154" s="69" t="str">
        <f>Table1[[#This Row],[Routine Activities (PM/ PMCAL, CM, Genba, Isotanker, Material Readiness, Sampling)]]</f>
        <v>Additional waste drums for DCM drumming - 6 drums</v>
      </c>
      <c r="P154" s="1"/>
    </row>
    <row r="155" spans="2:16" ht="15" hidden="1" customHeight="1" x14ac:dyDescent="0.35">
      <c r="B155" s="121">
        <v>154</v>
      </c>
      <c r="C155" s="617" t="s">
        <v>1042</v>
      </c>
      <c r="D155" s="238">
        <v>43899</v>
      </c>
      <c r="E155" s="121" t="s">
        <v>345</v>
      </c>
      <c r="F155" s="237">
        <v>43900</v>
      </c>
      <c r="G155" s="237">
        <f>Table1[[#This Row],[Start Date]]</f>
        <v>43900</v>
      </c>
      <c r="H155" s="251" t="s">
        <v>340</v>
      </c>
      <c r="I155" s="618" t="s">
        <v>1043</v>
      </c>
      <c r="J155" s="69" t="s">
        <v>1036</v>
      </c>
      <c r="P155" s="1"/>
    </row>
    <row r="156" spans="2:16" ht="15" hidden="1" customHeight="1" x14ac:dyDescent="0.35">
      <c r="B156" s="124">
        <v>155</v>
      </c>
      <c r="C156" s="629" t="s">
        <v>1044</v>
      </c>
      <c r="D156" s="296">
        <v>43899</v>
      </c>
      <c r="E156" s="124" t="s">
        <v>345</v>
      </c>
      <c r="F156" s="310">
        <v>43901</v>
      </c>
      <c r="G156" s="310">
        <v>43902</v>
      </c>
      <c r="H156" s="256" t="s">
        <v>340</v>
      </c>
      <c r="I156" s="630"/>
      <c r="J156" s="244" t="s">
        <v>1045</v>
      </c>
      <c r="P156" s="1"/>
    </row>
    <row r="157" spans="2:16" ht="15" hidden="1" customHeight="1" x14ac:dyDescent="0.35">
      <c r="B157" s="124">
        <v>156</v>
      </c>
      <c r="C157" s="631" t="s">
        <v>1046</v>
      </c>
      <c r="D157" s="254">
        <v>43899</v>
      </c>
      <c r="E157" s="255" t="s">
        <v>345</v>
      </c>
      <c r="F157" s="248">
        <v>43901</v>
      </c>
      <c r="G157" s="248">
        <v>43902</v>
      </c>
      <c r="H157" s="257" t="s">
        <v>340</v>
      </c>
      <c r="I157" s="632"/>
      <c r="J157" s="245" t="s">
        <v>1047</v>
      </c>
      <c r="P157" s="1"/>
    </row>
    <row r="158" spans="2:16" ht="15" hidden="1" customHeight="1" x14ac:dyDescent="0.35">
      <c r="B158" s="124">
        <v>157</v>
      </c>
      <c r="C158" s="631" t="s">
        <v>1048</v>
      </c>
      <c r="D158" s="254">
        <v>43899</v>
      </c>
      <c r="E158" s="255" t="s">
        <v>785</v>
      </c>
      <c r="F158" s="248">
        <v>43901</v>
      </c>
      <c r="G158" s="248">
        <v>43903</v>
      </c>
      <c r="H158" s="257" t="s">
        <v>340</v>
      </c>
      <c r="I158" s="632"/>
      <c r="J158" s="245" t="str">
        <f>Table1[[#This Row],[Routine Activities (PM/ PMCAL, CM, Genba, Isotanker, Material Readiness, Sampling)]]</f>
        <v>DS Packout - Depends if A3-2 has recrystallization</v>
      </c>
      <c r="P158" s="1"/>
    </row>
    <row r="159" spans="2:16" ht="15" hidden="1" customHeight="1" x14ac:dyDescent="0.35">
      <c r="B159" s="124">
        <v>158</v>
      </c>
      <c r="C159" s="631" t="s">
        <v>998</v>
      </c>
      <c r="D159" s="254">
        <v>43899</v>
      </c>
      <c r="E159" s="255" t="s">
        <v>418</v>
      </c>
      <c r="F159" s="248">
        <v>43901</v>
      </c>
      <c r="G159" s="248">
        <f>Table1[[#This Row],[Start Date]]</f>
        <v>43901</v>
      </c>
      <c r="H159" s="257" t="s">
        <v>340</v>
      </c>
      <c r="I159" s="632" t="s">
        <v>1049</v>
      </c>
      <c r="J159" s="245" t="str">
        <f>Table1[[#This Row],[Routine Activities (PM/ PMCAL, CM, Genba, Isotanker, Material Readiness, Sampling)]]</f>
        <v>Solvent loading - MeOH</v>
      </c>
      <c r="P159" s="1"/>
    </row>
    <row r="160" spans="2:16" ht="15" hidden="1" customHeight="1" x14ac:dyDescent="0.35">
      <c r="B160" s="124">
        <v>159</v>
      </c>
      <c r="C160" s="631" t="s">
        <v>1050</v>
      </c>
      <c r="D160" s="296">
        <v>43899</v>
      </c>
      <c r="E160" s="124" t="s">
        <v>891</v>
      </c>
      <c r="F160" s="248">
        <v>43901</v>
      </c>
      <c r="G160" s="248">
        <f>Table1[[#This Row],[Start Date]]</f>
        <v>43901</v>
      </c>
      <c r="H160" s="257" t="s">
        <v>340</v>
      </c>
      <c r="I160" s="632"/>
      <c r="J160" s="245" t="str">
        <f>Table1[[#This Row],[Routine Activities (PM/ PMCAL, CM, Genba, Isotanker, Material Readiness, Sampling)]]</f>
        <v>QoP - Packout</v>
      </c>
      <c r="P160" s="1"/>
    </row>
    <row r="161" spans="2:16" ht="15" hidden="1" customHeight="1" x14ac:dyDescent="0.35">
      <c r="B161" s="124">
        <v>160</v>
      </c>
      <c r="C161" s="631" t="s">
        <v>1051</v>
      </c>
      <c r="D161" s="296">
        <v>43899</v>
      </c>
      <c r="E161" s="124" t="s">
        <v>418</v>
      </c>
      <c r="F161" s="248">
        <v>43901</v>
      </c>
      <c r="G161" s="248">
        <f>Table1[[#This Row],[Start Date]]</f>
        <v>43901</v>
      </c>
      <c r="H161" s="257" t="s">
        <v>340</v>
      </c>
      <c r="I161" s="632"/>
      <c r="J161" s="245" t="str">
        <f>Table1[[#This Row],[Routine Activities (PM/ PMCAL, CM, Genba, Isotanker, Material Readiness, Sampling)]]</f>
        <v>Material Readiness for cleaning</v>
      </c>
      <c r="P161" s="1"/>
    </row>
    <row r="162" spans="2:16" ht="29" hidden="1" x14ac:dyDescent="0.35">
      <c r="B162" s="124">
        <v>161</v>
      </c>
      <c r="C162" s="633" t="s">
        <v>1052</v>
      </c>
      <c r="D162" s="296">
        <v>43899</v>
      </c>
      <c r="E162" s="124" t="s">
        <v>345</v>
      </c>
      <c r="F162" s="248">
        <v>43902</v>
      </c>
      <c r="G162" s="248">
        <f>Table1[[#This Row],[Start Date]]</f>
        <v>43902</v>
      </c>
      <c r="H162" s="257" t="s">
        <v>340</v>
      </c>
      <c r="I162" s="632"/>
      <c r="J162" s="249" t="s">
        <v>832</v>
      </c>
      <c r="P162" s="1"/>
    </row>
    <row r="163" spans="2:16" ht="15" hidden="1" customHeight="1" x14ac:dyDescent="0.35">
      <c r="B163" s="124">
        <v>162</v>
      </c>
      <c r="C163" s="631" t="s">
        <v>775</v>
      </c>
      <c r="D163" s="296">
        <v>43899</v>
      </c>
      <c r="E163" s="124" t="s">
        <v>418</v>
      </c>
      <c r="F163" s="248">
        <v>43902</v>
      </c>
      <c r="G163" s="248">
        <f>Table1[[#This Row],[Start Date]]</f>
        <v>43902</v>
      </c>
      <c r="H163" s="257" t="s">
        <v>340</v>
      </c>
      <c r="I163" s="632"/>
      <c r="J163" s="245" t="str">
        <f>Table1[[#This Row],[Routine Activities (PM/ PMCAL, CM, Genba, Isotanker, Material Readiness, Sampling)]]</f>
        <v>N2 loading</v>
      </c>
      <c r="P163" s="1"/>
    </row>
    <row r="164" spans="2:16" ht="15" hidden="1" customHeight="1" x14ac:dyDescent="0.35">
      <c r="B164" s="124">
        <v>163</v>
      </c>
      <c r="C164" s="631" t="s">
        <v>1053</v>
      </c>
      <c r="D164" s="296">
        <v>43899</v>
      </c>
      <c r="E164" s="255" t="s">
        <v>1054</v>
      </c>
      <c r="F164" s="248">
        <v>43902</v>
      </c>
      <c r="G164" s="248">
        <f>Table1[[#This Row],[Start Date]]</f>
        <v>43902</v>
      </c>
      <c r="H164" s="257" t="s">
        <v>340</v>
      </c>
      <c r="I164" s="632"/>
      <c r="J164" s="245" t="str">
        <f>Table1[[#This Row],[Routine Activities (PM/ PMCAL, CM, Genba, Isotanker, Material Readiness, Sampling)]]</f>
        <v>IH Monitoring - DCM waste drumming</v>
      </c>
      <c r="P164" s="1"/>
    </row>
    <row r="165" spans="2:16" ht="15" hidden="1" customHeight="1" x14ac:dyDescent="0.35">
      <c r="B165" s="124">
        <v>164</v>
      </c>
      <c r="C165" s="631" t="s">
        <v>1055</v>
      </c>
      <c r="D165" s="296">
        <v>43899</v>
      </c>
      <c r="E165" s="255" t="s">
        <v>345</v>
      </c>
      <c r="F165" s="248">
        <v>43903</v>
      </c>
      <c r="G165" s="248">
        <f>Table1[[#This Row],[Start Date]]</f>
        <v>43903</v>
      </c>
      <c r="H165" s="257" t="s">
        <v>340</v>
      </c>
      <c r="I165" s="632"/>
      <c r="J165" s="245" t="s">
        <v>1056</v>
      </c>
      <c r="P165" s="1"/>
    </row>
    <row r="166" spans="2:16" ht="15" hidden="1" customHeight="1" x14ac:dyDescent="0.35">
      <c r="B166" s="124">
        <v>165</v>
      </c>
      <c r="C166" s="631" t="s">
        <v>1057</v>
      </c>
      <c r="D166" s="296">
        <v>43899</v>
      </c>
      <c r="E166" s="255" t="s">
        <v>345</v>
      </c>
      <c r="F166" s="248">
        <v>43903</v>
      </c>
      <c r="G166" s="248">
        <v>43904</v>
      </c>
      <c r="H166" s="257" t="s">
        <v>340</v>
      </c>
      <c r="I166" s="632"/>
      <c r="J166" s="245" t="s">
        <v>951</v>
      </c>
      <c r="P166" s="1"/>
    </row>
    <row r="167" spans="2:16" ht="43.5" hidden="1" x14ac:dyDescent="0.35">
      <c r="B167" s="124">
        <v>166</v>
      </c>
      <c r="C167" s="631" t="s">
        <v>1058</v>
      </c>
      <c r="D167" s="296">
        <v>43899</v>
      </c>
      <c r="E167" s="255" t="s">
        <v>345</v>
      </c>
      <c r="F167" s="248">
        <v>43903</v>
      </c>
      <c r="G167" s="248">
        <f>Table1[[#This Row],[Start Date]]</f>
        <v>43903</v>
      </c>
      <c r="H167" s="257" t="s">
        <v>340</v>
      </c>
      <c r="I167" s="632"/>
      <c r="J167" s="245" t="s">
        <v>1056</v>
      </c>
      <c r="P167" s="1"/>
    </row>
    <row r="168" spans="2:16" ht="15" hidden="1" customHeight="1" x14ac:dyDescent="0.35">
      <c r="B168" s="124">
        <v>167</v>
      </c>
      <c r="C168" s="631" t="s">
        <v>1059</v>
      </c>
      <c r="D168" s="296">
        <v>43899</v>
      </c>
      <c r="E168" s="255" t="s">
        <v>345</v>
      </c>
      <c r="F168" s="248">
        <v>43903</v>
      </c>
      <c r="G168" s="248">
        <v>43904</v>
      </c>
      <c r="H168" s="257" t="s">
        <v>340</v>
      </c>
      <c r="I168" s="632"/>
      <c r="J168" s="245" t="s">
        <v>1060</v>
      </c>
      <c r="P168" s="1"/>
    </row>
    <row r="169" spans="2:16" ht="15" hidden="1" customHeight="1" x14ac:dyDescent="0.35">
      <c r="B169" s="124">
        <v>168</v>
      </c>
      <c r="C169" s="631" t="s">
        <v>777</v>
      </c>
      <c r="D169" s="296">
        <v>43899</v>
      </c>
      <c r="E169" s="255" t="s">
        <v>433</v>
      </c>
      <c r="F169" s="248">
        <v>43903</v>
      </c>
      <c r="G169" s="248">
        <f>Table1[[#This Row],[Start Date]]</f>
        <v>43903</v>
      </c>
      <c r="H169" s="257" t="s">
        <v>340</v>
      </c>
      <c r="I169" s="632"/>
      <c r="J169" s="245" t="str">
        <f>Table1[[#This Row],[Routine Activities (PM/ PMCAL, CM, Genba, Isotanker, Material Readiness, Sampling)]]</f>
        <v>Waste offloading - Org</v>
      </c>
      <c r="P169" s="1"/>
    </row>
    <row r="170" spans="2:16" ht="15" hidden="1" customHeight="1" x14ac:dyDescent="0.35">
      <c r="B170" s="124">
        <v>169</v>
      </c>
      <c r="C170" s="631" t="s">
        <v>1061</v>
      </c>
      <c r="D170" s="296">
        <v>43899</v>
      </c>
      <c r="E170" s="255" t="s">
        <v>433</v>
      </c>
      <c r="F170" s="248">
        <v>43903</v>
      </c>
      <c r="G170" s="248">
        <f>Table1[[#This Row],[Start Date]]</f>
        <v>43903</v>
      </c>
      <c r="H170" s="257" t="s">
        <v>340</v>
      </c>
      <c r="I170" s="632" t="s">
        <v>1062</v>
      </c>
      <c r="J170" s="245" t="str">
        <f>Table1[[#This Row],[Routine Activities (PM/ PMCAL, CM, Genba, Isotanker, Material Readiness, Sampling)]]</f>
        <v>DCM Waste Collection</v>
      </c>
      <c r="P170" s="1"/>
    </row>
    <row r="171" spans="2:16" ht="15" hidden="1" customHeight="1" x14ac:dyDescent="0.35">
      <c r="B171" s="124">
        <v>170</v>
      </c>
      <c r="C171" s="631" t="s">
        <v>1063</v>
      </c>
      <c r="D171" s="296">
        <v>43899</v>
      </c>
      <c r="E171" s="255" t="s">
        <v>345</v>
      </c>
      <c r="F171" s="248">
        <v>43904</v>
      </c>
      <c r="G171" s="248">
        <v>43904</v>
      </c>
      <c r="H171" s="257" t="s">
        <v>340</v>
      </c>
      <c r="I171" s="632"/>
      <c r="J171" s="245" t="s">
        <v>1064</v>
      </c>
      <c r="P171" s="1"/>
    </row>
    <row r="172" spans="2:16" ht="15" hidden="1" customHeight="1" x14ac:dyDescent="0.35">
      <c r="B172" s="124">
        <v>171</v>
      </c>
      <c r="C172" s="631" t="s">
        <v>1065</v>
      </c>
      <c r="D172" s="296">
        <v>43899</v>
      </c>
      <c r="E172" s="255" t="s">
        <v>345</v>
      </c>
      <c r="F172" s="248">
        <v>43904</v>
      </c>
      <c r="G172" s="248">
        <f>Table1[[#This Row],[Start Date]]</f>
        <v>43904</v>
      </c>
      <c r="H172" s="257" t="s">
        <v>340</v>
      </c>
      <c r="I172" s="632"/>
      <c r="J172" s="245" t="s">
        <v>1066</v>
      </c>
      <c r="P172" s="1"/>
    </row>
    <row r="173" spans="2:16" ht="15" hidden="1" customHeight="1" x14ac:dyDescent="0.35">
      <c r="B173" s="124">
        <v>172</v>
      </c>
      <c r="C173" s="631" t="s">
        <v>1067</v>
      </c>
      <c r="D173" s="296">
        <v>43899</v>
      </c>
      <c r="E173" s="255" t="s">
        <v>345</v>
      </c>
      <c r="F173" s="248">
        <v>43904</v>
      </c>
      <c r="G173" s="248">
        <f>Table1[[#This Row],[Start Date]]</f>
        <v>43904</v>
      </c>
      <c r="H173" s="257" t="s">
        <v>340</v>
      </c>
      <c r="I173" s="632"/>
      <c r="J173" s="245" t="s">
        <v>1068</v>
      </c>
      <c r="P173" s="1"/>
    </row>
    <row r="174" spans="2:16" ht="29" hidden="1" x14ac:dyDescent="0.35">
      <c r="B174" s="124">
        <v>173</v>
      </c>
      <c r="C174" s="631" t="s">
        <v>1069</v>
      </c>
      <c r="D174" s="296">
        <v>43899</v>
      </c>
      <c r="E174" s="255" t="s">
        <v>345</v>
      </c>
      <c r="F174" s="248">
        <v>43904</v>
      </c>
      <c r="G174" s="248">
        <f>Table1[[#This Row],[Start Date]]</f>
        <v>43904</v>
      </c>
      <c r="H174" s="257" t="s">
        <v>340</v>
      </c>
      <c r="I174" s="632"/>
      <c r="J174" s="245" t="s">
        <v>1070</v>
      </c>
      <c r="P174" s="1"/>
    </row>
    <row r="175" spans="2:16" ht="15" hidden="1" customHeight="1" x14ac:dyDescent="0.35">
      <c r="B175" s="124">
        <v>174</v>
      </c>
      <c r="C175" s="631" t="s">
        <v>1071</v>
      </c>
      <c r="D175" s="254">
        <v>43899</v>
      </c>
      <c r="E175" s="255" t="s">
        <v>345</v>
      </c>
      <c r="F175" s="248">
        <v>43904</v>
      </c>
      <c r="G175" s="248">
        <f>Table1[[#This Row],[Start Date]]</f>
        <v>43904</v>
      </c>
      <c r="H175" s="257" t="s">
        <v>340</v>
      </c>
      <c r="I175" s="632"/>
      <c r="J175" s="245" t="s">
        <v>1072</v>
      </c>
      <c r="P175" s="1"/>
    </row>
    <row r="176" spans="2:16" ht="15" hidden="1" customHeight="1" x14ac:dyDescent="0.35">
      <c r="B176" s="124">
        <v>175</v>
      </c>
      <c r="C176" s="631" t="s">
        <v>1073</v>
      </c>
      <c r="D176" s="254">
        <v>43899</v>
      </c>
      <c r="E176" s="255" t="s">
        <v>345</v>
      </c>
      <c r="F176" s="248">
        <v>43905</v>
      </c>
      <c r="G176" s="248">
        <f>Table1[[#This Row],[Start Date]]</f>
        <v>43905</v>
      </c>
      <c r="H176" s="257" t="s">
        <v>340</v>
      </c>
      <c r="I176" s="632"/>
      <c r="J176" s="245" t="s">
        <v>1074</v>
      </c>
      <c r="P176" s="1"/>
    </row>
    <row r="177" spans="2:16" ht="29" hidden="1" x14ac:dyDescent="0.35">
      <c r="B177" s="124">
        <v>176</v>
      </c>
      <c r="C177" s="631" t="s">
        <v>1075</v>
      </c>
      <c r="D177" s="254">
        <v>43899</v>
      </c>
      <c r="E177" s="255" t="s">
        <v>345</v>
      </c>
      <c r="F177" s="248">
        <v>43905</v>
      </c>
      <c r="G177" s="248">
        <f>Table1[[#This Row],[Start Date]]</f>
        <v>43905</v>
      </c>
      <c r="H177" s="257" t="s">
        <v>340</v>
      </c>
      <c r="I177" s="632"/>
      <c r="J177" s="245" t="s">
        <v>1076</v>
      </c>
      <c r="P177" s="1"/>
    </row>
    <row r="178" spans="2:16" ht="15" hidden="1" customHeight="1" x14ac:dyDescent="0.35">
      <c r="B178" s="124">
        <v>177</v>
      </c>
      <c r="C178" s="631" t="s">
        <v>1077</v>
      </c>
      <c r="D178" s="254">
        <v>43899</v>
      </c>
      <c r="E178" s="255" t="s">
        <v>345</v>
      </c>
      <c r="F178" s="248">
        <v>43905</v>
      </c>
      <c r="G178" s="248">
        <f>Table1[[#This Row],[Start Date]]</f>
        <v>43905</v>
      </c>
      <c r="H178" s="257" t="s">
        <v>340</v>
      </c>
      <c r="I178" s="632"/>
      <c r="J178" s="245" t="s">
        <v>1078</v>
      </c>
      <c r="P178" s="1"/>
    </row>
    <row r="179" spans="2:16" ht="15" hidden="1" customHeight="1" x14ac:dyDescent="0.35">
      <c r="B179" s="124">
        <v>178</v>
      </c>
      <c r="C179" s="633" t="s">
        <v>1079</v>
      </c>
      <c r="D179" s="254">
        <v>43899</v>
      </c>
      <c r="E179" s="255" t="s">
        <v>345</v>
      </c>
      <c r="F179" s="248">
        <v>43905</v>
      </c>
      <c r="G179" s="248">
        <f>Table1[[#This Row],[Start Date]]</f>
        <v>43905</v>
      </c>
      <c r="H179" s="257" t="s">
        <v>1080</v>
      </c>
      <c r="I179" s="632" t="s">
        <v>1081</v>
      </c>
      <c r="J179" s="245" t="s">
        <v>1082</v>
      </c>
      <c r="P179" s="1"/>
    </row>
    <row r="180" spans="2:16" ht="15" hidden="1" customHeight="1" x14ac:dyDescent="0.35">
      <c r="B180" s="124">
        <v>179</v>
      </c>
      <c r="C180" s="631" t="s">
        <v>1083</v>
      </c>
      <c r="D180" s="254">
        <v>43906</v>
      </c>
      <c r="E180" s="255" t="s">
        <v>979</v>
      </c>
      <c r="F180" s="248">
        <v>43906</v>
      </c>
      <c r="G180" s="248">
        <f>Table1[[#This Row],[Start Date]]</f>
        <v>43906</v>
      </c>
      <c r="H180" s="257" t="s">
        <v>340</v>
      </c>
      <c r="I180" s="632"/>
      <c r="J180" s="245" t="s">
        <v>1084</v>
      </c>
      <c r="P180" s="1"/>
    </row>
    <row r="181" spans="2:16" ht="15" hidden="1" customHeight="1" x14ac:dyDescent="0.35">
      <c r="B181" s="124">
        <v>180</v>
      </c>
      <c r="C181" s="631" t="s">
        <v>1085</v>
      </c>
      <c r="D181" s="254">
        <v>43906</v>
      </c>
      <c r="E181" s="255" t="s">
        <v>979</v>
      </c>
      <c r="F181" s="248">
        <v>43906</v>
      </c>
      <c r="G181" s="248">
        <f>Table1[[#This Row],[Start Date]]</f>
        <v>43906</v>
      </c>
      <c r="H181" s="257" t="s">
        <v>340</v>
      </c>
      <c r="I181" s="632"/>
      <c r="J181" s="245" t="s">
        <v>1086</v>
      </c>
      <c r="P181" s="1"/>
    </row>
    <row r="182" spans="2:16" ht="15" hidden="1" customHeight="1" x14ac:dyDescent="0.35">
      <c r="B182" s="124">
        <v>181</v>
      </c>
      <c r="C182" s="631" t="s">
        <v>1087</v>
      </c>
      <c r="D182" s="254">
        <v>43906</v>
      </c>
      <c r="E182" s="255" t="s">
        <v>979</v>
      </c>
      <c r="F182" s="248">
        <v>43906</v>
      </c>
      <c r="G182" s="248">
        <v>43907</v>
      </c>
      <c r="H182" s="257" t="s">
        <v>340</v>
      </c>
      <c r="I182" s="632"/>
      <c r="J182" s="245" t="s">
        <v>1088</v>
      </c>
      <c r="P182" s="1"/>
    </row>
    <row r="183" spans="2:16" ht="15" hidden="1" customHeight="1" x14ac:dyDescent="0.35">
      <c r="B183" s="124">
        <v>182</v>
      </c>
      <c r="C183" s="631" t="s">
        <v>1089</v>
      </c>
      <c r="D183" s="254">
        <v>43906</v>
      </c>
      <c r="E183" s="255" t="s">
        <v>891</v>
      </c>
      <c r="F183" s="248">
        <v>43906</v>
      </c>
      <c r="G183" s="248">
        <v>43910</v>
      </c>
      <c r="H183" s="257" t="s">
        <v>340</v>
      </c>
      <c r="I183" s="632"/>
      <c r="J183" s="245" t="s">
        <v>1090</v>
      </c>
      <c r="P183" s="1"/>
    </row>
    <row r="184" spans="2:16" ht="15" hidden="1" customHeight="1" x14ac:dyDescent="0.35">
      <c r="B184" s="124">
        <v>183</v>
      </c>
      <c r="C184" s="631" t="s">
        <v>1091</v>
      </c>
      <c r="D184" s="254">
        <v>43906</v>
      </c>
      <c r="E184" s="255" t="s">
        <v>979</v>
      </c>
      <c r="F184" s="248">
        <v>43907</v>
      </c>
      <c r="G184" s="248">
        <v>43907</v>
      </c>
      <c r="H184" s="257" t="s">
        <v>340</v>
      </c>
      <c r="I184" s="632"/>
      <c r="J184" s="245" t="s">
        <v>1084</v>
      </c>
      <c r="P184" s="1"/>
    </row>
    <row r="185" spans="2:16" ht="15" hidden="1" customHeight="1" x14ac:dyDescent="0.35">
      <c r="B185" s="124">
        <v>184</v>
      </c>
      <c r="C185" s="631" t="s">
        <v>998</v>
      </c>
      <c r="D185" s="254">
        <v>43906</v>
      </c>
      <c r="E185" s="255" t="s">
        <v>418</v>
      </c>
      <c r="F185" s="248">
        <v>43907</v>
      </c>
      <c r="G185" s="248">
        <f>Table1[[#This Row],[Start Date]]</f>
        <v>43907</v>
      </c>
      <c r="H185" s="257" t="s">
        <v>340</v>
      </c>
      <c r="I185" s="632" t="s">
        <v>1092</v>
      </c>
      <c r="J185" s="245" t="str">
        <f>Table1[[#This Row],[Routine Activities (PM/ PMCAL, CM, Genba, Isotanker, Material Readiness, Sampling)]]</f>
        <v>Solvent loading - MeOH</v>
      </c>
      <c r="P185" s="1"/>
    </row>
    <row r="186" spans="2:16" ht="164.9" hidden="1" customHeight="1" x14ac:dyDescent="0.35">
      <c r="B186" s="124">
        <v>185</v>
      </c>
      <c r="C186" s="634" t="s">
        <v>1093</v>
      </c>
      <c r="D186" s="254">
        <v>43906</v>
      </c>
      <c r="E186" s="255" t="s">
        <v>979</v>
      </c>
      <c r="F186" s="248">
        <v>43907</v>
      </c>
      <c r="G186" s="248">
        <v>43908</v>
      </c>
      <c r="H186" s="257" t="s">
        <v>340</v>
      </c>
      <c r="I186" s="632"/>
      <c r="J186" s="245" t="s">
        <v>1088</v>
      </c>
      <c r="P186" s="1"/>
    </row>
    <row r="187" spans="2:16" ht="15" hidden="1" customHeight="1" x14ac:dyDescent="0.35">
      <c r="B187" s="124">
        <v>186</v>
      </c>
      <c r="C187" s="635" t="s">
        <v>1094</v>
      </c>
      <c r="D187" s="254">
        <v>43906</v>
      </c>
      <c r="E187" s="255" t="s">
        <v>965</v>
      </c>
      <c r="F187" s="248">
        <v>43908</v>
      </c>
      <c r="G187" s="248">
        <f>Table1[[#This Row],[Start Date]]</f>
        <v>43908</v>
      </c>
      <c r="H187" s="257" t="s">
        <v>340</v>
      </c>
      <c r="I187" s="632"/>
      <c r="J187" s="245" t="s">
        <v>1095</v>
      </c>
      <c r="P187" s="1"/>
    </row>
    <row r="188" spans="2:16" ht="15" hidden="1" customHeight="1" x14ac:dyDescent="0.35">
      <c r="B188" s="124">
        <v>187</v>
      </c>
      <c r="C188" s="631" t="s">
        <v>1096</v>
      </c>
      <c r="D188" s="254">
        <v>43906</v>
      </c>
      <c r="E188" s="255" t="s">
        <v>979</v>
      </c>
      <c r="F188" s="248">
        <v>43908</v>
      </c>
      <c r="G188" s="248">
        <f>Table1[[#This Row],[Start Date]]</f>
        <v>43908</v>
      </c>
      <c r="H188" s="257" t="s">
        <v>340</v>
      </c>
      <c r="I188" s="632"/>
      <c r="J188" s="245" t="s">
        <v>1097</v>
      </c>
      <c r="P188" s="1"/>
    </row>
    <row r="189" spans="2:16" ht="15" hidden="1" customHeight="1" x14ac:dyDescent="0.35">
      <c r="B189" s="124">
        <v>188</v>
      </c>
      <c r="C189" s="636" t="s">
        <v>1098</v>
      </c>
      <c r="D189" s="254">
        <v>43906</v>
      </c>
      <c r="E189" s="255" t="s">
        <v>979</v>
      </c>
      <c r="F189" s="248">
        <v>43908</v>
      </c>
      <c r="G189" s="248">
        <v>43909</v>
      </c>
      <c r="H189" s="257" t="s">
        <v>340</v>
      </c>
      <c r="I189" s="632"/>
      <c r="J189" s="245" t="s">
        <v>1088</v>
      </c>
      <c r="P189" s="1"/>
    </row>
    <row r="190" spans="2:16" ht="15" hidden="1" customHeight="1" x14ac:dyDescent="0.35">
      <c r="B190" s="124">
        <v>189</v>
      </c>
      <c r="C190" s="631" t="s">
        <v>1099</v>
      </c>
      <c r="D190" s="254">
        <v>43906</v>
      </c>
      <c r="E190" s="255" t="s">
        <v>433</v>
      </c>
      <c r="F190" s="248">
        <v>43908</v>
      </c>
      <c r="G190" s="248">
        <f>Table1[[#This Row],[Start Date]]</f>
        <v>43908</v>
      </c>
      <c r="H190" s="257" t="s">
        <v>340</v>
      </c>
      <c r="I190" s="632"/>
      <c r="J190" s="245" t="str">
        <f>Table1[[#This Row],[Routine Activities (PM/ PMCAL, CM, Genba, Isotanker, Material Readiness, Sampling)]]</f>
        <v xml:space="preserve">Waste offloading - Org </v>
      </c>
      <c r="P190" s="1"/>
    </row>
    <row r="191" spans="2:16" ht="15" hidden="1" customHeight="1" x14ac:dyDescent="0.35">
      <c r="B191" s="124">
        <v>190</v>
      </c>
      <c r="C191" s="631" t="s">
        <v>1100</v>
      </c>
      <c r="D191" s="254">
        <v>43906</v>
      </c>
      <c r="E191" s="255" t="s">
        <v>418</v>
      </c>
      <c r="F191" s="248">
        <v>43908</v>
      </c>
      <c r="G191" s="248">
        <f>Table1[[#This Row],[Start Date]]</f>
        <v>43908</v>
      </c>
      <c r="H191" s="257" t="s">
        <v>340</v>
      </c>
      <c r="I191" s="632"/>
      <c r="J191" s="245" t="str">
        <f>Table1[[#This Row],[Routine Activities (PM/ PMCAL, CM, Genba, Isotanker, Material Readiness, Sampling)]]</f>
        <v>Material Readiness (Step B-1)</v>
      </c>
      <c r="P191" s="1"/>
    </row>
    <row r="192" spans="2:16" ht="15" hidden="1" customHeight="1" x14ac:dyDescent="0.35">
      <c r="B192" s="124">
        <v>191</v>
      </c>
      <c r="C192" s="635" t="s">
        <v>1101</v>
      </c>
      <c r="D192" s="254">
        <v>43906</v>
      </c>
      <c r="E192" s="299" t="s">
        <v>979</v>
      </c>
      <c r="F192" s="257">
        <v>43908</v>
      </c>
      <c r="G192" s="257">
        <v>43908</v>
      </c>
      <c r="H192" s="257" t="s">
        <v>340</v>
      </c>
      <c r="I192" s="637"/>
      <c r="J192" s="250" t="s">
        <v>1102</v>
      </c>
      <c r="P192" s="1"/>
    </row>
    <row r="193" spans="2:16" ht="15" hidden="1" customHeight="1" x14ac:dyDescent="0.35">
      <c r="B193" s="124">
        <v>192</v>
      </c>
      <c r="C193" s="631" t="s">
        <v>1103</v>
      </c>
      <c r="D193" s="254">
        <v>43906</v>
      </c>
      <c r="E193" s="255" t="s">
        <v>1054</v>
      </c>
      <c r="F193" s="248">
        <v>43909</v>
      </c>
      <c r="G193" s="248">
        <f>Table1[[#This Row],[Start Date]]</f>
        <v>43909</v>
      </c>
      <c r="H193" s="257" t="s">
        <v>340</v>
      </c>
      <c r="I193" s="632"/>
      <c r="J193" s="245" t="s">
        <v>1104</v>
      </c>
      <c r="P193" s="1"/>
    </row>
    <row r="194" spans="2:16" ht="15" hidden="1" customHeight="1" x14ac:dyDescent="0.35">
      <c r="B194" s="124">
        <v>193</v>
      </c>
      <c r="C194" s="636" t="s">
        <v>1105</v>
      </c>
      <c r="D194" s="254">
        <v>43906</v>
      </c>
      <c r="E194" s="255" t="s">
        <v>979</v>
      </c>
      <c r="F194" s="248">
        <v>43909</v>
      </c>
      <c r="G194" s="248">
        <v>43910</v>
      </c>
      <c r="H194" s="257" t="s">
        <v>340</v>
      </c>
      <c r="I194" s="632"/>
      <c r="J194" s="245" t="s">
        <v>1088</v>
      </c>
      <c r="P194" s="1"/>
    </row>
    <row r="195" spans="2:16" ht="15" hidden="1" customHeight="1" x14ac:dyDescent="0.35">
      <c r="B195" s="124">
        <v>194</v>
      </c>
      <c r="C195" s="631" t="s">
        <v>775</v>
      </c>
      <c r="D195" s="254">
        <v>43906</v>
      </c>
      <c r="E195" s="255" t="s">
        <v>418</v>
      </c>
      <c r="F195" s="248">
        <v>43909</v>
      </c>
      <c r="G195" s="248">
        <f>Table1[[#This Row],[Start Date]]</f>
        <v>43909</v>
      </c>
      <c r="H195" s="257" t="s">
        <v>340</v>
      </c>
      <c r="I195" s="632"/>
      <c r="J195" s="245" t="str">
        <f>Table1[[#This Row],[Routine Activities (PM/ PMCAL, CM, Genba, Isotanker, Material Readiness, Sampling)]]</f>
        <v>N2 loading</v>
      </c>
      <c r="P195" s="1"/>
    </row>
    <row r="196" spans="2:16" ht="43.5" hidden="1" x14ac:dyDescent="0.35">
      <c r="B196" s="124">
        <v>195</v>
      </c>
      <c r="C196" s="631" t="s">
        <v>1106</v>
      </c>
      <c r="D196" s="254">
        <v>43906</v>
      </c>
      <c r="E196" s="255" t="s">
        <v>1107</v>
      </c>
      <c r="F196" s="248">
        <v>43909</v>
      </c>
      <c r="G196" s="248">
        <f>Table1[[#This Row],[Start Date]]</f>
        <v>43909</v>
      </c>
      <c r="H196" s="257" t="s">
        <v>340</v>
      </c>
      <c r="I196" s="632" t="s">
        <v>1108</v>
      </c>
      <c r="J196" s="245" t="str">
        <f>Table1[[#This Row],[Routine Activities (PM/ PMCAL, CM, Genba, Isotanker, Material Readiness, Sampling)]]</f>
        <v>Activation of ASM2 Tank Farm Deluxe Sprinkler System for SCDF Licensing</v>
      </c>
      <c r="P196" s="1"/>
    </row>
    <row r="197" spans="2:16" ht="15" hidden="1" customHeight="1" x14ac:dyDescent="0.35">
      <c r="B197" s="124">
        <v>196</v>
      </c>
      <c r="C197" s="631" t="s">
        <v>1061</v>
      </c>
      <c r="D197" s="254">
        <v>43906</v>
      </c>
      <c r="E197" s="255" t="s">
        <v>433</v>
      </c>
      <c r="F197" s="248">
        <v>43909</v>
      </c>
      <c r="G197" s="248">
        <v>43910</v>
      </c>
      <c r="H197" s="257" t="s">
        <v>340</v>
      </c>
      <c r="I197" s="632"/>
      <c r="J197" s="245" t="str">
        <f>Table1[[#This Row],[Routine Activities (PM/ PMCAL, CM, Genba, Isotanker, Material Readiness, Sampling)]]</f>
        <v>DCM Waste Collection</v>
      </c>
      <c r="P197" s="1"/>
    </row>
    <row r="198" spans="2:16" ht="72.5" hidden="1" x14ac:dyDescent="0.35">
      <c r="B198" s="124">
        <v>197</v>
      </c>
      <c r="C198" s="631" t="s">
        <v>1109</v>
      </c>
      <c r="D198" s="254">
        <v>43906</v>
      </c>
      <c r="E198" s="255" t="s">
        <v>979</v>
      </c>
      <c r="F198" s="248">
        <v>43910</v>
      </c>
      <c r="G198" s="248">
        <v>43911</v>
      </c>
      <c r="H198" s="257" t="s">
        <v>340</v>
      </c>
      <c r="I198" s="632"/>
      <c r="J198" s="245" t="s">
        <v>1110</v>
      </c>
      <c r="P198" s="1"/>
    </row>
    <row r="199" spans="2:16" ht="14.5" hidden="1" x14ac:dyDescent="0.35">
      <c r="B199" s="124">
        <v>198</v>
      </c>
      <c r="C199" s="633" t="s">
        <v>1111</v>
      </c>
      <c r="D199" s="254">
        <v>43906</v>
      </c>
      <c r="E199" s="255" t="s">
        <v>846</v>
      </c>
      <c r="F199" s="248">
        <v>43910</v>
      </c>
      <c r="G199" s="248">
        <f>Table1[[#This Row],[Start Date]]</f>
        <v>43910</v>
      </c>
      <c r="H199" s="257" t="s">
        <v>340</v>
      </c>
      <c r="I199" s="632"/>
      <c r="J199" s="245" t="str">
        <f>Table1[[#This Row],[Routine Activities (PM/ PMCAL, CM, Genba, Isotanker, Material Readiness, Sampling)]]</f>
        <v>Delta V batch download</v>
      </c>
      <c r="P199" s="1"/>
    </row>
    <row r="200" spans="2:16" ht="174" hidden="1" x14ac:dyDescent="0.35">
      <c r="B200" s="124">
        <v>199</v>
      </c>
      <c r="C200" s="631" t="s">
        <v>1112</v>
      </c>
      <c r="D200" s="254">
        <v>43906</v>
      </c>
      <c r="E200" s="255" t="s">
        <v>983</v>
      </c>
      <c r="F200" s="248">
        <v>43912</v>
      </c>
      <c r="G200" s="248">
        <f>Table1[[#This Row],[Start Date]]</f>
        <v>43912</v>
      </c>
      <c r="H200" s="257" t="s">
        <v>340</v>
      </c>
      <c r="I200" s="632"/>
      <c r="J200" s="245" t="s">
        <v>1113</v>
      </c>
      <c r="P200" s="1"/>
    </row>
    <row r="201" spans="2:16" ht="14.5" hidden="1" x14ac:dyDescent="0.35">
      <c r="B201" s="124">
        <v>200</v>
      </c>
      <c r="C201" s="631" t="s">
        <v>1061</v>
      </c>
      <c r="D201" s="254">
        <v>43913</v>
      </c>
      <c r="E201" s="255" t="s">
        <v>433</v>
      </c>
      <c r="F201" s="248">
        <v>43913</v>
      </c>
      <c r="G201" s="248">
        <f>Table1[[#This Row],[Start Date]]</f>
        <v>43913</v>
      </c>
      <c r="H201" s="257" t="s">
        <v>340</v>
      </c>
      <c r="I201" s="632"/>
      <c r="J201" s="245" t="str">
        <f>Table1[[#This Row],[Routine Activities (PM/ PMCAL, CM, Genba, Isotanker, Material Readiness, Sampling)]]</f>
        <v>DCM Waste Collection</v>
      </c>
      <c r="P201" s="1"/>
    </row>
    <row r="202" spans="2:16" ht="159.5" hidden="1" x14ac:dyDescent="0.35">
      <c r="B202" s="124">
        <v>201</v>
      </c>
      <c r="C202" s="631" t="s">
        <v>1114</v>
      </c>
      <c r="D202" s="254">
        <v>43913</v>
      </c>
      <c r="E202" s="255" t="s">
        <v>979</v>
      </c>
      <c r="F202" s="248">
        <v>43913</v>
      </c>
      <c r="G202" s="248">
        <v>43913</v>
      </c>
      <c r="H202" s="257" t="s">
        <v>340</v>
      </c>
      <c r="I202" s="632"/>
      <c r="J202" s="245" t="s">
        <v>1115</v>
      </c>
      <c r="P202" s="1"/>
    </row>
    <row r="203" spans="2:16" ht="145" hidden="1" x14ac:dyDescent="0.35">
      <c r="B203" s="124">
        <v>202</v>
      </c>
      <c r="C203" s="631" t="s">
        <v>1116</v>
      </c>
      <c r="D203" s="254">
        <v>43913</v>
      </c>
      <c r="E203" s="255" t="s">
        <v>979</v>
      </c>
      <c r="F203" s="248">
        <v>43913</v>
      </c>
      <c r="G203" s="248">
        <f>Table1[[#This Row],[Start Date]]</f>
        <v>43913</v>
      </c>
      <c r="H203" s="257" t="s">
        <v>340</v>
      </c>
      <c r="I203" s="632"/>
      <c r="J203" s="245" t="s">
        <v>1117</v>
      </c>
      <c r="P203" s="1"/>
    </row>
    <row r="204" spans="2:16" ht="101.5" hidden="1" x14ac:dyDescent="0.35">
      <c r="B204" s="124">
        <v>203</v>
      </c>
      <c r="C204" s="631" t="s">
        <v>1118</v>
      </c>
      <c r="D204" s="254">
        <v>43913</v>
      </c>
      <c r="E204" s="255" t="s">
        <v>979</v>
      </c>
      <c r="F204" s="248">
        <v>43913</v>
      </c>
      <c r="G204" s="248">
        <f>Table1[[#This Row],[Start Date]]</f>
        <v>43913</v>
      </c>
      <c r="H204" s="257" t="s">
        <v>340</v>
      </c>
      <c r="I204" s="632"/>
      <c r="J204" s="245" t="s">
        <v>1119</v>
      </c>
      <c r="P204" s="1"/>
    </row>
    <row r="205" spans="2:16" ht="14.5" hidden="1" x14ac:dyDescent="0.35">
      <c r="B205" s="124">
        <v>204</v>
      </c>
      <c r="C205" s="633" t="s">
        <v>1090</v>
      </c>
      <c r="D205" s="254">
        <v>43913</v>
      </c>
      <c r="E205" s="255" t="s">
        <v>891</v>
      </c>
      <c r="F205" s="248">
        <v>43913</v>
      </c>
      <c r="G205" s="248">
        <v>43917</v>
      </c>
      <c r="H205" s="257" t="s">
        <v>340</v>
      </c>
      <c r="I205" s="632"/>
      <c r="J205" s="249" t="str">
        <f>Table1[[#This Row],[Routine Activities (PM/ PMCAL, CM, Genba, Isotanker, Material Readiness, Sampling)]]</f>
        <v>QoP - Area</v>
      </c>
      <c r="P205" s="1"/>
    </row>
    <row r="206" spans="2:16" ht="29" hidden="1" x14ac:dyDescent="0.35">
      <c r="B206" s="124">
        <v>205</v>
      </c>
      <c r="C206" s="631" t="s">
        <v>1120</v>
      </c>
      <c r="D206" s="254">
        <v>43913</v>
      </c>
      <c r="E206" s="255" t="s">
        <v>418</v>
      </c>
      <c r="F206" s="248">
        <v>43913</v>
      </c>
      <c r="G206" s="248">
        <f>Table1[[#This Row],[Start Date]]</f>
        <v>43913</v>
      </c>
      <c r="H206" s="257" t="s">
        <v>340</v>
      </c>
      <c r="I206" s="632"/>
      <c r="J206" s="245" t="str">
        <f>Table1[[#This Row],[Routine Activities (PM/ PMCAL, CM, Genba, Isotanker, Material Readiness, Sampling)]]</f>
        <v>Material Readiness for post B cleaning</v>
      </c>
      <c r="P206" s="1"/>
    </row>
    <row r="207" spans="2:16" ht="43.5" hidden="1" x14ac:dyDescent="0.35">
      <c r="B207" s="124">
        <v>206</v>
      </c>
      <c r="C207" s="631" t="s">
        <v>1121</v>
      </c>
      <c r="D207" s="254">
        <v>43913</v>
      </c>
      <c r="E207" s="255" t="s">
        <v>965</v>
      </c>
      <c r="F207" s="248">
        <v>43914</v>
      </c>
      <c r="G207" s="248">
        <v>43915</v>
      </c>
      <c r="H207" s="257" t="s">
        <v>340</v>
      </c>
      <c r="I207" s="632"/>
      <c r="J207" s="245" t="s">
        <v>1122</v>
      </c>
      <c r="P207" s="1"/>
    </row>
    <row r="208" spans="2:16" ht="58" hidden="1" x14ac:dyDescent="0.35">
      <c r="B208" s="124">
        <v>207</v>
      </c>
      <c r="C208" s="631" t="s">
        <v>1123</v>
      </c>
      <c r="D208" s="254">
        <v>43913</v>
      </c>
      <c r="E208" s="299" t="s">
        <v>345</v>
      </c>
      <c r="F208" s="257">
        <v>43915</v>
      </c>
      <c r="G208" s="257">
        <f>Table1[[#This Row],[Start Date]]</f>
        <v>43915</v>
      </c>
      <c r="H208" s="257" t="s">
        <v>1080</v>
      </c>
      <c r="I208" s="637" t="s">
        <v>1124</v>
      </c>
      <c r="J208" s="250" t="s">
        <v>1125</v>
      </c>
      <c r="P208" s="1"/>
    </row>
    <row r="209" spans="2:16" ht="145" hidden="1" x14ac:dyDescent="0.35">
      <c r="B209" s="124">
        <v>208</v>
      </c>
      <c r="C209" s="631" t="s">
        <v>1126</v>
      </c>
      <c r="D209" s="254">
        <v>43913</v>
      </c>
      <c r="E209" s="255" t="s">
        <v>979</v>
      </c>
      <c r="F209" s="248">
        <v>43915</v>
      </c>
      <c r="G209" s="248">
        <f>Table1[[#This Row],[Start Date]]</f>
        <v>43915</v>
      </c>
      <c r="H209" s="257" t="s">
        <v>340</v>
      </c>
      <c r="I209" s="632"/>
      <c r="J209" s="245" t="s">
        <v>1127</v>
      </c>
      <c r="P209" s="1"/>
    </row>
    <row r="210" spans="2:16" ht="29" hidden="1" x14ac:dyDescent="0.35">
      <c r="B210" s="124">
        <v>209</v>
      </c>
      <c r="C210" s="631" t="s">
        <v>1128</v>
      </c>
      <c r="D210" s="254">
        <v>43913</v>
      </c>
      <c r="E210" s="255" t="s">
        <v>983</v>
      </c>
      <c r="F210" s="248">
        <v>43916</v>
      </c>
      <c r="G210" s="248">
        <f>Table1[[#This Row],[Start Date]]</f>
        <v>43916</v>
      </c>
      <c r="H210" s="257" t="s">
        <v>340</v>
      </c>
      <c r="I210" s="632"/>
      <c r="J210" s="245" t="s">
        <v>1129</v>
      </c>
      <c r="P210" s="1"/>
    </row>
    <row r="211" spans="2:16" ht="14.9" hidden="1" customHeight="1" x14ac:dyDescent="0.35">
      <c r="B211" s="124">
        <v>210</v>
      </c>
      <c r="C211" s="631" t="s">
        <v>1130</v>
      </c>
      <c r="D211" s="254">
        <v>43913</v>
      </c>
      <c r="E211" s="255" t="s">
        <v>983</v>
      </c>
      <c r="F211" s="248">
        <v>43916</v>
      </c>
      <c r="G211" s="248">
        <f>Table1[[#This Row],[Start Date]]</f>
        <v>43916</v>
      </c>
      <c r="H211" s="257" t="s">
        <v>340</v>
      </c>
      <c r="I211" s="632" t="s">
        <v>1131</v>
      </c>
      <c r="J211" s="245" t="s">
        <v>1132</v>
      </c>
      <c r="P211" s="1"/>
    </row>
    <row r="212" spans="2:16" ht="14.5" hidden="1" x14ac:dyDescent="0.35">
      <c r="B212" s="124">
        <v>211</v>
      </c>
      <c r="C212" s="631" t="s">
        <v>777</v>
      </c>
      <c r="D212" s="254">
        <v>43913</v>
      </c>
      <c r="E212" s="255" t="s">
        <v>433</v>
      </c>
      <c r="F212" s="248">
        <v>43916</v>
      </c>
      <c r="G212" s="248">
        <f>Table1[[#This Row],[Start Date]]</f>
        <v>43916</v>
      </c>
      <c r="H212" s="257" t="s">
        <v>340</v>
      </c>
      <c r="I212" s="632"/>
      <c r="J212" s="245" t="str">
        <f>Table1[[#This Row],[Routine Activities (PM/ PMCAL, CM, Genba, Isotanker, Material Readiness, Sampling)]]</f>
        <v>Waste offloading - Org</v>
      </c>
      <c r="P212" s="1"/>
    </row>
    <row r="213" spans="2:16" ht="14.5" hidden="1" x14ac:dyDescent="0.35">
      <c r="B213" s="124">
        <v>212</v>
      </c>
      <c r="C213" s="631" t="s">
        <v>775</v>
      </c>
      <c r="D213" s="254">
        <v>43913</v>
      </c>
      <c r="E213" s="255" t="s">
        <v>418</v>
      </c>
      <c r="F213" s="248">
        <v>43917</v>
      </c>
      <c r="G213" s="248">
        <f>Table1[[#This Row],[Start Date]]</f>
        <v>43917</v>
      </c>
      <c r="H213" s="257" t="s">
        <v>340</v>
      </c>
      <c r="I213" s="632"/>
      <c r="J213" s="245" t="str">
        <f>Table1[[#This Row],[Routine Activities (PM/ PMCAL, CM, Genba, Isotanker, Material Readiness, Sampling)]]</f>
        <v>N2 loading</v>
      </c>
      <c r="P213" s="1"/>
    </row>
    <row r="214" spans="2:16" ht="28.5" hidden="1" customHeight="1" x14ac:dyDescent="0.35">
      <c r="B214" s="124">
        <v>213</v>
      </c>
      <c r="C214" s="631" t="s">
        <v>1133</v>
      </c>
      <c r="D214" s="254">
        <v>43913</v>
      </c>
      <c r="E214" s="255" t="s">
        <v>1134</v>
      </c>
      <c r="F214" s="248">
        <v>43917</v>
      </c>
      <c r="G214" s="248">
        <f>Table1[[#This Row],[Start Date]]</f>
        <v>43917</v>
      </c>
      <c r="H214" s="257" t="s">
        <v>340</v>
      </c>
      <c r="I214" s="632"/>
      <c r="J214" s="245" t="s">
        <v>1135</v>
      </c>
      <c r="P214" s="1"/>
    </row>
    <row r="215" spans="2:16" ht="29" hidden="1" x14ac:dyDescent="0.35">
      <c r="B215" s="124">
        <v>214</v>
      </c>
      <c r="C215" s="631" t="s">
        <v>1136</v>
      </c>
      <c r="D215" s="254">
        <v>43913</v>
      </c>
      <c r="E215" s="255" t="s">
        <v>992</v>
      </c>
      <c r="F215" s="248">
        <v>43917</v>
      </c>
      <c r="G215" s="248">
        <f>Table1[[#This Row],[Start Date]]</f>
        <v>43917</v>
      </c>
      <c r="H215" s="257" t="s">
        <v>340</v>
      </c>
      <c r="I215" s="632"/>
      <c r="J215" s="245" t="s">
        <v>1137</v>
      </c>
      <c r="P215" s="1"/>
    </row>
    <row r="216" spans="2:16" ht="29" hidden="1" x14ac:dyDescent="0.35">
      <c r="B216" s="124">
        <v>215</v>
      </c>
      <c r="C216" s="631" t="s">
        <v>1138</v>
      </c>
      <c r="D216" s="254">
        <v>43913</v>
      </c>
      <c r="E216" s="255" t="s">
        <v>992</v>
      </c>
      <c r="F216" s="248">
        <v>43917</v>
      </c>
      <c r="G216" s="248">
        <f>Table1[[#This Row],[Start Date]]</f>
        <v>43917</v>
      </c>
      <c r="H216" s="257" t="s">
        <v>340</v>
      </c>
      <c r="I216" s="632"/>
      <c r="J216" s="245" t="s">
        <v>1139</v>
      </c>
      <c r="P216" s="1"/>
    </row>
    <row r="217" spans="2:16" ht="29" hidden="1" x14ac:dyDescent="0.35">
      <c r="B217" s="124">
        <v>216</v>
      </c>
      <c r="C217" s="631" t="s">
        <v>1140</v>
      </c>
      <c r="D217" s="254">
        <v>43913</v>
      </c>
      <c r="E217" s="255" t="s">
        <v>965</v>
      </c>
      <c r="F217" s="248">
        <v>43917</v>
      </c>
      <c r="G217" s="248">
        <f>Table1[[#This Row],[Start Date]]</f>
        <v>43917</v>
      </c>
      <c r="H217" s="257" t="s">
        <v>340</v>
      </c>
      <c r="I217" s="632"/>
      <c r="J217" s="245" t="s">
        <v>1141</v>
      </c>
      <c r="P217" s="1"/>
    </row>
    <row r="218" spans="2:16" ht="43.5" hidden="1" x14ac:dyDescent="0.35">
      <c r="B218" s="124">
        <v>217</v>
      </c>
      <c r="C218" s="631" t="s">
        <v>1142</v>
      </c>
      <c r="D218" s="254">
        <v>43913</v>
      </c>
      <c r="E218" s="255" t="s">
        <v>992</v>
      </c>
      <c r="F218" s="248">
        <v>43917</v>
      </c>
      <c r="G218" s="248">
        <f>Table1[[#This Row],[Start Date]]</f>
        <v>43917</v>
      </c>
      <c r="H218" s="257" t="s">
        <v>340</v>
      </c>
      <c r="I218" s="632"/>
      <c r="J218" s="245" t="s">
        <v>1143</v>
      </c>
      <c r="P218" s="1"/>
    </row>
    <row r="219" spans="2:16" ht="46.5" hidden="1" customHeight="1" x14ac:dyDescent="0.35">
      <c r="B219" s="124">
        <v>218</v>
      </c>
      <c r="C219" s="633" t="s">
        <v>1144</v>
      </c>
      <c r="D219" s="254">
        <v>43913</v>
      </c>
      <c r="E219" s="336" t="s">
        <v>1145</v>
      </c>
      <c r="F219" s="248">
        <v>43919</v>
      </c>
      <c r="G219" s="248">
        <f>Table1[[#This Row],[Start Date]]</f>
        <v>43919</v>
      </c>
      <c r="H219" s="257" t="s">
        <v>340</v>
      </c>
      <c r="I219" s="632" t="s">
        <v>1146</v>
      </c>
      <c r="J219" s="245" t="s">
        <v>1147</v>
      </c>
      <c r="P219" s="1"/>
    </row>
    <row r="220" spans="2:16" ht="29" hidden="1" x14ac:dyDescent="0.35">
      <c r="B220" s="124">
        <v>219</v>
      </c>
      <c r="C220" s="633" t="s">
        <v>1148</v>
      </c>
      <c r="D220" s="254">
        <v>43920</v>
      </c>
      <c r="E220" s="255" t="s">
        <v>1149</v>
      </c>
      <c r="F220" s="248">
        <v>43920</v>
      </c>
      <c r="G220" s="248">
        <f>Table1[[#This Row],[Start Date]]</f>
        <v>43920</v>
      </c>
      <c r="H220" s="257" t="s">
        <v>340</v>
      </c>
      <c r="I220" s="632"/>
      <c r="J220" s="249" t="s">
        <v>1150</v>
      </c>
      <c r="P220" s="1"/>
    </row>
    <row r="221" spans="2:16" ht="79.5" hidden="1" customHeight="1" x14ac:dyDescent="0.35">
      <c r="B221" s="124">
        <v>220</v>
      </c>
      <c r="C221" s="635" t="s">
        <v>1151</v>
      </c>
      <c r="D221" s="254">
        <v>43913</v>
      </c>
      <c r="E221" s="255" t="s">
        <v>992</v>
      </c>
      <c r="F221" s="248">
        <v>43919</v>
      </c>
      <c r="G221" s="248">
        <f>Table1[[#This Row],[Start Date]]</f>
        <v>43919</v>
      </c>
      <c r="H221" s="257" t="s">
        <v>340</v>
      </c>
      <c r="I221" s="632"/>
      <c r="J221" s="245" t="s">
        <v>1152</v>
      </c>
      <c r="P221" s="1"/>
    </row>
    <row r="222" spans="2:16" ht="43.5" hidden="1" x14ac:dyDescent="0.35">
      <c r="B222" s="124">
        <v>221</v>
      </c>
      <c r="C222" s="633" t="s">
        <v>1153</v>
      </c>
      <c r="D222" s="254">
        <v>43920</v>
      </c>
      <c r="E222" s="255" t="s">
        <v>1007</v>
      </c>
      <c r="F222" s="248">
        <v>43922</v>
      </c>
      <c r="G222" s="248">
        <v>43949</v>
      </c>
      <c r="H222" s="257" t="s">
        <v>340</v>
      </c>
      <c r="I222" s="632"/>
      <c r="J222" s="249" t="s">
        <v>796</v>
      </c>
      <c r="P222" s="1"/>
    </row>
    <row r="223" spans="2:16" ht="33.65" hidden="1" customHeight="1" x14ac:dyDescent="0.35">
      <c r="B223" s="124">
        <v>222</v>
      </c>
      <c r="C223" s="631" t="s">
        <v>1154</v>
      </c>
      <c r="D223" s="254">
        <v>43920</v>
      </c>
      <c r="E223" s="255" t="s">
        <v>979</v>
      </c>
      <c r="F223" s="248">
        <v>43920</v>
      </c>
      <c r="G223" s="248">
        <f>Table1[[#This Row],[Start Date]]</f>
        <v>43920</v>
      </c>
      <c r="H223" s="257" t="s">
        <v>340</v>
      </c>
      <c r="I223" s="632"/>
      <c r="J223" s="245" t="s">
        <v>1155</v>
      </c>
      <c r="P223" s="1"/>
    </row>
    <row r="224" spans="2:16" ht="10.4" hidden="1" customHeight="1" x14ac:dyDescent="0.35">
      <c r="B224" s="124">
        <v>223</v>
      </c>
      <c r="C224" s="631" t="s">
        <v>1156</v>
      </c>
      <c r="D224" s="254">
        <v>43920</v>
      </c>
      <c r="E224" s="255" t="s">
        <v>992</v>
      </c>
      <c r="F224" s="248">
        <v>43920</v>
      </c>
      <c r="G224" s="248">
        <f>Table1[[#This Row],[Start Date]]</f>
        <v>43920</v>
      </c>
      <c r="H224" s="257" t="s">
        <v>340</v>
      </c>
      <c r="I224" s="632" t="s">
        <v>1157</v>
      </c>
      <c r="J224" s="245" t="s">
        <v>1158</v>
      </c>
      <c r="P224" s="1"/>
    </row>
    <row r="225" spans="2:16" ht="16.5" hidden="1" customHeight="1" x14ac:dyDescent="0.35">
      <c r="B225" s="124">
        <v>224</v>
      </c>
      <c r="C225" s="633" t="s">
        <v>857</v>
      </c>
      <c r="D225" s="254">
        <v>43920</v>
      </c>
      <c r="E225" s="255" t="s">
        <v>418</v>
      </c>
      <c r="F225" s="248">
        <v>43921</v>
      </c>
      <c r="G225" s="248">
        <f>Table1[[#This Row],[Start Date]]</f>
        <v>43921</v>
      </c>
      <c r="H225" s="257" t="s">
        <v>340</v>
      </c>
      <c r="I225" s="632"/>
      <c r="J225" s="245" t="str">
        <f>Table1[[#This Row],[Routine Activities (PM/ PMCAL, CM, Genba, Isotanker, Material Readiness, Sampling)]]</f>
        <v>Solvent loading - EtOAc</v>
      </c>
      <c r="P225" s="1"/>
    </row>
    <row r="226" spans="2:16" ht="19.5" hidden="1" customHeight="1" x14ac:dyDescent="0.35">
      <c r="B226" s="124">
        <v>225</v>
      </c>
      <c r="C226" s="633" t="s">
        <v>1159</v>
      </c>
      <c r="D226" s="254">
        <v>43920</v>
      </c>
      <c r="E226" s="255" t="s">
        <v>418</v>
      </c>
      <c r="F226" s="248">
        <v>43922</v>
      </c>
      <c r="G226" s="248">
        <f>Table1[[#This Row],[Start Date]]</f>
        <v>43922</v>
      </c>
      <c r="H226" s="257" t="s">
        <v>340</v>
      </c>
      <c r="I226" s="632" t="s">
        <v>1160</v>
      </c>
      <c r="J226" s="363" t="s">
        <v>998</v>
      </c>
      <c r="P226" s="1"/>
    </row>
    <row r="227" spans="2:16" ht="19.399999999999999" hidden="1" customHeight="1" x14ac:dyDescent="0.35">
      <c r="B227" s="124">
        <v>226</v>
      </c>
      <c r="C227" s="633" t="s">
        <v>775</v>
      </c>
      <c r="D227" s="254">
        <v>43920</v>
      </c>
      <c r="E227" s="255" t="s">
        <v>418</v>
      </c>
      <c r="F227" s="248">
        <v>43923</v>
      </c>
      <c r="G227" s="248">
        <f>Table1[[#This Row],[Start Date]]</f>
        <v>43923</v>
      </c>
      <c r="H227" s="257" t="s">
        <v>340</v>
      </c>
      <c r="I227" s="632"/>
      <c r="J227" s="363" t="str">
        <f>Table1[[#This Row],[Routine Activities (PM/ PMCAL, CM, Genba, Isotanker, Material Readiness, Sampling)]]</f>
        <v>N2 loading</v>
      </c>
      <c r="P227" s="1"/>
    </row>
    <row r="228" spans="2:16" ht="43.5" hidden="1" x14ac:dyDescent="0.35">
      <c r="B228" s="124">
        <v>227</v>
      </c>
      <c r="C228" s="633" t="s">
        <v>1161</v>
      </c>
      <c r="D228" s="254">
        <v>43920</v>
      </c>
      <c r="E228" s="255" t="s">
        <v>992</v>
      </c>
      <c r="F228" s="248">
        <v>43924</v>
      </c>
      <c r="G228" s="248">
        <f>Table1[[#This Row],[Start Date]]</f>
        <v>43924</v>
      </c>
      <c r="H228" s="257" t="s">
        <v>340</v>
      </c>
      <c r="I228" s="632"/>
      <c r="J228" s="245" t="s">
        <v>1162</v>
      </c>
      <c r="P228" s="1"/>
    </row>
    <row r="229" spans="2:16" ht="131.9" hidden="1" customHeight="1" x14ac:dyDescent="0.35">
      <c r="B229" s="124">
        <v>228</v>
      </c>
      <c r="C229" s="633" t="s">
        <v>1163</v>
      </c>
      <c r="D229" s="254">
        <v>43927</v>
      </c>
      <c r="E229" s="255" t="s">
        <v>979</v>
      </c>
      <c r="F229" s="248">
        <v>43928</v>
      </c>
      <c r="G229" s="248">
        <f>Table1[[#This Row],[Start Date]]</f>
        <v>43928</v>
      </c>
      <c r="H229" s="257" t="s">
        <v>340</v>
      </c>
      <c r="I229" s="632" t="s">
        <v>1164</v>
      </c>
      <c r="J229" s="246" t="s">
        <v>1165</v>
      </c>
      <c r="P229" s="1"/>
    </row>
    <row r="230" spans="2:16" ht="116" hidden="1" x14ac:dyDescent="0.35">
      <c r="B230" s="124">
        <v>229</v>
      </c>
      <c r="C230" s="633" t="s">
        <v>1166</v>
      </c>
      <c r="D230" s="254">
        <v>43927</v>
      </c>
      <c r="E230" s="255" t="s">
        <v>979</v>
      </c>
      <c r="F230" s="248">
        <v>43928</v>
      </c>
      <c r="G230" s="248">
        <v>43929</v>
      </c>
      <c r="H230" s="257" t="s">
        <v>340</v>
      </c>
      <c r="I230" s="632" t="s">
        <v>1167</v>
      </c>
      <c r="J230" s="246" t="s">
        <v>1168</v>
      </c>
      <c r="P230" s="1"/>
    </row>
    <row r="231" spans="2:16" ht="29" hidden="1" x14ac:dyDescent="0.35">
      <c r="B231" s="124">
        <v>230</v>
      </c>
      <c r="C231" s="633" t="s">
        <v>1169</v>
      </c>
      <c r="D231" s="254">
        <v>43927</v>
      </c>
      <c r="E231" s="255" t="s">
        <v>983</v>
      </c>
      <c r="F231" s="248">
        <v>43928</v>
      </c>
      <c r="G231" s="248">
        <f>Table1[[#This Row],[Start Date]]</f>
        <v>43928</v>
      </c>
      <c r="H231" s="257" t="s">
        <v>340</v>
      </c>
      <c r="I231" s="632"/>
      <c r="J231" s="246" t="s">
        <v>1170</v>
      </c>
      <c r="P231" s="1"/>
    </row>
    <row r="232" spans="2:16" ht="46.5" hidden="1" customHeight="1" x14ac:dyDescent="0.35">
      <c r="B232" s="124">
        <v>231</v>
      </c>
      <c r="C232" s="633" t="s">
        <v>1171</v>
      </c>
      <c r="D232" s="254">
        <v>43927</v>
      </c>
      <c r="E232" s="255" t="s">
        <v>992</v>
      </c>
      <c r="F232" s="248">
        <v>43929</v>
      </c>
      <c r="G232" s="248">
        <f>Table1[[#This Row],[Start Date]]</f>
        <v>43929</v>
      </c>
      <c r="H232" s="257" t="s">
        <v>340</v>
      </c>
      <c r="I232" s="632"/>
      <c r="J232" s="246" t="s">
        <v>1172</v>
      </c>
      <c r="P232" s="1"/>
    </row>
    <row r="233" spans="2:16" ht="28.4" hidden="1" customHeight="1" x14ac:dyDescent="0.35">
      <c r="B233" s="124">
        <v>232</v>
      </c>
      <c r="C233" s="633" t="s">
        <v>1173</v>
      </c>
      <c r="D233" s="254">
        <v>43927</v>
      </c>
      <c r="E233" s="255" t="s">
        <v>992</v>
      </c>
      <c r="F233" s="248">
        <v>43929</v>
      </c>
      <c r="G233" s="248">
        <f>Table1[[#This Row],[Start Date]]</f>
        <v>43929</v>
      </c>
      <c r="H233" s="257" t="s">
        <v>340</v>
      </c>
      <c r="I233" s="632" t="s">
        <v>1146</v>
      </c>
      <c r="J233" s="363" t="s">
        <v>1174</v>
      </c>
      <c r="P233" s="1"/>
    </row>
    <row r="234" spans="2:16" ht="145" hidden="1" x14ac:dyDescent="0.35">
      <c r="B234" s="124">
        <v>233</v>
      </c>
      <c r="C234" s="638" t="s">
        <v>1175</v>
      </c>
      <c r="D234" s="254">
        <v>43927</v>
      </c>
      <c r="E234" s="255" t="s">
        <v>979</v>
      </c>
      <c r="F234" s="248">
        <v>43929</v>
      </c>
      <c r="G234" s="248">
        <f>Table1[[#This Row],[Start Date]]</f>
        <v>43929</v>
      </c>
      <c r="H234" s="257" t="s">
        <v>340</v>
      </c>
      <c r="I234" s="632"/>
      <c r="J234" s="246" t="s">
        <v>1165</v>
      </c>
      <c r="P234" s="1"/>
    </row>
    <row r="235" spans="2:16" ht="43.5" hidden="1" x14ac:dyDescent="0.35">
      <c r="B235" s="124">
        <v>234</v>
      </c>
      <c r="C235" s="633" t="s">
        <v>1176</v>
      </c>
      <c r="D235" s="254">
        <v>43927</v>
      </c>
      <c r="E235" s="255" t="s">
        <v>992</v>
      </c>
      <c r="F235" s="248">
        <v>43930</v>
      </c>
      <c r="G235" s="248">
        <f>Table1[[#This Row],[Start Date]]</f>
        <v>43930</v>
      </c>
      <c r="H235" s="257" t="s">
        <v>340</v>
      </c>
      <c r="I235" s="632" t="s">
        <v>1146</v>
      </c>
      <c r="J235" s="249" t="s">
        <v>1177</v>
      </c>
      <c r="P235" s="1"/>
    </row>
    <row r="236" spans="2:16" ht="72.5" hidden="1" x14ac:dyDescent="0.35">
      <c r="B236" s="124">
        <v>235</v>
      </c>
      <c r="C236" s="638" t="s">
        <v>1178</v>
      </c>
      <c r="D236" s="254">
        <v>43927</v>
      </c>
      <c r="E236" s="255" t="s">
        <v>992</v>
      </c>
      <c r="F236" s="248">
        <v>43930</v>
      </c>
      <c r="G236" s="248">
        <f>Table1[[#This Row],[Start Date]]</f>
        <v>43930</v>
      </c>
      <c r="H236" s="257" t="s">
        <v>340</v>
      </c>
      <c r="I236" s="632"/>
      <c r="J236" s="246" t="s">
        <v>1179</v>
      </c>
      <c r="P236" s="1"/>
    </row>
    <row r="237" spans="2:16" ht="101.5" hidden="1" x14ac:dyDescent="0.35">
      <c r="B237" s="124">
        <v>236</v>
      </c>
      <c r="C237" s="638" t="s">
        <v>1180</v>
      </c>
      <c r="D237" s="254">
        <v>43927</v>
      </c>
      <c r="E237" s="255" t="s">
        <v>992</v>
      </c>
      <c r="F237" s="248">
        <v>43930</v>
      </c>
      <c r="G237" s="248">
        <f>Table1[[#This Row],[Start Date]]</f>
        <v>43930</v>
      </c>
      <c r="H237" s="257" t="s">
        <v>340</v>
      </c>
      <c r="I237" s="632"/>
      <c r="J237" s="246" t="s">
        <v>1181</v>
      </c>
      <c r="P237" s="1"/>
    </row>
    <row r="238" spans="2:16" ht="14.5" hidden="1" x14ac:dyDescent="0.35">
      <c r="B238" s="124">
        <v>238</v>
      </c>
      <c r="C238" s="633" t="s">
        <v>775</v>
      </c>
      <c r="D238" s="254">
        <v>43927</v>
      </c>
      <c r="E238" s="255" t="s">
        <v>418</v>
      </c>
      <c r="F238" s="248">
        <v>43930</v>
      </c>
      <c r="G238" s="248">
        <f>Table1[[#This Row],[Start Date]]</f>
        <v>43930</v>
      </c>
      <c r="H238" s="257" t="s">
        <v>340</v>
      </c>
      <c r="I238" s="632"/>
      <c r="J238" s="249" t="str">
        <f>Table1[[#This Row],[Routine Activities (PM/ PMCAL, CM, Genba, Isotanker, Material Readiness, Sampling)]]</f>
        <v>N2 loading</v>
      </c>
      <c r="P238" s="1"/>
    </row>
    <row r="239" spans="2:16" ht="45" hidden="1" customHeight="1" x14ac:dyDescent="0.35">
      <c r="B239" s="124">
        <v>239</v>
      </c>
      <c r="C239" s="633" t="s">
        <v>1090</v>
      </c>
      <c r="D239" s="254">
        <v>43927</v>
      </c>
      <c r="E239" s="255" t="s">
        <v>891</v>
      </c>
      <c r="F239" s="248">
        <v>43930</v>
      </c>
      <c r="G239" s="248">
        <f>Table1[[#This Row],[Start Date]]</f>
        <v>43930</v>
      </c>
      <c r="H239" s="257" t="s">
        <v>340</v>
      </c>
      <c r="I239" s="632"/>
      <c r="J239" s="249" t="str">
        <f>Table1[[#This Row],[Routine Activities (PM/ PMCAL, CM, Genba, Isotanker, Material Readiness, Sampling)]]</f>
        <v>QoP - Area</v>
      </c>
      <c r="P239" s="1"/>
    </row>
    <row r="240" spans="2:16" ht="87" hidden="1" x14ac:dyDescent="0.35">
      <c r="B240" s="124">
        <v>240</v>
      </c>
      <c r="C240" s="633" t="s">
        <v>1182</v>
      </c>
      <c r="D240" s="254">
        <v>43927</v>
      </c>
      <c r="E240" s="255" t="s">
        <v>992</v>
      </c>
      <c r="F240" s="248">
        <v>43931</v>
      </c>
      <c r="G240" s="248">
        <f>Table1[[#This Row],[Start Date]]</f>
        <v>43931</v>
      </c>
      <c r="H240" s="257" t="s">
        <v>340</v>
      </c>
      <c r="I240" s="632"/>
      <c r="J240" s="246" t="s">
        <v>1183</v>
      </c>
      <c r="P240" s="1"/>
    </row>
    <row r="241" spans="2:16" ht="101.5" hidden="1" x14ac:dyDescent="0.35">
      <c r="B241" s="124">
        <v>241</v>
      </c>
      <c r="C241" s="638" t="s">
        <v>1184</v>
      </c>
      <c r="D241" s="254">
        <v>43927</v>
      </c>
      <c r="E241" s="255" t="s">
        <v>992</v>
      </c>
      <c r="F241" s="248">
        <v>43931</v>
      </c>
      <c r="G241" s="248">
        <f>Table1[[#This Row],[Start Date]]</f>
        <v>43931</v>
      </c>
      <c r="H241" s="257" t="s">
        <v>340</v>
      </c>
      <c r="I241" s="632"/>
      <c r="J241" s="246" t="s">
        <v>1185</v>
      </c>
      <c r="P241" s="1"/>
    </row>
    <row r="242" spans="2:16" ht="72.5" hidden="1" x14ac:dyDescent="0.35">
      <c r="B242" s="124">
        <v>242</v>
      </c>
      <c r="C242" s="638" t="s">
        <v>1186</v>
      </c>
      <c r="D242" s="254">
        <v>43927</v>
      </c>
      <c r="E242" s="255" t="s">
        <v>1145</v>
      </c>
      <c r="F242" s="248">
        <v>43931</v>
      </c>
      <c r="G242" s="248">
        <v>43932</v>
      </c>
      <c r="H242" s="257" t="s">
        <v>340</v>
      </c>
      <c r="I242" s="632"/>
      <c r="J242" s="246" t="s">
        <v>1187</v>
      </c>
      <c r="P242" s="1"/>
    </row>
    <row r="243" spans="2:16" ht="29" hidden="1" x14ac:dyDescent="0.35">
      <c r="B243" s="124">
        <v>243</v>
      </c>
      <c r="C243" s="633" t="s">
        <v>1188</v>
      </c>
      <c r="D243" s="254">
        <v>43927</v>
      </c>
      <c r="E243" s="255" t="s">
        <v>992</v>
      </c>
      <c r="F243" s="248">
        <v>43931</v>
      </c>
      <c r="G243" s="248">
        <f>Table1[[#This Row],[Start Date]]</f>
        <v>43931</v>
      </c>
      <c r="H243" s="257" t="s">
        <v>340</v>
      </c>
      <c r="I243" s="632"/>
      <c r="J243" s="246" t="s">
        <v>1189</v>
      </c>
      <c r="P243" s="1"/>
    </row>
    <row r="244" spans="2:16" ht="60.65" hidden="1" customHeight="1" x14ac:dyDescent="0.35">
      <c r="B244" s="124">
        <v>244</v>
      </c>
      <c r="C244" s="633" t="s">
        <v>1190</v>
      </c>
      <c r="D244" s="254">
        <v>43927</v>
      </c>
      <c r="E244" s="255" t="s">
        <v>979</v>
      </c>
      <c r="F244" s="248">
        <v>43931</v>
      </c>
      <c r="G244" s="248">
        <f>Table1[[#This Row],[Start Date]]</f>
        <v>43931</v>
      </c>
      <c r="H244" s="257" t="s">
        <v>340</v>
      </c>
      <c r="I244" s="632"/>
      <c r="J244" s="246" t="s">
        <v>1191</v>
      </c>
      <c r="P244" s="1"/>
    </row>
    <row r="245" spans="2:16" ht="87" hidden="1" x14ac:dyDescent="0.35">
      <c r="B245" s="124">
        <v>245</v>
      </c>
      <c r="C245" s="633" t="s">
        <v>1192</v>
      </c>
      <c r="D245" s="254">
        <v>43927</v>
      </c>
      <c r="E245" s="255" t="s">
        <v>992</v>
      </c>
      <c r="F245" s="248">
        <v>43932</v>
      </c>
      <c r="G245" s="248">
        <f>Table1[[#This Row],[Start Date]]</f>
        <v>43932</v>
      </c>
      <c r="H245" s="257" t="s">
        <v>340</v>
      </c>
      <c r="I245" s="632"/>
      <c r="J245" s="246" t="s">
        <v>1193</v>
      </c>
      <c r="P245" s="1"/>
    </row>
    <row r="246" spans="2:16" ht="29" hidden="1" x14ac:dyDescent="0.35">
      <c r="B246" s="124">
        <v>246</v>
      </c>
      <c r="C246" s="633" t="s">
        <v>1194</v>
      </c>
      <c r="D246" s="254">
        <v>43927</v>
      </c>
      <c r="E246" s="255" t="s">
        <v>992</v>
      </c>
      <c r="F246" s="248">
        <v>43932</v>
      </c>
      <c r="G246" s="248">
        <f>Table1[[#This Row],[Start Date]]</f>
        <v>43932</v>
      </c>
      <c r="H246" s="257" t="s">
        <v>340</v>
      </c>
      <c r="I246" s="632"/>
      <c r="J246" s="246" t="s">
        <v>1189</v>
      </c>
      <c r="P246" s="1"/>
    </row>
    <row r="247" spans="2:16" ht="29" hidden="1" x14ac:dyDescent="0.35">
      <c r="B247" s="124">
        <v>247</v>
      </c>
      <c r="C247" s="633" t="s">
        <v>1195</v>
      </c>
      <c r="D247" s="254">
        <v>43934</v>
      </c>
      <c r="E247" s="255" t="s">
        <v>983</v>
      </c>
      <c r="F247" s="248">
        <v>43934</v>
      </c>
      <c r="G247" s="248">
        <f>Table1[[#This Row],[Start Date]]</f>
        <v>43934</v>
      </c>
      <c r="H247" s="257" t="s">
        <v>340</v>
      </c>
      <c r="I247" s="632"/>
      <c r="J247" s="246" t="s">
        <v>1196</v>
      </c>
      <c r="P247" s="1"/>
    </row>
    <row r="248" spans="2:16" ht="58" hidden="1" x14ac:dyDescent="0.35">
      <c r="B248" s="124">
        <v>248</v>
      </c>
      <c r="C248" s="633" t="s">
        <v>1197</v>
      </c>
      <c r="D248" s="254">
        <v>43934</v>
      </c>
      <c r="E248" s="255" t="s">
        <v>979</v>
      </c>
      <c r="F248" s="248">
        <v>43934</v>
      </c>
      <c r="G248" s="248">
        <v>43935</v>
      </c>
      <c r="H248" s="257" t="s">
        <v>340</v>
      </c>
      <c r="I248" s="632"/>
      <c r="J248" s="246" t="s">
        <v>1198</v>
      </c>
      <c r="P248" s="1"/>
    </row>
    <row r="249" spans="2:16" ht="145" hidden="1" x14ac:dyDescent="0.35">
      <c r="B249" s="124">
        <v>249</v>
      </c>
      <c r="C249" s="633" t="s">
        <v>1199</v>
      </c>
      <c r="D249" s="254">
        <v>43934</v>
      </c>
      <c r="E249" s="255" t="s">
        <v>983</v>
      </c>
      <c r="F249" s="248">
        <v>43934</v>
      </c>
      <c r="G249" s="248">
        <f>Table1[[#This Row],[Start Date]]</f>
        <v>43934</v>
      </c>
      <c r="H249" s="257" t="s">
        <v>340</v>
      </c>
      <c r="I249" s="632"/>
      <c r="J249" s="246" t="s">
        <v>1200</v>
      </c>
      <c r="P249" s="1"/>
    </row>
    <row r="250" spans="2:16" ht="14.5" hidden="1" x14ac:dyDescent="0.35">
      <c r="B250" s="124">
        <v>250</v>
      </c>
      <c r="C250" s="633" t="s">
        <v>1201</v>
      </c>
      <c r="D250" s="254">
        <v>43934</v>
      </c>
      <c r="E250" s="255" t="s">
        <v>433</v>
      </c>
      <c r="F250" s="248">
        <v>43935</v>
      </c>
      <c r="G250" s="248">
        <f>Table1[[#This Row],[Start Date]]</f>
        <v>43935</v>
      </c>
      <c r="H250" s="257" t="s">
        <v>340</v>
      </c>
      <c r="I250" s="632"/>
      <c r="J250" s="363" t="str">
        <f>Table1[[#This Row],[Routine Activities (PM/ PMCAL, CM, Genba, Isotanker, Material Readiness, Sampling)]]</f>
        <v>Waste Offloading - Org</v>
      </c>
      <c r="P250" s="1"/>
    </row>
    <row r="251" spans="2:16" ht="43.5" hidden="1" x14ac:dyDescent="0.35">
      <c r="B251" s="124">
        <v>251</v>
      </c>
      <c r="C251" s="633" t="s">
        <v>1202</v>
      </c>
      <c r="D251" s="254">
        <v>43934</v>
      </c>
      <c r="E251" s="255" t="s">
        <v>1203</v>
      </c>
      <c r="F251" s="248">
        <v>43935</v>
      </c>
      <c r="G251" s="248">
        <f>Table1[[#This Row],[Start Date]]</f>
        <v>43935</v>
      </c>
      <c r="H251" s="257" t="s">
        <v>340</v>
      </c>
      <c r="I251" s="632"/>
      <c r="J251" s="246" t="s">
        <v>1204</v>
      </c>
      <c r="P251" s="1"/>
    </row>
    <row r="252" spans="2:16" ht="14.5" hidden="1" x14ac:dyDescent="0.35">
      <c r="B252" s="124">
        <v>252</v>
      </c>
      <c r="C252" s="627" t="s">
        <v>1205</v>
      </c>
      <c r="D252" s="254">
        <v>43934</v>
      </c>
      <c r="E252" s="255" t="s">
        <v>418</v>
      </c>
      <c r="F252" s="248">
        <v>43936</v>
      </c>
      <c r="G252" s="248">
        <f>Table1[[#This Row],[Start Date]]</f>
        <v>43936</v>
      </c>
      <c r="H252" s="257" t="s">
        <v>340</v>
      </c>
      <c r="I252" s="632"/>
      <c r="J252" s="249" t="s">
        <v>778</v>
      </c>
      <c r="P252" s="1"/>
    </row>
    <row r="253" spans="2:16" ht="87" hidden="1" x14ac:dyDescent="0.35">
      <c r="B253" s="124">
        <v>254</v>
      </c>
      <c r="C253" s="633" t="s">
        <v>1206</v>
      </c>
      <c r="D253" s="254">
        <v>43934</v>
      </c>
      <c r="E253" s="255" t="s">
        <v>965</v>
      </c>
      <c r="F253" s="248">
        <v>43937</v>
      </c>
      <c r="G253" s="248">
        <f>Table1[[#This Row],[Start Date]]</f>
        <v>43937</v>
      </c>
      <c r="H253" s="257" t="s">
        <v>340</v>
      </c>
      <c r="I253" s="632"/>
      <c r="J253" s="246" t="s">
        <v>1095</v>
      </c>
      <c r="P253" s="1"/>
    </row>
    <row r="254" spans="2:16" ht="14.5" hidden="1" x14ac:dyDescent="0.35">
      <c r="B254" s="124">
        <v>255</v>
      </c>
      <c r="C254" s="627" t="s">
        <v>775</v>
      </c>
      <c r="D254" s="254">
        <v>43934</v>
      </c>
      <c r="E254" s="255" t="s">
        <v>418</v>
      </c>
      <c r="F254" s="248">
        <v>43937</v>
      </c>
      <c r="G254" s="248">
        <f>Table1[[#This Row],[Start Date]]</f>
        <v>43937</v>
      </c>
      <c r="H254" s="257" t="s">
        <v>340</v>
      </c>
      <c r="I254" s="632"/>
      <c r="J254" s="249" t="str">
        <f>Table1[[#This Row],[Routine Activities (PM/ PMCAL, CM, Genba, Isotanker, Material Readiness, Sampling)]]</f>
        <v>N2 loading</v>
      </c>
      <c r="P254" s="1"/>
    </row>
    <row r="255" spans="2:16" ht="14.5" hidden="1" x14ac:dyDescent="0.35">
      <c r="B255" s="124">
        <v>256</v>
      </c>
      <c r="C255" s="639" t="s">
        <v>777</v>
      </c>
      <c r="D255" s="254">
        <v>43934</v>
      </c>
      <c r="E255" s="255" t="s">
        <v>433</v>
      </c>
      <c r="F255" s="248">
        <v>43937</v>
      </c>
      <c r="G255" s="248">
        <f>Table1[[#This Row],[Start Date]]</f>
        <v>43937</v>
      </c>
      <c r="H255" s="257" t="s">
        <v>340</v>
      </c>
      <c r="I255" s="632"/>
      <c r="J255" s="249" t="str">
        <f>Table1[[#This Row],[Routine Activities (PM/ PMCAL, CM, Genba, Isotanker, Material Readiness, Sampling)]]</f>
        <v>Waste offloading - Org</v>
      </c>
      <c r="P255" s="1"/>
    </row>
    <row r="256" spans="2:16" ht="43.5" hidden="1" x14ac:dyDescent="0.35">
      <c r="B256" s="124">
        <v>257</v>
      </c>
      <c r="C256" s="633" t="s">
        <v>1207</v>
      </c>
      <c r="D256" s="254">
        <v>43934</v>
      </c>
      <c r="E256" s="255" t="s">
        <v>992</v>
      </c>
      <c r="F256" s="248">
        <v>43938</v>
      </c>
      <c r="G256" s="248">
        <f>Table1[[#This Row],[Start Date]]</f>
        <v>43938</v>
      </c>
      <c r="H256" s="257" t="s">
        <v>340</v>
      </c>
      <c r="I256" s="632"/>
      <c r="J256" s="246" t="s">
        <v>1208</v>
      </c>
      <c r="P256" s="1"/>
    </row>
    <row r="257" spans="2:16" ht="29" hidden="1" x14ac:dyDescent="0.35">
      <c r="B257" s="124">
        <v>258</v>
      </c>
      <c r="C257" s="640" t="s">
        <v>1209</v>
      </c>
      <c r="D257" s="254">
        <v>43934</v>
      </c>
      <c r="E257" s="255" t="s">
        <v>992</v>
      </c>
      <c r="F257" s="248">
        <v>43938</v>
      </c>
      <c r="G257" s="248">
        <v>43938</v>
      </c>
      <c r="H257" s="257" t="s">
        <v>340</v>
      </c>
      <c r="I257" s="632"/>
      <c r="J257" s="249" t="s">
        <v>1210</v>
      </c>
      <c r="P257" s="1"/>
    </row>
    <row r="258" spans="2:16" ht="29" hidden="1" x14ac:dyDescent="0.35">
      <c r="B258" s="124">
        <v>259</v>
      </c>
      <c r="C258" s="640" t="s">
        <v>1211</v>
      </c>
      <c r="D258" s="254">
        <v>43934</v>
      </c>
      <c r="E258" s="255" t="s">
        <v>992</v>
      </c>
      <c r="F258" s="248">
        <v>43938</v>
      </c>
      <c r="G258" s="248">
        <f>Table1[[#This Row],[Start Date]]</f>
        <v>43938</v>
      </c>
      <c r="H258" s="257" t="s">
        <v>340</v>
      </c>
      <c r="I258" s="632"/>
      <c r="J258" s="249" t="s">
        <v>1212</v>
      </c>
      <c r="P258" s="1"/>
    </row>
    <row r="259" spans="2:16" ht="29" hidden="1" x14ac:dyDescent="0.35">
      <c r="B259" s="124">
        <v>260</v>
      </c>
      <c r="C259" s="640" t="s">
        <v>1213</v>
      </c>
      <c r="D259" s="254">
        <v>43934</v>
      </c>
      <c r="E259" s="255" t="s">
        <v>992</v>
      </c>
      <c r="F259" s="248">
        <v>43938</v>
      </c>
      <c r="G259" s="248">
        <f>Table1[[#This Row],[Start Date]]</f>
        <v>43938</v>
      </c>
      <c r="H259" s="257" t="s">
        <v>340</v>
      </c>
      <c r="I259" s="632"/>
      <c r="J259" s="249" t="s">
        <v>1214</v>
      </c>
      <c r="P259" s="1"/>
    </row>
    <row r="260" spans="2:16" ht="29" hidden="1" x14ac:dyDescent="0.35">
      <c r="B260" s="124">
        <v>262</v>
      </c>
      <c r="C260" s="641" t="s">
        <v>1215</v>
      </c>
      <c r="D260" s="254">
        <v>43934</v>
      </c>
      <c r="E260" s="255" t="s">
        <v>965</v>
      </c>
      <c r="F260" s="248">
        <v>43939</v>
      </c>
      <c r="G260" s="248">
        <v>43940</v>
      </c>
      <c r="H260" s="257" t="s">
        <v>340</v>
      </c>
      <c r="I260" s="632"/>
      <c r="J260" s="249" t="s">
        <v>1216</v>
      </c>
      <c r="P260" s="1"/>
    </row>
    <row r="261" spans="2:16" ht="101.5" hidden="1" x14ac:dyDescent="0.35">
      <c r="B261" s="124">
        <v>264</v>
      </c>
      <c r="C261" s="641" t="s">
        <v>1217</v>
      </c>
      <c r="D261" s="254">
        <v>43934</v>
      </c>
      <c r="E261" s="255" t="s">
        <v>1024</v>
      </c>
      <c r="F261" s="248">
        <v>43940</v>
      </c>
      <c r="G261" s="248">
        <v>43941</v>
      </c>
      <c r="H261" s="257" t="s">
        <v>340</v>
      </c>
      <c r="I261" s="632" t="s">
        <v>1218</v>
      </c>
      <c r="J261" s="249" t="s">
        <v>832</v>
      </c>
      <c r="P261" s="1"/>
    </row>
    <row r="262" spans="2:16" ht="14.5" hidden="1" x14ac:dyDescent="0.35">
      <c r="B262" s="124">
        <v>263</v>
      </c>
      <c r="C262" s="627" t="s">
        <v>792</v>
      </c>
      <c r="D262" s="254">
        <v>43941</v>
      </c>
      <c r="E262" s="255" t="s">
        <v>433</v>
      </c>
      <c r="F262" s="248">
        <v>43941</v>
      </c>
      <c r="G262" s="248">
        <f>Table1[[#This Row],[Start Date]]</f>
        <v>43941</v>
      </c>
      <c r="H262" s="257" t="s">
        <v>340</v>
      </c>
      <c r="I262" s="632"/>
      <c r="J262" s="249" t="str">
        <f>Table1[[#This Row],[Routine Activities (PM/ PMCAL, CM, Genba, Isotanker, Material Readiness, Sampling)]]</f>
        <v>Waste offloading - Aq</v>
      </c>
      <c r="P262" s="1"/>
    </row>
    <row r="263" spans="2:16" ht="14.5" hidden="1" x14ac:dyDescent="0.35">
      <c r="B263" s="124">
        <v>266</v>
      </c>
      <c r="C263" s="627" t="s">
        <v>1219</v>
      </c>
      <c r="D263" s="254">
        <v>43941</v>
      </c>
      <c r="E263" s="255" t="s">
        <v>418</v>
      </c>
      <c r="F263" s="248">
        <v>43941</v>
      </c>
      <c r="G263" s="248">
        <f>Table1[[#This Row],[Start Date]]</f>
        <v>43941</v>
      </c>
      <c r="H263" s="257" t="s">
        <v>340</v>
      </c>
      <c r="I263" s="632"/>
      <c r="J263" s="249" t="str">
        <f>Table1[[#This Row],[Routine Activities (PM/ PMCAL, CM, Genba, Isotanker, Material Readiness, Sampling)]]</f>
        <v>Material Readiness for A1</v>
      </c>
      <c r="P263" s="1"/>
    </row>
    <row r="264" spans="2:16" ht="29" hidden="1" x14ac:dyDescent="0.35">
      <c r="B264" s="124">
        <v>267</v>
      </c>
      <c r="C264" s="641" t="s">
        <v>1220</v>
      </c>
      <c r="D264" s="254">
        <v>43941</v>
      </c>
      <c r="E264" s="255" t="s">
        <v>979</v>
      </c>
      <c r="F264" s="248">
        <v>43942</v>
      </c>
      <c r="G264" s="248">
        <f>Table1[[#This Row],[Start Date]]</f>
        <v>43942</v>
      </c>
      <c r="H264" s="257" t="s">
        <v>340</v>
      </c>
      <c r="I264" s="632"/>
      <c r="J264" s="249" t="s">
        <v>1221</v>
      </c>
      <c r="P264" s="1"/>
    </row>
    <row r="265" spans="2:16" ht="29" hidden="1" x14ac:dyDescent="0.35">
      <c r="B265" s="124">
        <v>268</v>
      </c>
      <c r="C265" s="641" t="s">
        <v>1222</v>
      </c>
      <c r="D265" s="254">
        <v>43941</v>
      </c>
      <c r="E265" s="255" t="s">
        <v>979</v>
      </c>
      <c r="F265" s="248">
        <v>43942</v>
      </c>
      <c r="G265" s="248">
        <f>Table1[[#This Row],[Start Date]]</f>
        <v>43942</v>
      </c>
      <c r="H265" s="257" t="s">
        <v>340</v>
      </c>
      <c r="I265" s="632"/>
      <c r="J265" s="249" t="s">
        <v>1223</v>
      </c>
      <c r="P265" s="1"/>
    </row>
    <row r="266" spans="2:16" ht="145" hidden="1" x14ac:dyDescent="0.35">
      <c r="B266" s="124">
        <v>270</v>
      </c>
      <c r="C266" s="641" t="s">
        <v>1224</v>
      </c>
      <c r="D266" s="254">
        <v>43941</v>
      </c>
      <c r="E266" s="255" t="s">
        <v>979</v>
      </c>
      <c r="F266" s="248">
        <v>43942</v>
      </c>
      <c r="G266" s="248">
        <v>43942</v>
      </c>
      <c r="H266" s="257" t="s">
        <v>340</v>
      </c>
      <c r="I266" s="632"/>
      <c r="J266" s="249" t="s">
        <v>1225</v>
      </c>
      <c r="P266" s="1"/>
    </row>
    <row r="267" spans="2:16" ht="87" hidden="1" x14ac:dyDescent="0.35">
      <c r="B267" s="124">
        <v>271</v>
      </c>
      <c r="C267" s="641" t="s">
        <v>1226</v>
      </c>
      <c r="D267" s="254">
        <v>43941</v>
      </c>
      <c r="E267" s="255" t="s">
        <v>979</v>
      </c>
      <c r="F267" s="248">
        <v>43942</v>
      </c>
      <c r="G267" s="248">
        <f>Table1[[#This Row],[Start Date]]</f>
        <v>43942</v>
      </c>
      <c r="H267" s="257" t="s">
        <v>340</v>
      </c>
      <c r="I267" s="632"/>
      <c r="J267" s="249" t="s">
        <v>1227</v>
      </c>
      <c r="P267" s="1"/>
    </row>
    <row r="268" spans="2:16" ht="43.5" hidden="1" x14ac:dyDescent="0.35">
      <c r="B268" s="124">
        <v>272</v>
      </c>
      <c r="C268" s="641" t="s">
        <v>1228</v>
      </c>
      <c r="D268" s="254">
        <v>43941</v>
      </c>
      <c r="E268" s="255" t="s">
        <v>979</v>
      </c>
      <c r="F268" s="248">
        <v>43942</v>
      </c>
      <c r="G268" s="248">
        <v>43942</v>
      </c>
      <c r="H268" s="257" t="s">
        <v>340</v>
      </c>
      <c r="I268" s="632"/>
      <c r="J268" s="249" t="s">
        <v>1229</v>
      </c>
      <c r="P268" s="1"/>
    </row>
    <row r="269" spans="2:16" ht="29" hidden="1" x14ac:dyDescent="0.35">
      <c r="B269" s="124">
        <v>273</v>
      </c>
      <c r="C269" s="641" t="s">
        <v>1230</v>
      </c>
      <c r="D269" s="254">
        <v>43941</v>
      </c>
      <c r="E269" s="255" t="s">
        <v>979</v>
      </c>
      <c r="F269" s="248">
        <v>43942</v>
      </c>
      <c r="G269" s="248">
        <v>43943</v>
      </c>
      <c r="H269" s="257" t="s">
        <v>340</v>
      </c>
      <c r="I269" s="632"/>
      <c r="J269" s="249" t="s">
        <v>1231</v>
      </c>
      <c r="P269" s="1"/>
    </row>
    <row r="270" spans="2:16" ht="43.5" hidden="1" x14ac:dyDescent="0.35">
      <c r="B270" s="124">
        <v>274</v>
      </c>
      <c r="C270" s="641" t="s">
        <v>1232</v>
      </c>
      <c r="D270" s="254">
        <v>43941</v>
      </c>
      <c r="E270" s="255" t="s">
        <v>1233</v>
      </c>
      <c r="F270" s="248">
        <v>43943</v>
      </c>
      <c r="G270" s="248">
        <v>43943</v>
      </c>
      <c r="H270" s="257" t="s">
        <v>340</v>
      </c>
      <c r="I270" s="632"/>
      <c r="J270" s="249" t="s">
        <v>1234</v>
      </c>
      <c r="P270" s="1"/>
    </row>
    <row r="271" spans="2:16" ht="72.5" hidden="1" x14ac:dyDescent="0.35">
      <c r="B271" s="124">
        <v>275</v>
      </c>
      <c r="C271" s="641" t="s">
        <v>1235</v>
      </c>
      <c r="D271" s="254">
        <v>43941</v>
      </c>
      <c r="E271" s="255" t="s">
        <v>1149</v>
      </c>
      <c r="F271" s="248">
        <v>43943</v>
      </c>
      <c r="G271" s="248">
        <v>43943</v>
      </c>
      <c r="H271" s="257" t="s">
        <v>340</v>
      </c>
      <c r="I271" s="632"/>
      <c r="J271" s="249" t="s">
        <v>1236</v>
      </c>
      <c r="P271" s="1"/>
    </row>
    <row r="272" spans="2:16" ht="101.5" hidden="1" x14ac:dyDescent="0.35">
      <c r="B272" s="124"/>
      <c r="C272" s="641" t="s">
        <v>1237</v>
      </c>
      <c r="D272" s="254">
        <v>43941</v>
      </c>
      <c r="E272" s="255" t="s">
        <v>1149</v>
      </c>
      <c r="F272" s="248">
        <v>43943</v>
      </c>
      <c r="G272" s="248">
        <f>Table1[[#This Row],[Start Date]]</f>
        <v>43943</v>
      </c>
      <c r="H272" s="257" t="s">
        <v>340</v>
      </c>
      <c r="I272" s="632"/>
      <c r="J272" s="249" t="s">
        <v>1236</v>
      </c>
      <c r="P272" s="1"/>
    </row>
    <row r="273" spans="2:16" ht="29" hidden="1" x14ac:dyDescent="0.35">
      <c r="B273" s="124">
        <v>276</v>
      </c>
      <c r="C273" s="641" t="s">
        <v>1238</v>
      </c>
      <c r="D273" s="254">
        <v>43941</v>
      </c>
      <c r="E273" s="255" t="s">
        <v>979</v>
      </c>
      <c r="F273" s="248">
        <v>43943</v>
      </c>
      <c r="G273" s="248">
        <v>43944</v>
      </c>
      <c r="H273" s="257" t="s">
        <v>340</v>
      </c>
      <c r="I273" s="632"/>
      <c r="J273" s="249" t="s">
        <v>1119</v>
      </c>
      <c r="P273" s="1"/>
    </row>
    <row r="274" spans="2:16" ht="101.5" hidden="1" x14ac:dyDescent="0.35">
      <c r="B274" s="124">
        <v>277</v>
      </c>
      <c r="C274" s="641" t="s">
        <v>1239</v>
      </c>
      <c r="D274" s="254">
        <v>43941</v>
      </c>
      <c r="E274" s="255" t="s">
        <v>979</v>
      </c>
      <c r="F274" s="248">
        <v>43943</v>
      </c>
      <c r="G274" s="248">
        <v>43944</v>
      </c>
      <c r="H274" s="257" t="s">
        <v>340</v>
      </c>
      <c r="I274" s="632"/>
      <c r="J274" s="249" t="s">
        <v>1240</v>
      </c>
      <c r="P274" s="1"/>
    </row>
    <row r="275" spans="2:16" ht="14.5" hidden="1" x14ac:dyDescent="0.35">
      <c r="B275" s="124">
        <v>278</v>
      </c>
      <c r="C275" s="627" t="s">
        <v>857</v>
      </c>
      <c r="D275" s="254">
        <v>43941</v>
      </c>
      <c r="E275" s="255" t="s">
        <v>418</v>
      </c>
      <c r="F275" s="248">
        <v>43943</v>
      </c>
      <c r="G275" s="248">
        <f>Table1[[#This Row],[Start Date]]</f>
        <v>43943</v>
      </c>
      <c r="H275" s="257" t="s">
        <v>340</v>
      </c>
      <c r="I275" s="632"/>
      <c r="J275" s="249" t="str">
        <f>Table1[[#This Row],[Routine Activities (PM/ PMCAL, CM, Genba, Isotanker, Material Readiness, Sampling)]]</f>
        <v>Solvent loading - EtOAc</v>
      </c>
      <c r="P275" s="1"/>
    </row>
    <row r="276" spans="2:16" ht="29" hidden="1" x14ac:dyDescent="0.35">
      <c r="B276" s="124">
        <v>279</v>
      </c>
      <c r="C276" s="641" t="s">
        <v>1241</v>
      </c>
      <c r="D276" s="254">
        <v>43941</v>
      </c>
      <c r="E276" s="255" t="s">
        <v>1012</v>
      </c>
      <c r="F276" s="248">
        <v>43944</v>
      </c>
      <c r="G276" s="248">
        <v>43951</v>
      </c>
      <c r="H276" s="257" t="s">
        <v>340</v>
      </c>
      <c r="I276" s="632"/>
      <c r="J276" s="249" t="s">
        <v>1242</v>
      </c>
      <c r="P276" s="1"/>
    </row>
    <row r="277" spans="2:16" ht="14.5" hidden="1" x14ac:dyDescent="0.35">
      <c r="B277" s="124">
        <v>280</v>
      </c>
      <c r="C277" s="627" t="s">
        <v>775</v>
      </c>
      <c r="D277" s="254">
        <v>43941</v>
      </c>
      <c r="E277" s="255" t="s">
        <v>418</v>
      </c>
      <c r="F277" s="248">
        <v>43944</v>
      </c>
      <c r="G277" s="248">
        <f>Table1[[#This Row],[Start Date]]</f>
        <v>43944</v>
      </c>
      <c r="H277" s="257" t="s">
        <v>340</v>
      </c>
      <c r="I277" s="632" t="s">
        <v>1243</v>
      </c>
      <c r="J277" s="249" t="str">
        <f>Table1[[#This Row],[Routine Activities (PM/ PMCAL, CM, Genba, Isotanker, Material Readiness, Sampling)]]</f>
        <v>N2 loading</v>
      </c>
      <c r="P277" s="1"/>
    </row>
    <row r="278" spans="2:16" ht="43.5" hidden="1" x14ac:dyDescent="0.35">
      <c r="B278" s="124">
        <v>281</v>
      </c>
      <c r="C278" s="641" t="s">
        <v>1244</v>
      </c>
      <c r="D278" s="254">
        <v>43941</v>
      </c>
      <c r="E278" s="255" t="s">
        <v>1245</v>
      </c>
      <c r="F278" s="248">
        <v>43945</v>
      </c>
      <c r="G278" s="248">
        <v>43945</v>
      </c>
      <c r="H278" s="257" t="s">
        <v>340</v>
      </c>
      <c r="I278" s="632"/>
      <c r="J278" s="249" t="s">
        <v>1246</v>
      </c>
      <c r="P278" s="1"/>
    </row>
    <row r="279" spans="2:16" ht="43.5" hidden="1" x14ac:dyDescent="0.35">
      <c r="B279" s="124">
        <v>282</v>
      </c>
      <c r="C279" s="641" t="s">
        <v>1247</v>
      </c>
      <c r="D279" s="254">
        <v>43941</v>
      </c>
      <c r="E279" s="255" t="s">
        <v>979</v>
      </c>
      <c r="F279" s="248">
        <v>43945</v>
      </c>
      <c r="G279" s="248">
        <v>43945</v>
      </c>
      <c r="H279" s="257" t="s">
        <v>340</v>
      </c>
      <c r="I279" s="632"/>
      <c r="J279" s="249" t="s">
        <v>1248</v>
      </c>
      <c r="P279" s="1"/>
    </row>
    <row r="280" spans="2:16" ht="43.5" hidden="1" x14ac:dyDescent="0.35">
      <c r="B280" s="124">
        <v>283</v>
      </c>
      <c r="C280" s="641" t="s">
        <v>1249</v>
      </c>
      <c r="D280" s="254">
        <v>43941</v>
      </c>
      <c r="E280" s="255" t="s">
        <v>979</v>
      </c>
      <c r="F280" s="248">
        <v>43945</v>
      </c>
      <c r="G280" s="248">
        <v>43945</v>
      </c>
      <c r="H280" s="257" t="s">
        <v>340</v>
      </c>
      <c r="I280" s="632"/>
      <c r="J280" s="249" t="s">
        <v>1250</v>
      </c>
      <c r="P280" s="1"/>
    </row>
    <row r="281" spans="2:16" ht="43.5" hidden="1" x14ac:dyDescent="0.35">
      <c r="B281" s="124">
        <v>284</v>
      </c>
      <c r="C281" s="641" t="s">
        <v>1251</v>
      </c>
      <c r="D281" s="254">
        <v>43941</v>
      </c>
      <c r="E281" s="255" t="s">
        <v>979</v>
      </c>
      <c r="F281" s="248">
        <v>43945</v>
      </c>
      <c r="G281" s="248">
        <v>43945</v>
      </c>
      <c r="H281" s="257" t="s">
        <v>340</v>
      </c>
      <c r="I281" s="632"/>
      <c r="J281" s="249" t="s">
        <v>1252</v>
      </c>
      <c r="P281" s="1"/>
    </row>
    <row r="282" spans="2:16" ht="43.5" hidden="1" x14ac:dyDescent="0.35">
      <c r="B282" s="124">
        <v>285</v>
      </c>
      <c r="C282" s="641" t="s">
        <v>1253</v>
      </c>
      <c r="D282" s="254">
        <v>43941</v>
      </c>
      <c r="E282" s="255" t="s">
        <v>979</v>
      </c>
      <c r="F282" s="248">
        <v>43945</v>
      </c>
      <c r="G282" s="248">
        <v>43945</v>
      </c>
      <c r="H282" s="257" t="s">
        <v>340</v>
      </c>
      <c r="I282" s="632"/>
      <c r="J282" s="249" t="s">
        <v>1254</v>
      </c>
      <c r="P282" s="1"/>
    </row>
    <row r="283" spans="2:16" ht="29" hidden="1" x14ac:dyDescent="0.35">
      <c r="B283" s="124">
        <v>286</v>
      </c>
      <c r="C283" s="641" t="s">
        <v>1255</v>
      </c>
      <c r="D283" s="254">
        <v>43941</v>
      </c>
      <c r="E283" s="255" t="s">
        <v>1149</v>
      </c>
      <c r="F283" s="248">
        <v>43945</v>
      </c>
      <c r="G283" s="248">
        <v>43946</v>
      </c>
      <c r="H283" s="257" t="s">
        <v>340</v>
      </c>
      <c r="I283" s="632"/>
      <c r="J283" s="249" t="s">
        <v>1256</v>
      </c>
      <c r="P283" s="1"/>
    </row>
    <row r="284" spans="2:16" ht="101.5" hidden="1" x14ac:dyDescent="0.35">
      <c r="B284" s="124">
        <v>287</v>
      </c>
      <c r="C284" s="641" t="s">
        <v>1257</v>
      </c>
      <c r="D284" s="254">
        <v>43948</v>
      </c>
      <c r="E284" s="255" t="s">
        <v>1245</v>
      </c>
      <c r="F284" s="248">
        <v>43948</v>
      </c>
      <c r="G284" s="248">
        <v>43948</v>
      </c>
      <c r="H284" s="257" t="s">
        <v>1080</v>
      </c>
      <c r="I284" s="632"/>
      <c r="J284" s="249" t="s">
        <v>1258</v>
      </c>
      <c r="P284" s="1"/>
    </row>
    <row r="285" spans="2:16" ht="43.5" hidden="1" x14ac:dyDescent="0.35">
      <c r="B285" s="124">
        <v>288</v>
      </c>
      <c r="C285" s="641" t="s">
        <v>1259</v>
      </c>
      <c r="D285" s="254">
        <v>43948</v>
      </c>
      <c r="E285" s="255" t="s">
        <v>1245</v>
      </c>
      <c r="F285" s="248">
        <v>43948</v>
      </c>
      <c r="G285" s="248">
        <f>Table1[[#This Row],[Start Date]]</f>
        <v>43948</v>
      </c>
      <c r="H285" s="257" t="s">
        <v>1080</v>
      </c>
      <c r="I285" s="632"/>
      <c r="J285" s="249" t="s">
        <v>1260</v>
      </c>
      <c r="P285" s="1"/>
    </row>
    <row r="286" spans="2:16" ht="43.5" hidden="1" x14ac:dyDescent="0.35">
      <c r="B286" s="124">
        <v>289</v>
      </c>
      <c r="C286" s="641" t="s">
        <v>1261</v>
      </c>
      <c r="D286" s="254">
        <v>43948</v>
      </c>
      <c r="E286" s="255" t="s">
        <v>1262</v>
      </c>
      <c r="F286" s="248">
        <v>43948</v>
      </c>
      <c r="G286" s="248">
        <f>Table1[[#This Row],[Start Date]]</f>
        <v>43948</v>
      </c>
      <c r="H286" s="257" t="s">
        <v>1080</v>
      </c>
      <c r="I286" s="632"/>
      <c r="J286" s="249" t="s">
        <v>1263</v>
      </c>
      <c r="P286" s="1"/>
    </row>
    <row r="287" spans="2:16" ht="72.5" hidden="1" x14ac:dyDescent="0.35">
      <c r="B287" s="124">
        <v>290</v>
      </c>
      <c r="C287" s="641" t="s">
        <v>1264</v>
      </c>
      <c r="D287" s="254">
        <v>43948</v>
      </c>
      <c r="E287" s="255" t="s">
        <v>1245</v>
      </c>
      <c r="F287" s="248">
        <v>43948</v>
      </c>
      <c r="G287" s="248">
        <f>Table1[[#This Row],[Start Date]]</f>
        <v>43948</v>
      </c>
      <c r="H287" s="257" t="s">
        <v>1080</v>
      </c>
      <c r="I287" s="632" t="s">
        <v>1265</v>
      </c>
      <c r="J287" s="249" t="s">
        <v>1266</v>
      </c>
      <c r="P287" s="1"/>
    </row>
    <row r="288" spans="2:16" ht="43.5" hidden="1" x14ac:dyDescent="0.35">
      <c r="B288" s="124">
        <v>291</v>
      </c>
      <c r="C288" s="641" t="s">
        <v>1267</v>
      </c>
      <c r="D288" s="254">
        <v>43948</v>
      </c>
      <c r="E288" s="255" t="s">
        <v>1268</v>
      </c>
      <c r="F288" s="248">
        <v>43948</v>
      </c>
      <c r="G288" s="248">
        <f>Table1[[#This Row],[Start Date]]</f>
        <v>43948</v>
      </c>
      <c r="H288" s="257" t="s">
        <v>340</v>
      </c>
      <c r="I288" s="632"/>
      <c r="J288" s="249" t="s">
        <v>1269</v>
      </c>
      <c r="P288" s="1"/>
    </row>
    <row r="289" spans="2:16" ht="43.5" hidden="1" x14ac:dyDescent="0.35">
      <c r="B289" s="124">
        <v>290</v>
      </c>
      <c r="C289" s="641" t="s">
        <v>1270</v>
      </c>
      <c r="D289" s="254">
        <v>43948</v>
      </c>
      <c r="E289" s="255" t="s">
        <v>1245</v>
      </c>
      <c r="F289" s="248">
        <v>43948</v>
      </c>
      <c r="G289" s="248">
        <f>Table1[[#This Row],[Start Date]]</f>
        <v>43948</v>
      </c>
      <c r="H289" s="257" t="s">
        <v>340</v>
      </c>
      <c r="I289" s="632" t="s">
        <v>1271</v>
      </c>
      <c r="J289" s="249" t="s">
        <v>1266</v>
      </c>
      <c r="P289" s="1"/>
    </row>
    <row r="290" spans="2:16" ht="43.5" hidden="1" x14ac:dyDescent="0.35">
      <c r="B290" s="124">
        <v>292</v>
      </c>
      <c r="C290" s="641" t="s">
        <v>1272</v>
      </c>
      <c r="D290" s="254">
        <v>43948</v>
      </c>
      <c r="E290" s="255" t="s">
        <v>979</v>
      </c>
      <c r="F290" s="248">
        <v>43949</v>
      </c>
      <c r="G290" s="248">
        <f>Table1[[#This Row],[Start Date]]</f>
        <v>43949</v>
      </c>
      <c r="H290" s="257" t="s">
        <v>966</v>
      </c>
      <c r="I290" s="632" t="s">
        <v>1273</v>
      </c>
      <c r="J290" s="249" t="s">
        <v>1274</v>
      </c>
      <c r="P290" s="1"/>
    </row>
    <row r="291" spans="2:16" ht="160.5" hidden="1" customHeight="1" x14ac:dyDescent="0.35">
      <c r="B291" s="124">
        <v>293</v>
      </c>
      <c r="C291" s="641" t="s">
        <v>1275</v>
      </c>
      <c r="D291" s="254">
        <v>43948</v>
      </c>
      <c r="E291" s="255" t="s">
        <v>1245</v>
      </c>
      <c r="F291" s="248">
        <v>43949</v>
      </c>
      <c r="G291" s="248">
        <f>Table1[[#This Row],[Start Date]]</f>
        <v>43949</v>
      </c>
      <c r="H291" s="257" t="s">
        <v>340</v>
      </c>
      <c r="I291" s="632" t="s">
        <v>1276</v>
      </c>
      <c r="J291" s="249" t="s">
        <v>1277</v>
      </c>
      <c r="P291" s="1"/>
    </row>
    <row r="292" spans="2:16" ht="29" hidden="1" x14ac:dyDescent="0.35">
      <c r="B292" s="124">
        <v>294</v>
      </c>
      <c r="C292" s="641" t="s">
        <v>1278</v>
      </c>
      <c r="D292" s="254">
        <v>43948</v>
      </c>
      <c r="E292" s="255" t="s">
        <v>979</v>
      </c>
      <c r="F292" s="248">
        <v>43950</v>
      </c>
      <c r="G292" s="248">
        <f>Table1[[#This Row],[Start Date]]</f>
        <v>43950</v>
      </c>
      <c r="H292" s="257" t="s">
        <v>340</v>
      </c>
      <c r="I292" s="632"/>
      <c r="J292" s="249" t="s">
        <v>1279</v>
      </c>
      <c r="P292" s="1"/>
    </row>
    <row r="293" spans="2:16" ht="58" hidden="1" x14ac:dyDescent="0.35">
      <c r="B293" s="124">
        <v>295</v>
      </c>
      <c r="C293" s="641" t="s">
        <v>1280</v>
      </c>
      <c r="D293" s="254">
        <v>43948</v>
      </c>
      <c r="E293" s="255" t="s">
        <v>992</v>
      </c>
      <c r="F293" s="248">
        <v>43950</v>
      </c>
      <c r="G293" s="248">
        <f>Table1[[#This Row],[Start Date]]</f>
        <v>43950</v>
      </c>
      <c r="H293" s="257" t="s">
        <v>340</v>
      </c>
      <c r="I293" s="632" t="s">
        <v>1281</v>
      </c>
      <c r="J293" s="249" t="s">
        <v>1282</v>
      </c>
      <c r="P293" s="1"/>
    </row>
    <row r="294" spans="2:16" ht="43.5" hidden="1" x14ac:dyDescent="0.35">
      <c r="B294" s="124">
        <v>296</v>
      </c>
      <c r="C294" s="641" t="s">
        <v>1283</v>
      </c>
      <c r="D294" s="254">
        <v>43948</v>
      </c>
      <c r="E294" s="255" t="s">
        <v>979</v>
      </c>
      <c r="F294" s="248">
        <v>43950</v>
      </c>
      <c r="G294" s="248">
        <f>Table1[[#This Row],[Start Date]]</f>
        <v>43950</v>
      </c>
      <c r="H294" s="257" t="s">
        <v>340</v>
      </c>
      <c r="I294" s="632" t="s">
        <v>1284</v>
      </c>
      <c r="J294" s="249" t="s">
        <v>1285</v>
      </c>
      <c r="P294" s="1"/>
    </row>
    <row r="295" spans="2:16" ht="29" hidden="1" x14ac:dyDescent="0.35">
      <c r="B295" s="124">
        <v>297</v>
      </c>
      <c r="C295" s="641" t="s">
        <v>1286</v>
      </c>
      <c r="D295" s="254">
        <v>43948</v>
      </c>
      <c r="E295" s="255" t="s">
        <v>979</v>
      </c>
      <c r="F295" s="248">
        <v>43950</v>
      </c>
      <c r="G295" s="248">
        <f>Table1[[#This Row],[Start Date]]</f>
        <v>43950</v>
      </c>
      <c r="H295" s="257" t="s">
        <v>340</v>
      </c>
      <c r="I295" s="632"/>
      <c r="J295" s="249" t="s">
        <v>1287</v>
      </c>
      <c r="P295" s="1"/>
    </row>
    <row r="296" spans="2:16" ht="29" hidden="1" x14ac:dyDescent="0.35">
      <c r="B296" s="124">
        <v>298</v>
      </c>
      <c r="C296" s="641" t="s">
        <v>1288</v>
      </c>
      <c r="D296" s="254">
        <v>43948</v>
      </c>
      <c r="E296" s="255" t="s">
        <v>983</v>
      </c>
      <c r="F296" s="248">
        <v>43951</v>
      </c>
      <c r="G296" s="248">
        <f>Table1[[#This Row],[Start Date]]</f>
        <v>43951</v>
      </c>
      <c r="H296" s="257" t="s">
        <v>340</v>
      </c>
      <c r="I296" s="632"/>
      <c r="J296" s="249" t="s">
        <v>1289</v>
      </c>
      <c r="P296" s="1"/>
    </row>
    <row r="297" spans="2:16" ht="29" hidden="1" x14ac:dyDescent="0.35">
      <c r="B297" s="124">
        <v>299</v>
      </c>
      <c r="C297" s="641" t="s">
        <v>1290</v>
      </c>
      <c r="D297" s="254">
        <v>43948</v>
      </c>
      <c r="E297" s="255" t="s">
        <v>1291</v>
      </c>
      <c r="F297" s="248">
        <v>43951</v>
      </c>
      <c r="G297" s="248">
        <f>Table1[[#This Row],[Start Date]]</f>
        <v>43951</v>
      </c>
      <c r="H297" s="257" t="s">
        <v>340</v>
      </c>
      <c r="I297" s="632"/>
      <c r="J297" s="249" t="s">
        <v>1292</v>
      </c>
      <c r="P297" s="1"/>
    </row>
    <row r="298" spans="2:16" ht="29" hidden="1" x14ac:dyDescent="0.35">
      <c r="B298" s="124">
        <v>300</v>
      </c>
      <c r="C298" s="641" t="s">
        <v>1293</v>
      </c>
      <c r="D298" s="254">
        <v>43948</v>
      </c>
      <c r="E298" s="255" t="s">
        <v>979</v>
      </c>
      <c r="F298" s="248">
        <v>43951</v>
      </c>
      <c r="G298" s="248">
        <f>Table1[[#This Row],[Start Date]]</f>
        <v>43951</v>
      </c>
      <c r="H298" s="257" t="s">
        <v>340</v>
      </c>
      <c r="I298" s="632" t="s">
        <v>1294</v>
      </c>
      <c r="J298" s="249" t="s">
        <v>1295</v>
      </c>
      <c r="P298" s="1"/>
    </row>
    <row r="299" spans="2:16" ht="29" hidden="1" x14ac:dyDescent="0.35">
      <c r="B299" s="124">
        <v>301</v>
      </c>
      <c r="C299" s="641" t="s">
        <v>1296</v>
      </c>
      <c r="D299" s="254">
        <v>43948</v>
      </c>
      <c r="E299" s="255" t="s">
        <v>965</v>
      </c>
      <c r="F299" s="248">
        <v>43951</v>
      </c>
      <c r="G299" s="248">
        <v>43952</v>
      </c>
      <c r="H299" s="257" t="s">
        <v>340</v>
      </c>
      <c r="I299" s="632"/>
      <c r="J299" s="249" t="s">
        <v>1297</v>
      </c>
      <c r="P299" s="1"/>
    </row>
    <row r="300" spans="2:16" ht="14.5" hidden="1" x14ac:dyDescent="0.35">
      <c r="B300" s="124"/>
      <c r="C300" s="627" t="s">
        <v>1298</v>
      </c>
      <c r="D300" s="254">
        <v>43941</v>
      </c>
      <c r="E300" s="255" t="s">
        <v>785</v>
      </c>
      <c r="F300" s="248"/>
      <c r="G300" s="248">
        <f>Table1[[#This Row],[Start Date]]</f>
        <v>0</v>
      </c>
      <c r="H300" s="257" t="s">
        <v>1080</v>
      </c>
      <c r="I300" s="632"/>
      <c r="J300" s="249" t="str">
        <f>Table1[[#This Row],[Routine Activities (PM/ PMCAL, CM, Genba, Isotanker, Material Readiness, Sampling)]]</f>
        <v>Genba - Cancelled</v>
      </c>
      <c r="P300" s="1"/>
    </row>
    <row r="301" spans="2:16" ht="14.5" hidden="1" x14ac:dyDescent="0.35">
      <c r="B301" s="124"/>
      <c r="C301" s="627" t="s">
        <v>1299</v>
      </c>
      <c r="D301" s="254">
        <v>43941</v>
      </c>
      <c r="E301" s="255" t="s">
        <v>891</v>
      </c>
      <c r="F301" s="248"/>
      <c r="G301" s="248">
        <f>Table1[[#This Row],[Start Date]]</f>
        <v>0</v>
      </c>
      <c r="H301" s="257" t="s">
        <v>1080</v>
      </c>
      <c r="I301" s="632"/>
      <c r="J301" s="249" t="str">
        <f>Table1[[#This Row],[Routine Activities (PM/ PMCAL, CM, Genba, Isotanker, Material Readiness, Sampling)]]</f>
        <v>QoP - Cancelled</v>
      </c>
      <c r="P301" s="1"/>
    </row>
    <row r="302" spans="2:16" ht="14.5" hidden="1" x14ac:dyDescent="0.35">
      <c r="B302" s="124"/>
      <c r="C302" s="627" t="s">
        <v>837</v>
      </c>
      <c r="D302" s="254">
        <v>43941</v>
      </c>
      <c r="E302" s="255" t="s">
        <v>339</v>
      </c>
      <c r="F302" s="248"/>
      <c r="G302" s="248">
        <f>Table1[[#This Row],[Start Date]]</f>
        <v>0</v>
      </c>
      <c r="H302" s="257" t="s">
        <v>340</v>
      </c>
      <c r="I302" s="632"/>
      <c r="J302" s="249" t="str">
        <f>Table1[[#This Row],[Routine Activities (PM/ PMCAL, CM, Genba, Isotanker, Material Readiness, Sampling)]]</f>
        <v>QC Testing Readiness</v>
      </c>
      <c r="P302" s="1"/>
    </row>
    <row r="303" spans="2:16" ht="14.5" hidden="1" x14ac:dyDescent="0.35">
      <c r="B303" s="124"/>
      <c r="C303" s="642" t="s">
        <v>998</v>
      </c>
      <c r="D303" s="254">
        <v>43976</v>
      </c>
      <c r="E303" s="299" t="s">
        <v>418</v>
      </c>
      <c r="F303" s="257">
        <v>43980</v>
      </c>
      <c r="G303" s="257">
        <f>Table1[[#This Row],[Start Date]]</f>
        <v>43980</v>
      </c>
      <c r="H303" s="257" t="s">
        <v>340</v>
      </c>
      <c r="I303" s="632"/>
      <c r="J303" s="249" t="str">
        <f>Table1[[#This Row],[Routine Activities (PM/ PMCAL, CM, Genba, Isotanker, Material Readiness, Sampling)]]</f>
        <v>Solvent loading - MeOH</v>
      </c>
      <c r="P303" s="1"/>
    </row>
    <row r="304" spans="2:16" ht="14.5" hidden="1" x14ac:dyDescent="0.35">
      <c r="B304" s="124"/>
      <c r="C304" s="627" t="s">
        <v>792</v>
      </c>
      <c r="D304" s="254">
        <v>43969</v>
      </c>
      <c r="E304" s="255" t="s">
        <v>433</v>
      </c>
      <c r="F304" s="257">
        <v>43973</v>
      </c>
      <c r="G304" s="248">
        <f>Table1[[#This Row],[Start Date]]</f>
        <v>43973</v>
      </c>
      <c r="H304" s="257" t="s">
        <v>462</v>
      </c>
      <c r="I304" s="632"/>
      <c r="J304" s="249" t="str">
        <f>Table1[[#This Row],[Routine Activities (PM/ PMCAL, CM, Genba, Isotanker, Material Readiness, Sampling)]]</f>
        <v>Waste offloading - Aq</v>
      </c>
      <c r="P304" s="1"/>
    </row>
    <row r="305" spans="2:16" ht="43.5" hidden="1" x14ac:dyDescent="0.35">
      <c r="B305" s="124"/>
      <c r="C305" s="626" t="s">
        <v>1300</v>
      </c>
      <c r="D305" s="254">
        <v>43983</v>
      </c>
      <c r="E305" s="255" t="s">
        <v>1007</v>
      </c>
      <c r="F305" s="257">
        <v>43983</v>
      </c>
      <c r="G305" s="248">
        <v>44012</v>
      </c>
      <c r="H305" s="257" t="s">
        <v>340</v>
      </c>
      <c r="I305" s="632"/>
      <c r="J305" s="249" t="s">
        <v>1301</v>
      </c>
      <c r="P305" s="1"/>
    </row>
    <row r="306" spans="2:16" ht="43.5" hidden="1" x14ac:dyDescent="0.35">
      <c r="B306" s="124"/>
      <c r="C306" s="626" t="s">
        <v>1302</v>
      </c>
      <c r="D306" s="254">
        <v>43983</v>
      </c>
      <c r="E306" s="255" t="s">
        <v>1007</v>
      </c>
      <c r="F306" s="257">
        <v>43983</v>
      </c>
      <c r="G306" s="248">
        <v>44012</v>
      </c>
      <c r="H306" s="257" t="s">
        <v>340</v>
      </c>
      <c r="I306" s="632"/>
      <c r="J306" s="249" t="s">
        <v>1303</v>
      </c>
      <c r="P306" s="1"/>
    </row>
    <row r="307" spans="2:16" ht="14.5" hidden="1" x14ac:dyDescent="0.35">
      <c r="B307" s="124"/>
      <c r="C307" s="627" t="s">
        <v>1304</v>
      </c>
      <c r="D307" s="254">
        <v>43983</v>
      </c>
      <c r="E307" s="255" t="s">
        <v>418</v>
      </c>
      <c r="F307" s="248">
        <v>43985</v>
      </c>
      <c r="G307" s="248">
        <f>Table1[[#This Row],[Start Date]]</f>
        <v>43985</v>
      </c>
      <c r="H307" s="257" t="s">
        <v>340</v>
      </c>
      <c r="I307" s="632"/>
      <c r="J307" s="249" t="str">
        <f>Table1[[#This Row],[Routine Activities (PM/ PMCAL, CM, Genba, Isotanker, Material Readiness, Sampling)]]</f>
        <v>Solvent loading - n-Hep</v>
      </c>
      <c r="P307" s="1"/>
    </row>
    <row r="308" spans="2:16" ht="14.5" hidden="1" x14ac:dyDescent="0.35">
      <c r="B308" s="124"/>
      <c r="C308" s="627" t="s">
        <v>777</v>
      </c>
      <c r="D308" s="254">
        <v>43983</v>
      </c>
      <c r="E308" s="255" t="s">
        <v>433</v>
      </c>
      <c r="F308" s="248"/>
      <c r="G308" s="248">
        <f>Table1[[#This Row],[Start Date]]</f>
        <v>0</v>
      </c>
      <c r="H308" s="257" t="s">
        <v>462</v>
      </c>
      <c r="I308" s="632"/>
      <c r="J308" s="249" t="str">
        <f>Table1[[#This Row],[Routine Activities (PM/ PMCAL, CM, Genba, Isotanker, Material Readiness, Sampling)]]</f>
        <v>Waste offloading - Org</v>
      </c>
      <c r="P308" s="1"/>
    </row>
    <row r="309" spans="2:16" ht="14.5" hidden="1" x14ac:dyDescent="0.35">
      <c r="B309" s="124"/>
      <c r="C309" s="627" t="s">
        <v>1219</v>
      </c>
      <c r="D309" s="254">
        <v>43983</v>
      </c>
      <c r="E309" s="255" t="s">
        <v>418</v>
      </c>
      <c r="F309" s="248">
        <v>43985</v>
      </c>
      <c r="G309" s="248">
        <f>Table1[[#This Row],[Start Date]]</f>
        <v>43985</v>
      </c>
      <c r="H309" s="257" t="s">
        <v>340</v>
      </c>
      <c r="I309" s="632" t="s">
        <v>1305</v>
      </c>
      <c r="J309" s="249" t="str">
        <f>Table1[[#This Row],[Routine Activities (PM/ PMCAL, CM, Genba, Isotanker, Material Readiness, Sampling)]]</f>
        <v>Material Readiness for A1</v>
      </c>
      <c r="P309" s="1"/>
    </row>
    <row r="310" spans="2:16" ht="14.5" hidden="1" x14ac:dyDescent="0.35">
      <c r="B310" s="124"/>
      <c r="C310" s="627" t="s">
        <v>837</v>
      </c>
      <c r="D310" s="254">
        <v>43983</v>
      </c>
      <c r="E310" s="255" t="s">
        <v>339</v>
      </c>
      <c r="F310" s="248"/>
      <c r="G310" s="248"/>
      <c r="H310" s="257" t="s">
        <v>340</v>
      </c>
      <c r="I310" s="632"/>
      <c r="J310" s="249"/>
      <c r="P310" s="1"/>
    </row>
    <row r="311" spans="2:16" ht="14.5" hidden="1" x14ac:dyDescent="0.35">
      <c r="B311" s="124"/>
      <c r="C311" s="627" t="s">
        <v>775</v>
      </c>
      <c r="D311" s="254">
        <v>43969</v>
      </c>
      <c r="E311" s="255" t="s">
        <v>418</v>
      </c>
      <c r="F311" s="248">
        <v>43986</v>
      </c>
      <c r="G311" s="248">
        <f>Table1[[#This Row],[Start Date]]</f>
        <v>43986</v>
      </c>
      <c r="H311" s="257" t="s">
        <v>340</v>
      </c>
      <c r="I311" s="632"/>
      <c r="J311" s="249" t="str">
        <f>Table1[[#This Row],[Routine Activities (PM/ PMCAL, CM, Genba, Isotanker, Material Readiness, Sampling)]]</f>
        <v>N2 loading</v>
      </c>
      <c r="P311" s="1"/>
    </row>
    <row r="312" spans="2:16" ht="41.9" hidden="1" customHeight="1" thickBot="1" x14ac:dyDescent="0.4">
      <c r="B312" s="124"/>
      <c r="C312" s="626" t="s">
        <v>1306</v>
      </c>
      <c r="D312" s="254">
        <v>43990</v>
      </c>
      <c r="E312" s="448" t="s">
        <v>1149</v>
      </c>
      <c r="F312" s="248">
        <v>43991</v>
      </c>
      <c r="G312" s="248">
        <v>43992</v>
      </c>
      <c r="H312" s="257" t="s">
        <v>340</v>
      </c>
      <c r="I312" s="632" t="s">
        <v>1218</v>
      </c>
      <c r="J312" s="249" t="s">
        <v>1307</v>
      </c>
      <c r="P312" s="1"/>
    </row>
    <row r="313" spans="2:16" ht="73" hidden="1" thickBot="1" x14ac:dyDescent="0.4">
      <c r="B313" s="124"/>
      <c r="C313" s="617" t="s">
        <v>1308</v>
      </c>
      <c r="D313" s="254">
        <v>43990</v>
      </c>
      <c r="E313" s="448" t="s">
        <v>1024</v>
      </c>
      <c r="F313" s="248">
        <v>43992</v>
      </c>
      <c r="G313" s="248">
        <v>43992</v>
      </c>
      <c r="H313" s="257" t="s">
        <v>340</v>
      </c>
      <c r="I313" s="632"/>
      <c r="J313" s="245" t="s">
        <v>1309</v>
      </c>
      <c r="P313" s="1"/>
    </row>
    <row r="314" spans="2:16" hidden="1" thickBot="1" x14ac:dyDescent="0.4">
      <c r="B314" s="124"/>
      <c r="C314" s="627" t="s">
        <v>775</v>
      </c>
      <c r="D314" s="254">
        <v>43990</v>
      </c>
      <c r="E314" s="450" t="s">
        <v>418</v>
      </c>
      <c r="F314" s="248">
        <v>43993</v>
      </c>
      <c r="G314" s="248">
        <f>Table1[[#This Row],[Start Date]]</f>
        <v>43993</v>
      </c>
      <c r="H314" s="257" t="s">
        <v>340</v>
      </c>
      <c r="I314" s="632"/>
      <c r="J314" s="249" t="str">
        <f>Table1[[#This Row],[Routine Activities (PM/ PMCAL, CM, Genba, Isotanker, Material Readiness, Sampling)]]</f>
        <v>N2 loading</v>
      </c>
      <c r="P314" s="1"/>
    </row>
    <row r="315" spans="2:16" ht="44" hidden="1" thickBot="1" x14ac:dyDescent="0.4">
      <c r="B315" s="124"/>
      <c r="C315" s="617" t="s">
        <v>1310</v>
      </c>
      <c r="D315" s="254">
        <v>43990</v>
      </c>
      <c r="E315" s="449" t="s">
        <v>1145</v>
      </c>
      <c r="F315" s="248">
        <v>43993</v>
      </c>
      <c r="G315" s="248">
        <v>43994</v>
      </c>
      <c r="H315" s="257" t="s">
        <v>340</v>
      </c>
      <c r="I315" s="632"/>
      <c r="J315" s="245" t="s">
        <v>1311</v>
      </c>
      <c r="P315" s="1"/>
    </row>
    <row r="316" spans="2:16" ht="29" hidden="1" x14ac:dyDescent="0.35">
      <c r="B316" s="124"/>
      <c r="C316" s="626" t="s">
        <v>1312</v>
      </c>
      <c r="D316" s="254">
        <v>43990</v>
      </c>
      <c r="E316" s="451" t="s">
        <v>965</v>
      </c>
      <c r="F316" s="248">
        <v>43994</v>
      </c>
      <c r="G316" s="248">
        <v>43994</v>
      </c>
      <c r="H316" s="257" t="s">
        <v>340</v>
      </c>
      <c r="I316" s="632"/>
      <c r="J316" s="249" t="s">
        <v>1313</v>
      </c>
      <c r="P316" s="1"/>
    </row>
    <row r="317" spans="2:16" ht="29.5" hidden="1" thickBot="1" x14ac:dyDescent="0.4">
      <c r="B317" s="124"/>
      <c r="C317" s="626" t="s">
        <v>1314</v>
      </c>
      <c r="D317" s="254">
        <v>43990</v>
      </c>
      <c r="E317" s="448" t="s">
        <v>965</v>
      </c>
      <c r="F317" s="248">
        <v>43994</v>
      </c>
      <c r="G317" s="248">
        <v>43995</v>
      </c>
      <c r="H317" s="257" t="s">
        <v>340</v>
      </c>
      <c r="I317" s="632"/>
      <c r="J317" s="249" t="s">
        <v>1313</v>
      </c>
      <c r="P317" s="1"/>
    </row>
    <row r="318" spans="2:16" hidden="1" thickBot="1" x14ac:dyDescent="0.4">
      <c r="B318" s="124"/>
      <c r="C318" s="627" t="s">
        <v>777</v>
      </c>
      <c r="D318" s="254">
        <v>43990</v>
      </c>
      <c r="E318" s="452" t="s">
        <v>433</v>
      </c>
      <c r="F318" s="248">
        <v>43994</v>
      </c>
      <c r="G318" s="248">
        <f>Table1[[#This Row],[Start Date]]</f>
        <v>43994</v>
      </c>
      <c r="H318" s="257" t="s">
        <v>340</v>
      </c>
      <c r="I318" s="632"/>
      <c r="J318" s="249" t="str">
        <f>Table1[[#This Row],[Routine Activities (PM/ PMCAL, CM, Genba, Isotanker, Material Readiness, Sampling)]]</f>
        <v>Waste offloading - Org</v>
      </c>
      <c r="P318" s="1"/>
    </row>
    <row r="319" spans="2:16" hidden="1" thickBot="1" x14ac:dyDescent="0.4">
      <c r="B319" s="124"/>
      <c r="C319" s="628" t="s">
        <v>1315</v>
      </c>
      <c r="D319" s="254">
        <v>43990</v>
      </c>
      <c r="E319" s="448" t="s">
        <v>1316</v>
      </c>
      <c r="F319" s="248">
        <v>43995</v>
      </c>
      <c r="G319" s="248">
        <v>43995</v>
      </c>
      <c r="H319" s="257" t="s">
        <v>340</v>
      </c>
      <c r="I319" s="632"/>
      <c r="J319" s="249" t="s">
        <v>1317</v>
      </c>
      <c r="P319" s="1"/>
    </row>
    <row r="320" spans="2:16" ht="44" hidden="1" thickBot="1" x14ac:dyDescent="0.4">
      <c r="B320" s="124"/>
      <c r="C320" s="625" t="s">
        <v>1318</v>
      </c>
      <c r="D320" s="254">
        <v>43990</v>
      </c>
      <c r="E320" s="448" t="s">
        <v>992</v>
      </c>
      <c r="F320" s="248">
        <v>43995</v>
      </c>
      <c r="G320" s="248">
        <v>43996</v>
      </c>
      <c r="H320" s="257" t="s">
        <v>340</v>
      </c>
      <c r="I320" s="632"/>
      <c r="J320" s="249" t="s">
        <v>1319</v>
      </c>
      <c r="P320" s="1"/>
    </row>
    <row r="321" spans="2:16" ht="29.5" hidden="1" thickBot="1" x14ac:dyDescent="0.4">
      <c r="B321" s="124"/>
      <c r="C321" s="627" t="s">
        <v>1320</v>
      </c>
      <c r="D321" s="254">
        <v>43997</v>
      </c>
      <c r="E321" s="452" t="s">
        <v>418</v>
      </c>
      <c r="F321" s="248">
        <v>43997</v>
      </c>
      <c r="G321" s="248">
        <f>Table1[[#This Row],[Start Date]]</f>
        <v>43997</v>
      </c>
      <c r="H321" s="257" t="s">
        <v>340</v>
      </c>
      <c r="I321" s="632" t="s">
        <v>1321</v>
      </c>
      <c r="J321" s="249" t="str">
        <f>Table1[[#This Row],[Routine Activities (PM/ PMCAL, CM, Genba, Isotanker, Material Readiness, Sampling)]]</f>
        <v>Material Readiness - A1 cleaning</v>
      </c>
      <c r="P321" s="1"/>
    </row>
    <row r="322" spans="2:16" ht="116" hidden="1" x14ac:dyDescent="0.35">
      <c r="B322" s="124"/>
      <c r="C322" s="626" t="s">
        <v>1322</v>
      </c>
      <c r="D322" s="254">
        <v>43997</v>
      </c>
      <c r="E322" s="457" t="s">
        <v>979</v>
      </c>
      <c r="F322" s="248">
        <v>43997</v>
      </c>
      <c r="G322" s="248">
        <f>Table1[[#This Row],[Start Date]]</f>
        <v>43997</v>
      </c>
      <c r="H322" s="257" t="s">
        <v>340</v>
      </c>
      <c r="I322" s="632"/>
      <c r="J322" s="249" t="s">
        <v>1323</v>
      </c>
      <c r="P322" s="1"/>
    </row>
    <row r="323" spans="2:16" ht="44" hidden="1" thickBot="1" x14ac:dyDescent="0.4">
      <c r="B323" s="124"/>
      <c r="C323" s="625" t="s">
        <v>1324</v>
      </c>
      <c r="D323" s="254">
        <v>43997</v>
      </c>
      <c r="E323" s="450" t="s">
        <v>1024</v>
      </c>
      <c r="F323" s="248">
        <v>43998</v>
      </c>
      <c r="G323" s="248">
        <f>Table1[[#This Row],[Start Date]]</f>
        <v>43998</v>
      </c>
      <c r="H323" s="257"/>
      <c r="I323" s="632"/>
      <c r="J323" s="249" t="s">
        <v>1325</v>
      </c>
      <c r="P323" s="1"/>
    </row>
    <row r="324" spans="2:16" ht="29.5" hidden="1" thickBot="1" x14ac:dyDescent="0.4">
      <c r="B324" s="124"/>
      <c r="C324" s="626" t="s">
        <v>1326</v>
      </c>
      <c r="D324" s="254">
        <v>43997</v>
      </c>
      <c r="E324" s="448" t="s">
        <v>979</v>
      </c>
      <c r="F324" s="248">
        <v>43998</v>
      </c>
      <c r="G324" s="248">
        <f>Table1[[#This Row],[Start Date]]</f>
        <v>43998</v>
      </c>
      <c r="H324" s="257" t="s">
        <v>340</v>
      </c>
      <c r="I324" s="632"/>
      <c r="J324" s="249" t="s">
        <v>1327</v>
      </c>
      <c r="P324" s="1"/>
    </row>
    <row r="325" spans="2:16" ht="116.5" hidden="1" thickBot="1" x14ac:dyDescent="0.4">
      <c r="B325" s="124"/>
      <c r="C325" s="626" t="s">
        <v>1328</v>
      </c>
      <c r="D325" s="254">
        <v>43997</v>
      </c>
      <c r="E325" s="448" t="s">
        <v>979</v>
      </c>
      <c r="F325" s="248">
        <v>43999</v>
      </c>
      <c r="G325" s="248">
        <f>Table1[[#This Row],[Start Date]]</f>
        <v>43999</v>
      </c>
      <c r="H325" s="257" t="s">
        <v>340</v>
      </c>
      <c r="I325" s="632"/>
      <c r="J325" s="249" t="s">
        <v>1329</v>
      </c>
      <c r="P325" s="1"/>
    </row>
    <row r="326" spans="2:16" ht="29.5" hidden="1" thickBot="1" x14ac:dyDescent="0.4">
      <c r="B326" s="124"/>
      <c r="C326" s="626" t="s">
        <v>1330</v>
      </c>
      <c r="D326" s="254">
        <v>43997</v>
      </c>
      <c r="E326" s="448" t="s">
        <v>1316</v>
      </c>
      <c r="F326" s="248">
        <v>43999</v>
      </c>
      <c r="G326" s="248">
        <f>Table1[[#This Row],[Start Date]]</f>
        <v>43999</v>
      </c>
      <c r="H326" s="257" t="s">
        <v>340</v>
      </c>
      <c r="I326" s="632"/>
      <c r="J326" s="249" t="s">
        <v>1331</v>
      </c>
      <c r="P326" s="1"/>
    </row>
    <row r="327" spans="2:16" ht="44" hidden="1" thickBot="1" x14ac:dyDescent="0.4">
      <c r="B327" s="124"/>
      <c r="C327" s="626" t="s">
        <v>1332</v>
      </c>
      <c r="D327" s="254">
        <v>43997</v>
      </c>
      <c r="E327" s="448" t="s">
        <v>965</v>
      </c>
      <c r="F327" s="248">
        <v>43999</v>
      </c>
      <c r="G327" s="248">
        <f>Table1[[#This Row],[Start Date]]</f>
        <v>43999</v>
      </c>
      <c r="H327" s="257" t="s">
        <v>340</v>
      </c>
      <c r="I327" s="632"/>
      <c r="J327" s="249" t="s">
        <v>1333</v>
      </c>
      <c r="P327" s="1"/>
    </row>
    <row r="328" spans="2:16" ht="29.5" hidden="1" thickBot="1" x14ac:dyDescent="0.4">
      <c r="B328" s="124"/>
      <c r="C328" s="626" t="s">
        <v>1334</v>
      </c>
      <c r="D328" s="254">
        <v>43997</v>
      </c>
      <c r="E328" s="448" t="s">
        <v>965</v>
      </c>
      <c r="F328" s="248">
        <v>43999</v>
      </c>
      <c r="G328" s="248">
        <f>Table1[[#This Row],[Start Date]]</f>
        <v>43999</v>
      </c>
      <c r="H328" s="257" t="s">
        <v>340</v>
      </c>
      <c r="I328" s="632"/>
      <c r="J328" s="249" t="s">
        <v>1335</v>
      </c>
      <c r="P328" s="1"/>
    </row>
    <row r="329" spans="2:16" ht="29.5" hidden="1" thickBot="1" x14ac:dyDescent="0.4">
      <c r="B329" s="124"/>
      <c r="C329" s="626" t="s">
        <v>1336</v>
      </c>
      <c r="D329" s="254">
        <v>43997</v>
      </c>
      <c r="E329" s="448" t="s">
        <v>1012</v>
      </c>
      <c r="F329" s="248">
        <v>44000</v>
      </c>
      <c r="G329" s="248">
        <f>Table1[[#This Row],[Start Date]]</f>
        <v>44000</v>
      </c>
      <c r="H329" s="257" t="s">
        <v>340</v>
      </c>
      <c r="I329" s="632"/>
      <c r="J329" s="249" t="s">
        <v>1337</v>
      </c>
      <c r="P329" s="1"/>
    </row>
    <row r="330" spans="2:16" ht="29.5" hidden="1" thickBot="1" x14ac:dyDescent="0.4">
      <c r="B330" s="124"/>
      <c r="C330" s="626" t="s">
        <v>1338</v>
      </c>
      <c r="D330" s="254">
        <v>43997</v>
      </c>
      <c r="E330" s="448" t="s">
        <v>1316</v>
      </c>
      <c r="F330" s="248">
        <v>44000</v>
      </c>
      <c r="G330" s="248">
        <f>Table1[[#This Row],[Start Date]]</f>
        <v>44000</v>
      </c>
      <c r="H330" s="257" t="s">
        <v>340</v>
      </c>
      <c r="I330" s="632"/>
      <c r="J330" s="249" t="s">
        <v>1331</v>
      </c>
      <c r="P330" s="1"/>
    </row>
    <row r="331" spans="2:16" ht="14.5" hidden="1" x14ac:dyDescent="0.35">
      <c r="B331" s="124"/>
      <c r="C331" s="626" t="s">
        <v>792</v>
      </c>
      <c r="D331" s="254">
        <v>43997</v>
      </c>
      <c r="E331" s="457" t="s">
        <v>433</v>
      </c>
      <c r="F331" s="248"/>
      <c r="G331" s="248">
        <f>Table1[[#This Row],[Start Date]]</f>
        <v>0</v>
      </c>
      <c r="H331" s="257" t="s">
        <v>462</v>
      </c>
      <c r="I331" s="632"/>
      <c r="J331" s="249" t="str">
        <f>Table1[[#This Row],[Routine Activities (PM/ PMCAL, CM, Genba, Isotanker, Material Readiness, Sampling)]]</f>
        <v>Waste offloading - Aq</v>
      </c>
      <c r="P331" s="1"/>
    </row>
    <row r="332" spans="2:16" ht="14.5" hidden="1" x14ac:dyDescent="0.35">
      <c r="B332" s="124"/>
      <c r="C332" s="626" t="s">
        <v>1339</v>
      </c>
      <c r="D332" s="254">
        <v>43997</v>
      </c>
      <c r="E332" s="457" t="s">
        <v>891</v>
      </c>
      <c r="F332" s="248">
        <v>44000</v>
      </c>
      <c r="G332" s="248">
        <f>Table1[[#This Row],[Start Date]]</f>
        <v>44000</v>
      </c>
      <c r="H332" s="257" t="s">
        <v>340</v>
      </c>
      <c r="I332" s="632"/>
      <c r="J332" s="249" t="str">
        <f>Table1[[#This Row],[Routine Activities (PM/ PMCAL, CM, Genba, Isotanker, Material Readiness, Sampling)]]</f>
        <v>QoP - Dispensing</v>
      </c>
      <c r="P332" s="1"/>
    </row>
    <row r="333" spans="2:16" ht="14.5" hidden="1" x14ac:dyDescent="0.35">
      <c r="B333" s="124"/>
      <c r="C333" s="626" t="s">
        <v>775</v>
      </c>
      <c r="D333" s="254">
        <v>43997</v>
      </c>
      <c r="E333" s="457" t="s">
        <v>418</v>
      </c>
      <c r="F333" s="248">
        <v>44000</v>
      </c>
      <c r="G333" s="248">
        <f>Table1[[#This Row],[Start Date]]</f>
        <v>44000</v>
      </c>
      <c r="H333" s="257" t="s">
        <v>340</v>
      </c>
      <c r="I333" s="632"/>
      <c r="J333" s="249" t="str">
        <f>Table1[[#This Row],[Routine Activities (PM/ PMCAL, CM, Genba, Isotanker, Material Readiness, Sampling)]]</f>
        <v>N2 loading</v>
      </c>
      <c r="P333" s="1"/>
    </row>
    <row r="334" spans="2:16" ht="14.5" hidden="1" x14ac:dyDescent="0.35">
      <c r="B334" s="124"/>
      <c r="C334" s="626" t="s">
        <v>777</v>
      </c>
      <c r="D334" s="254">
        <v>43997</v>
      </c>
      <c r="E334" s="457" t="s">
        <v>433</v>
      </c>
      <c r="F334" s="248">
        <v>44001</v>
      </c>
      <c r="G334" s="248">
        <f>Table1[[#This Row],[Start Date]]</f>
        <v>44001</v>
      </c>
      <c r="H334" s="257" t="s">
        <v>340</v>
      </c>
      <c r="I334" s="632"/>
      <c r="J334" s="249" t="str">
        <f>Table1[[#This Row],[Routine Activities (PM/ PMCAL, CM, Genba, Isotanker, Material Readiness, Sampling)]]</f>
        <v>Waste offloading - Org</v>
      </c>
      <c r="P334" s="1"/>
    </row>
    <row r="335" spans="2:16" ht="14.5" hidden="1" x14ac:dyDescent="0.35">
      <c r="B335" s="124"/>
      <c r="C335" s="626" t="s">
        <v>1340</v>
      </c>
      <c r="D335" s="254">
        <v>43997</v>
      </c>
      <c r="E335" s="457" t="s">
        <v>418</v>
      </c>
      <c r="F335" s="248"/>
      <c r="G335" s="248">
        <f>Table1[[#This Row],[Start Date]]</f>
        <v>0</v>
      </c>
      <c r="H335" s="257" t="s">
        <v>462</v>
      </c>
      <c r="I335" s="632"/>
      <c r="J335" s="249" t="str">
        <f>Table1[[#This Row],[Routine Activities (PM/ PMCAL, CM, Genba, Isotanker, Material Readiness, Sampling)]]</f>
        <v>Solvent loading</v>
      </c>
      <c r="P335" s="1"/>
    </row>
    <row r="336" spans="2:16" ht="44" hidden="1" thickBot="1" x14ac:dyDescent="0.4">
      <c r="B336" s="124"/>
      <c r="C336" s="626" t="s">
        <v>1283</v>
      </c>
      <c r="D336" s="254">
        <v>44004</v>
      </c>
      <c r="E336" s="462" t="s">
        <v>979</v>
      </c>
      <c r="F336" s="248">
        <v>44004</v>
      </c>
      <c r="G336" s="248">
        <f>Table1[[#This Row],[Start Date]]</f>
        <v>44004</v>
      </c>
      <c r="H336" s="257" t="s">
        <v>340</v>
      </c>
      <c r="I336" s="632"/>
      <c r="J336" s="249" t="s">
        <v>1341</v>
      </c>
      <c r="P336" s="1"/>
    </row>
    <row r="337" spans="2:16" ht="102" hidden="1" thickBot="1" x14ac:dyDescent="0.4">
      <c r="B337" s="124"/>
      <c r="C337" s="626" t="s">
        <v>1342</v>
      </c>
      <c r="D337" s="254">
        <v>44004</v>
      </c>
      <c r="E337" s="448" t="s">
        <v>979</v>
      </c>
      <c r="F337" s="248">
        <v>44004</v>
      </c>
      <c r="G337" s="248">
        <v>44006</v>
      </c>
      <c r="H337" s="257" t="s">
        <v>340</v>
      </c>
      <c r="I337" s="632"/>
      <c r="J337" s="249" t="s">
        <v>1343</v>
      </c>
      <c r="P337" s="1"/>
    </row>
    <row r="338" spans="2:16" ht="29.5" hidden="1" thickBot="1" x14ac:dyDescent="0.4">
      <c r="B338" s="124"/>
      <c r="C338" s="626" t="s">
        <v>1344</v>
      </c>
      <c r="D338" s="254">
        <v>44004</v>
      </c>
      <c r="E338" s="448" t="s">
        <v>1345</v>
      </c>
      <c r="F338" s="248">
        <v>44005</v>
      </c>
      <c r="G338" s="248">
        <v>44005</v>
      </c>
      <c r="H338" s="257" t="s">
        <v>340</v>
      </c>
      <c r="I338" s="632"/>
      <c r="J338" s="249" t="s">
        <v>1346</v>
      </c>
      <c r="P338" s="1"/>
    </row>
    <row r="339" spans="2:16" ht="29.5" hidden="1" thickBot="1" x14ac:dyDescent="0.4">
      <c r="B339" s="124"/>
      <c r="C339" s="626" t="s">
        <v>1334</v>
      </c>
      <c r="D339" s="254">
        <v>44004</v>
      </c>
      <c r="E339" s="448" t="s">
        <v>965</v>
      </c>
      <c r="F339" s="248">
        <v>44005</v>
      </c>
      <c r="G339" s="248">
        <v>44005</v>
      </c>
      <c r="H339" s="257" t="s">
        <v>340</v>
      </c>
      <c r="I339" s="632"/>
      <c r="J339" s="249" t="s">
        <v>1335</v>
      </c>
      <c r="P339" s="1"/>
    </row>
    <row r="340" spans="2:16" ht="44" hidden="1" thickBot="1" x14ac:dyDescent="0.4">
      <c r="B340" s="124"/>
      <c r="C340" s="626" t="s">
        <v>1347</v>
      </c>
      <c r="D340" s="254">
        <v>44004</v>
      </c>
      <c r="E340" s="448" t="s">
        <v>979</v>
      </c>
      <c r="F340" s="248">
        <v>44005</v>
      </c>
      <c r="G340" s="248">
        <v>44007</v>
      </c>
      <c r="H340" s="257" t="s">
        <v>340</v>
      </c>
      <c r="I340" s="632"/>
      <c r="J340" s="249" t="s">
        <v>1348</v>
      </c>
      <c r="P340" s="1"/>
    </row>
    <row r="341" spans="2:16" hidden="1" thickBot="1" x14ac:dyDescent="0.4">
      <c r="B341" s="124"/>
      <c r="C341" s="626" t="s">
        <v>792</v>
      </c>
      <c r="D341" s="254">
        <v>44004</v>
      </c>
      <c r="E341" s="448" t="s">
        <v>785</v>
      </c>
      <c r="F341" s="248">
        <v>44005</v>
      </c>
      <c r="G341" s="248">
        <f>Table1[[#This Row],[Start Date]]</f>
        <v>44005</v>
      </c>
      <c r="H341" s="257" t="s">
        <v>340</v>
      </c>
      <c r="I341" s="632"/>
      <c r="J341" s="249" t="str">
        <f>Table1[[#This Row],[Routine Activities (PM/ PMCAL, CM, Genba, Isotanker, Material Readiness, Sampling)]]</f>
        <v>Waste offloading - Aq</v>
      </c>
      <c r="P341" s="1"/>
    </row>
    <row r="342" spans="2:16" ht="29.5" hidden="1" thickBot="1" x14ac:dyDescent="0.4">
      <c r="B342" s="124"/>
      <c r="C342" s="626" t="s">
        <v>1349</v>
      </c>
      <c r="D342" s="254">
        <v>44004</v>
      </c>
      <c r="E342" s="448" t="s">
        <v>1203</v>
      </c>
      <c r="F342" s="248">
        <v>44007</v>
      </c>
      <c r="G342" s="248">
        <v>44007</v>
      </c>
      <c r="H342" s="257" t="s">
        <v>340</v>
      </c>
      <c r="I342" s="632"/>
      <c r="J342" s="249" t="s">
        <v>1350</v>
      </c>
      <c r="P342" s="1"/>
    </row>
    <row r="343" spans="2:16" ht="102" hidden="1" thickBot="1" x14ac:dyDescent="0.4">
      <c r="B343" s="124"/>
      <c r="C343" s="626" t="s">
        <v>1351</v>
      </c>
      <c r="D343" s="254">
        <v>44004</v>
      </c>
      <c r="E343" s="448" t="s">
        <v>1316</v>
      </c>
      <c r="F343" s="248">
        <v>44007</v>
      </c>
      <c r="G343" s="248">
        <v>44007</v>
      </c>
      <c r="H343" s="257" t="s">
        <v>340</v>
      </c>
      <c r="I343" s="632"/>
      <c r="J343" s="249" t="s">
        <v>1200</v>
      </c>
      <c r="P343" s="1"/>
    </row>
    <row r="344" spans="2:16" ht="14.5" hidden="1" x14ac:dyDescent="0.35">
      <c r="B344" s="124"/>
      <c r="C344" s="626" t="s">
        <v>775</v>
      </c>
      <c r="D344" s="254">
        <v>44004</v>
      </c>
      <c r="E344" s="457" t="s">
        <v>418</v>
      </c>
      <c r="F344" s="248">
        <v>44007</v>
      </c>
      <c r="G344" s="248">
        <f>Table1[[#This Row],[Start Date]]</f>
        <v>44007</v>
      </c>
      <c r="H344" s="257" t="s">
        <v>340</v>
      </c>
      <c r="I344" s="632"/>
      <c r="J344" s="249" t="str">
        <f>Table1[[#This Row],[Routine Activities (PM/ PMCAL, CM, Genba, Isotanker, Material Readiness, Sampling)]]</f>
        <v>N2 loading</v>
      </c>
      <c r="P344" s="1"/>
    </row>
    <row r="345" spans="2:16" ht="14.5" hidden="1" x14ac:dyDescent="0.35">
      <c r="B345" s="124"/>
      <c r="C345" s="626" t="s">
        <v>1352</v>
      </c>
      <c r="D345" s="254">
        <v>44011</v>
      </c>
      <c r="E345" s="457" t="s">
        <v>433</v>
      </c>
      <c r="F345" s="248">
        <v>44012</v>
      </c>
      <c r="G345" s="248">
        <f>Table1[[#This Row],[Start Date]]</f>
        <v>44012</v>
      </c>
      <c r="H345" s="257" t="s">
        <v>340</v>
      </c>
      <c r="I345" s="632"/>
      <c r="J345" s="249" t="str">
        <f>Table1[[#This Row],[Routine Activities (PM/ PMCAL, CM, Genba, Isotanker, Material Readiness, Sampling)]]</f>
        <v>IH Monitoring - THF charging</v>
      </c>
      <c r="P345" s="1"/>
    </row>
    <row r="346" spans="2:16" ht="29" hidden="1" x14ac:dyDescent="0.35">
      <c r="B346" s="124"/>
      <c r="C346" s="626" t="s">
        <v>1353</v>
      </c>
      <c r="D346" s="254">
        <v>44011</v>
      </c>
      <c r="E346" s="457" t="s">
        <v>1007</v>
      </c>
      <c r="F346" s="248">
        <v>44013</v>
      </c>
      <c r="G346" s="248">
        <v>44043</v>
      </c>
      <c r="H346" s="257" t="s">
        <v>340</v>
      </c>
      <c r="I346" s="632"/>
      <c r="J346" s="249" t="s">
        <v>1354</v>
      </c>
      <c r="P346" s="1"/>
    </row>
    <row r="347" spans="2:16" ht="14.5" hidden="1" x14ac:dyDescent="0.35">
      <c r="B347" s="124"/>
      <c r="C347" s="627" t="s">
        <v>1355</v>
      </c>
      <c r="D347" s="254">
        <v>44011</v>
      </c>
      <c r="E347" s="121" t="s">
        <v>1356</v>
      </c>
      <c r="F347" s="248">
        <v>44013</v>
      </c>
      <c r="G347" s="248">
        <f>Table1[[#This Row],[Start Date]]</f>
        <v>44013</v>
      </c>
      <c r="H347" s="257" t="s">
        <v>340</v>
      </c>
      <c r="I347" s="632"/>
      <c r="J347" s="249" t="str">
        <f>Table1[[#This Row],[Routine Activities (PM/ PMCAL, CM, Genba, Isotanker, Material Readiness, Sampling)]]</f>
        <v>Methanol draining</v>
      </c>
      <c r="P347" s="1"/>
    </row>
    <row r="348" spans="2:16" ht="14.5" hidden="1" x14ac:dyDescent="0.35">
      <c r="B348" s="124"/>
      <c r="C348" s="626" t="s">
        <v>777</v>
      </c>
      <c r="D348" s="254">
        <v>44004</v>
      </c>
      <c r="E348" s="457" t="s">
        <v>785</v>
      </c>
      <c r="F348" s="248"/>
      <c r="G348" s="248">
        <f>Table1[[#This Row],[Start Date]]</f>
        <v>0</v>
      </c>
      <c r="H348" s="257" t="s">
        <v>462</v>
      </c>
      <c r="I348" s="632"/>
      <c r="J348" s="249" t="str">
        <f>Table1[[#This Row],[Routine Activities (PM/ PMCAL, CM, Genba, Isotanker, Material Readiness, Sampling)]]</f>
        <v>Waste offloading - Org</v>
      </c>
      <c r="P348" s="1"/>
    </row>
    <row r="349" spans="2:16" ht="14.5" hidden="1" x14ac:dyDescent="0.35">
      <c r="B349" s="124"/>
      <c r="C349" s="626" t="s">
        <v>1357</v>
      </c>
      <c r="D349" s="254">
        <v>44004</v>
      </c>
      <c r="E349" s="457" t="s">
        <v>891</v>
      </c>
      <c r="F349" s="248">
        <v>44003</v>
      </c>
      <c r="G349" s="248">
        <f>Table1[[#This Row],[Start Date]]</f>
        <v>44003</v>
      </c>
      <c r="H349" s="257" t="s">
        <v>340</v>
      </c>
      <c r="I349" s="632"/>
      <c r="J349" s="249" t="str">
        <f>Table1[[#This Row],[Routine Activities (PM/ PMCAL, CM, Genba, Isotanker, Material Readiness, Sampling)]]</f>
        <v>QoP - Salt Prep</v>
      </c>
      <c r="P349" s="1"/>
    </row>
    <row r="350" spans="2:16" ht="14.5" hidden="1" x14ac:dyDescent="0.35">
      <c r="B350" s="124"/>
      <c r="C350" s="626" t="s">
        <v>1340</v>
      </c>
      <c r="D350" s="254">
        <v>44004</v>
      </c>
      <c r="E350" s="457" t="s">
        <v>418</v>
      </c>
      <c r="F350" s="248"/>
      <c r="G350" s="248">
        <f>Table1[[#This Row],[Start Date]]</f>
        <v>0</v>
      </c>
      <c r="H350" s="257" t="s">
        <v>462</v>
      </c>
      <c r="I350" s="632"/>
      <c r="J350" s="249" t="str">
        <f>Table1[[#This Row],[Routine Activities (PM/ PMCAL, CM, Genba, Isotanker, Material Readiness, Sampling)]]</f>
        <v>Solvent loading</v>
      </c>
      <c r="P350" s="1"/>
    </row>
    <row r="351" spans="2:16" ht="14.5" hidden="1" x14ac:dyDescent="0.35">
      <c r="B351" s="124"/>
      <c r="C351" s="626" t="s">
        <v>837</v>
      </c>
      <c r="D351" s="254">
        <v>44004</v>
      </c>
      <c r="E351" s="457" t="s">
        <v>339</v>
      </c>
      <c r="F351" s="248"/>
      <c r="G351" s="248">
        <f>Table1[[#This Row],[Start Date]]</f>
        <v>0</v>
      </c>
      <c r="H351" s="257" t="s">
        <v>340</v>
      </c>
      <c r="I351" s="632"/>
      <c r="J351" s="249" t="str">
        <f>Table1[[#This Row],[Routine Activities (PM/ PMCAL, CM, Genba, Isotanker, Material Readiness, Sampling)]]</f>
        <v>QC Testing Readiness</v>
      </c>
      <c r="P351" s="1"/>
    </row>
    <row r="352" spans="2:16" ht="29" hidden="1" x14ac:dyDescent="0.35">
      <c r="B352" s="124"/>
      <c r="C352" s="626" t="s">
        <v>1358</v>
      </c>
      <c r="D352" s="254">
        <v>44011</v>
      </c>
      <c r="E352" s="457" t="s">
        <v>418</v>
      </c>
      <c r="F352" s="248">
        <v>44013</v>
      </c>
      <c r="G352" s="248">
        <f>Table1[[#This Row],[Start Date]]</f>
        <v>44013</v>
      </c>
      <c r="H352" s="257" t="s">
        <v>340</v>
      </c>
      <c r="I352" s="632"/>
      <c r="J352" s="249" t="str">
        <f>Table1[[#This Row],[Routine Activities (PM/ PMCAL, CM, Genba, Isotanker, Material Readiness, Sampling)]]</f>
        <v>Material Readiness for A2-5 &amp; A2-6</v>
      </c>
      <c r="P352" s="1"/>
    </row>
    <row r="353" spans="2:16" ht="14.5" hidden="1" x14ac:dyDescent="0.35">
      <c r="B353" s="124"/>
      <c r="C353" s="626" t="s">
        <v>1359</v>
      </c>
      <c r="D353" s="254">
        <v>44011</v>
      </c>
      <c r="E353" s="457" t="s">
        <v>1360</v>
      </c>
      <c r="F353" s="248">
        <v>44013</v>
      </c>
      <c r="G353" s="248">
        <f>Table1[[#This Row],[Start Date]]</f>
        <v>44013</v>
      </c>
      <c r="H353" s="257" t="s">
        <v>340</v>
      </c>
      <c r="I353" s="632"/>
      <c r="J353" s="249" t="s">
        <v>1361</v>
      </c>
      <c r="P353" s="1"/>
    </row>
    <row r="354" spans="2:16" ht="14.5" hidden="1" x14ac:dyDescent="0.35">
      <c r="B354" s="124"/>
      <c r="C354" s="626" t="s">
        <v>775</v>
      </c>
      <c r="D354" s="254">
        <v>44011</v>
      </c>
      <c r="E354" s="457" t="s">
        <v>418</v>
      </c>
      <c r="F354" s="248">
        <v>44014</v>
      </c>
      <c r="G354" s="248">
        <f>Table1[[#This Row],[Start Date]]</f>
        <v>44014</v>
      </c>
      <c r="H354" s="257" t="s">
        <v>340</v>
      </c>
      <c r="I354" s="632"/>
      <c r="J354" s="249" t="str">
        <f>Table1[[#This Row],[Routine Activities (PM/ PMCAL, CM, Genba, Isotanker, Material Readiness, Sampling)]]</f>
        <v>N2 loading</v>
      </c>
      <c r="P354" s="1"/>
    </row>
    <row r="355" spans="2:16" ht="14.5" hidden="1" x14ac:dyDescent="0.35">
      <c r="B355" s="124"/>
      <c r="C355" s="627" t="s">
        <v>1362</v>
      </c>
      <c r="D355" s="254">
        <v>44011</v>
      </c>
      <c r="E355" s="121" t="s">
        <v>418</v>
      </c>
      <c r="F355" s="248">
        <v>44015</v>
      </c>
      <c r="G355" s="248">
        <f>Table1[[#This Row],[Start Date]]</f>
        <v>44015</v>
      </c>
      <c r="H355" s="257" t="s">
        <v>340</v>
      </c>
      <c r="I355" s="632"/>
      <c r="J355" s="249" t="str">
        <f>Table1[[#This Row],[Routine Activities (PM/ PMCAL, CM, Genba, Isotanker, Material Readiness, Sampling)]]</f>
        <v>Methanol top up</v>
      </c>
      <c r="P355" s="1"/>
    </row>
    <row r="356" spans="2:16" ht="29" hidden="1" x14ac:dyDescent="0.35">
      <c r="B356" s="124"/>
      <c r="C356" s="626" t="s">
        <v>1363</v>
      </c>
      <c r="D356" s="254">
        <v>44011</v>
      </c>
      <c r="E356" s="457" t="s">
        <v>992</v>
      </c>
      <c r="F356" s="248">
        <v>44016</v>
      </c>
      <c r="G356" s="248">
        <f>Table1[[#This Row],[Start Date]]</f>
        <v>44016</v>
      </c>
      <c r="H356" s="257" t="s">
        <v>340</v>
      </c>
      <c r="I356" s="632"/>
      <c r="J356" s="249" t="s">
        <v>1364</v>
      </c>
      <c r="P356" s="1"/>
    </row>
    <row r="357" spans="2:16" ht="43.5" hidden="1" x14ac:dyDescent="0.35">
      <c r="B357" s="124"/>
      <c r="C357" s="626" t="s">
        <v>1365</v>
      </c>
      <c r="D357" s="254">
        <v>44011</v>
      </c>
      <c r="E357" s="457" t="s">
        <v>1316</v>
      </c>
      <c r="F357" s="248">
        <v>44016</v>
      </c>
      <c r="G357" s="248">
        <f>Table1[[#This Row],[Start Date]]</f>
        <v>44016</v>
      </c>
      <c r="H357" s="257" t="s">
        <v>340</v>
      </c>
      <c r="I357" s="632"/>
      <c r="J357" s="249" t="s">
        <v>1366</v>
      </c>
      <c r="P357" s="1"/>
    </row>
    <row r="358" spans="2:16" ht="14.5" hidden="1" x14ac:dyDescent="0.35">
      <c r="B358" s="124"/>
      <c r="C358" s="626" t="s">
        <v>792</v>
      </c>
      <c r="D358" s="254">
        <v>44011</v>
      </c>
      <c r="E358" s="457" t="s">
        <v>785</v>
      </c>
      <c r="F358" s="248">
        <v>44016</v>
      </c>
      <c r="G358" s="248">
        <f>Table1[[#This Row],[Start Date]]</f>
        <v>44016</v>
      </c>
      <c r="H358" s="257" t="s">
        <v>340</v>
      </c>
      <c r="I358" s="632"/>
      <c r="J358" s="249" t="str">
        <f>Table1[[#This Row],[Routine Activities (PM/ PMCAL, CM, Genba, Isotanker, Material Readiness, Sampling)]]</f>
        <v>Waste offloading - Aq</v>
      </c>
      <c r="P358" s="1"/>
    </row>
    <row r="359" spans="2:16" ht="29" hidden="1" x14ac:dyDescent="0.35">
      <c r="B359" s="124"/>
      <c r="C359" s="626" t="s">
        <v>1367</v>
      </c>
      <c r="D359" s="254">
        <v>44018</v>
      </c>
      <c r="E359" s="457" t="s">
        <v>992</v>
      </c>
      <c r="F359" s="248">
        <v>44016</v>
      </c>
      <c r="G359" s="248">
        <f>Table1[[#This Row],[Start Date]]</f>
        <v>44016</v>
      </c>
      <c r="H359" s="257" t="s">
        <v>340</v>
      </c>
      <c r="I359" s="632"/>
      <c r="J359" s="249" t="s">
        <v>1368</v>
      </c>
      <c r="P359" s="1"/>
    </row>
    <row r="360" spans="2:16" ht="29" hidden="1" x14ac:dyDescent="0.35">
      <c r="B360" s="124"/>
      <c r="C360" s="626" t="s">
        <v>1369</v>
      </c>
      <c r="D360" s="254">
        <v>44018</v>
      </c>
      <c r="E360" s="457" t="s">
        <v>1316</v>
      </c>
      <c r="F360" s="248">
        <v>44019</v>
      </c>
      <c r="G360" s="248">
        <f>Table1[[#This Row],[Start Date]]</f>
        <v>44019</v>
      </c>
      <c r="H360" s="257" t="s">
        <v>340</v>
      </c>
      <c r="I360" s="632"/>
      <c r="J360" s="249" t="s">
        <v>1370</v>
      </c>
      <c r="P360" s="1"/>
    </row>
    <row r="361" spans="2:16" ht="43.5" hidden="1" x14ac:dyDescent="0.35">
      <c r="B361" s="124"/>
      <c r="C361" s="626" t="s">
        <v>1371</v>
      </c>
      <c r="D361" s="254">
        <v>44018</v>
      </c>
      <c r="E361" s="457" t="s">
        <v>979</v>
      </c>
      <c r="F361" s="248">
        <v>44020</v>
      </c>
      <c r="G361" s="248">
        <f>Table1[[#This Row],[Start Date]]</f>
        <v>44020</v>
      </c>
      <c r="H361" s="257" t="s">
        <v>340</v>
      </c>
      <c r="I361" s="632"/>
      <c r="J361" s="249" t="s">
        <v>1372</v>
      </c>
      <c r="P361" s="1"/>
    </row>
    <row r="362" spans="2:16" ht="29" hidden="1" x14ac:dyDescent="0.35">
      <c r="B362" s="124"/>
      <c r="C362" s="626" t="s">
        <v>1373</v>
      </c>
      <c r="D362" s="254">
        <v>44018</v>
      </c>
      <c r="E362" s="457" t="s">
        <v>979</v>
      </c>
      <c r="F362" s="248">
        <v>44020</v>
      </c>
      <c r="G362" s="248">
        <f>Table1[[#This Row],[Start Date]]</f>
        <v>44020</v>
      </c>
      <c r="H362" s="257" t="s">
        <v>340</v>
      </c>
      <c r="I362" s="632"/>
      <c r="J362" s="249" t="s">
        <v>1374</v>
      </c>
      <c r="P362" s="1"/>
    </row>
    <row r="363" spans="2:16" ht="29" hidden="1" x14ac:dyDescent="0.35">
      <c r="B363" s="124"/>
      <c r="C363" s="625" t="s">
        <v>1375</v>
      </c>
      <c r="D363" s="254">
        <v>44018</v>
      </c>
      <c r="E363" s="121"/>
      <c r="F363" s="248">
        <v>44020</v>
      </c>
      <c r="G363" s="248">
        <f>Table1[[#This Row],[Start Date]]</f>
        <v>44020</v>
      </c>
      <c r="H363" s="257" t="s">
        <v>340</v>
      </c>
      <c r="I363" s="632"/>
      <c r="J363" s="249" t="str">
        <f>Table1[[#This Row],[Routine Activities (PM/ PMCAL, CM, Genba, Isotanker, Material Readiness, Sampling)]]</f>
        <v xml:space="preserve">Acetone draining
</v>
      </c>
      <c r="P363" s="1"/>
    </row>
    <row r="364" spans="2:16" ht="72.5" hidden="1" x14ac:dyDescent="0.35">
      <c r="B364" s="124"/>
      <c r="C364" s="626" t="s">
        <v>1376</v>
      </c>
      <c r="D364" s="254">
        <v>44018</v>
      </c>
      <c r="E364" s="457" t="s">
        <v>965</v>
      </c>
      <c r="F364" s="248">
        <v>44021</v>
      </c>
      <c r="G364" s="248">
        <f>Table1[[#This Row],[Start Date]]</f>
        <v>44021</v>
      </c>
      <c r="H364" s="257" t="s">
        <v>340</v>
      </c>
      <c r="I364" s="632"/>
      <c r="J364" s="249" t="s">
        <v>971</v>
      </c>
      <c r="P364" s="1"/>
    </row>
    <row r="365" spans="2:16" ht="14.5" hidden="1" x14ac:dyDescent="0.35">
      <c r="B365" s="124"/>
      <c r="C365" s="627" t="s">
        <v>775</v>
      </c>
      <c r="D365" s="254">
        <v>44018</v>
      </c>
      <c r="E365" s="121"/>
      <c r="F365" s="248">
        <v>44021</v>
      </c>
      <c r="G365" s="248">
        <f>Table1[[#This Row],[Start Date]]</f>
        <v>44021</v>
      </c>
      <c r="H365" s="257" t="s">
        <v>340</v>
      </c>
      <c r="I365" s="632" t="s">
        <v>1377</v>
      </c>
      <c r="J365" s="249" t="str">
        <f>Table1[[#This Row],[Routine Activities (PM/ PMCAL, CM, Genba, Isotanker, Material Readiness, Sampling)]]</f>
        <v>N2 loading</v>
      </c>
      <c r="P365" s="1"/>
    </row>
    <row r="366" spans="2:16" ht="14.5" hidden="1" x14ac:dyDescent="0.35">
      <c r="B366" s="124"/>
      <c r="C366" s="627" t="s">
        <v>1378</v>
      </c>
      <c r="D366" s="254">
        <v>44018</v>
      </c>
      <c r="E366" s="121" t="s">
        <v>785</v>
      </c>
      <c r="F366" s="248">
        <v>44021</v>
      </c>
      <c r="G366" s="248">
        <f>Table1[[#This Row],[Start Date]]</f>
        <v>44021</v>
      </c>
      <c r="H366" s="257" t="s">
        <v>340</v>
      </c>
      <c r="I366" s="632"/>
      <c r="J366" s="249" t="str">
        <f>Table1[[#This Row],[Routine Activities (PM/ PMCAL, CM, Genba, Isotanker, Material Readiness, Sampling)]]</f>
        <v>Genba - Pallet jack ops</v>
      </c>
      <c r="P366" s="1"/>
    </row>
    <row r="367" spans="2:16" ht="14.5" hidden="1" x14ac:dyDescent="0.35">
      <c r="B367" s="124"/>
      <c r="C367" s="627" t="s">
        <v>1099</v>
      </c>
      <c r="D367" s="254">
        <v>44025</v>
      </c>
      <c r="E367" s="121" t="s">
        <v>433</v>
      </c>
      <c r="F367" s="248">
        <v>44021</v>
      </c>
      <c r="G367" s="248">
        <f>Table1[[#This Row],[Start Date]]</f>
        <v>44021</v>
      </c>
      <c r="H367" s="257" t="s">
        <v>340</v>
      </c>
      <c r="I367" s="632"/>
      <c r="J367" s="249" t="str">
        <f>Table1[[#This Row],[Routine Activities (PM/ PMCAL, CM, Genba, Isotanker, Material Readiness, Sampling)]]</f>
        <v xml:space="preserve">Waste offloading - Org </v>
      </c>
      <c r="P367" s="1"/>
    </row>
    <row r="368" spans="2:16" ht="116" hidden="1" x14ac:dyDescent="0.35">
      <c r="B368" s="124"/>
      <c r="C368" s="626" t="s">
        <v>1379</v>
      </c>
      <c r="D368" s="254">
        <v>44018</v>
      </c>
      <c r="E368" s="457" t="s">
        <v>979</v>
      </c>
      <c r="F368" s="248">
        <v>44023</v>
      </c>
      <c r="G368" s="248">
        <f>Table1[[#This Row],[Start Date]]</f>
        <v>44023</v>
      </c>
      <c r="H368" s="257" t="s">
        <v>340</v>
      </c>
      <c r="I368" s="632"/>
      <c r="J368" s="249" t="s">
        <v>1380</v>
      </c>
      <c r="P368" s="1"/>
    </row>
    <row r="369" spans="2:16" ht="44.9" hidden="1" customHeight="1" x14ac:dyDescent="0.35">
      <c r="B369" s="124"/>
      <c r="C369" s="626" t="s">
        <v>1381</v>
      </c>
      <c r="D369" s="254">
        <v>44018</v>
      </c>
      <c r="E369" s="457" t="s">
        <v>965</v>
      </c>
      <c r="F369" s="248">
        <v>44023</v>
      </c>
      <c r="G369" s="248">
        <v>44024</v>
      </c>
      <c r="H369" s="257" t="s">
        <v>340</v>
      </c>
      <c r="I369" s="632"/>
      <c r="J369" s="249" t="s">
        <v>1382</v>
      </c>
      <c r="P369" s="1"/>
    </row>
    <row r="370" spans="2:16" ht="30.65" hidden="1" customHeight="1" x14ac:dyDescent="0.35">
      <c r="B370" s="124"/>
      <c r="C370" s="627" t="s">
        <v>1383</v>
      </c>
      <c r="D370" s="254">
        <v>44018</v>
      </c>
      <c r="E370" s="121" t="s">
        <v>433</v>
      </c>
      <c r="F370" s="248">
        <v>44023</v>
      </c>
      <c r="G370" s="248">
        <f>Table1[[#This Row],[Start Date]]</f>
        <v>44023</v>
      </c>
      <c r="H370" s="257" t="s">
        <v>340</v>
      </c>
      <c r="I370" s="632"/>
      <c r="J370" s="249" t="str">
        <f>Table1[[#This Row],[Routine Activities (PM/ PMCAL, CM, Genba, Isotanker, Material Readiness, Sampling)]]</f>
        <v xml:space="preserve">Waste offloading - Aq </v>
      </c>
      <c r="P370" s="1"/>
    </row>
    <row r="371" spans="2:16" ht="43.5" hidden="1" x14ac:dyDescent="0.35">
      <c r="B371" s="124"/>
      <c r="C371" s="625" t="s">
        <v>1384</v>
      </c>
      <c r="D371" s="254">
        <v>44018</v>
      </c>
      <c r="E371" s="457" t="s">
        <v>1316</v>
      </c>
      <c r="F371" s="248">
        <v>44024</v>
      </c>
      <c r="G371" s="248">
        <f>Table1[[#This Row],[Start Date]]</f>
        <v>44024</v>
      </c>
      <c r="H371" s="257"/>
      <c r="I371" s="632"/>
      <c r="J371" s="249" t="s">
        <v>1385</v>
      </c>
      <c r="P371" s="1"/>
    </row>
    <row r="372" spans="2:16" ht="14.5" hidden="1" x14ac:dyDescent="0.35">
      <c r="B372" s="124"/>
      <c r="C372" s="626" t="s">
        <v>1386</v>
      </c>
      <c r="D372" s="254">
        <v>44011</v>
      </c>
      <c r="E372" s="457" t="s">
        <v>891</v>
      </c>
      <c r="F372" s="248"/>
      <c r="G372" s="248">
        <f>Table1[[#This Row],[Start Date]]</f>
        <v>0</v>
      </c>
      <c r="H372" s="257" t="s">
        <v>340</v>
      </c>
      <c r="I372" s="632"/>
      <c r="J372" s="249" t="str">
        <f>Table1[[#This Row],[Routine Activities (PM/ PMCAL, CM, Genba, Isotanker, Material Readiness, Sampling)]]</f>
        <v>QoP - DIPEA disp.</v>
      </c>
      <c r="P372" s="1"/>
    </row>
    <row r="373" spans="2:16" ht="14.5" hidden="1" x14ac:dyDescent="0.35">
      <c r="B373" s="124"/>
      <c r="C373" s="626" t="s">
        <v>777</v>
      </c>
      <c r="D373" s="254">
        <v>44011</v>
      </c>
      <c r="E373" s="457" t="s">
        <v>785</v>
      </c>
      <c r="F373" s="248"/>
      <c r="G373" s="248">
        <f>Table1[[#This Row],[Start Date]]</f>
        <v>0</v>
      </c>
      <c r="H373" s="257" t="s">
        <v>462</v>
      </c>
      <c r="I373" s="632"/>
      <c r="J373" s="249" t="str">
        <f>Table1[[#This Row],[Routine Activities (PM/ PMCAL, CM, Genba, Isotanker, Material Readiness, Sampling)]]</f>
        <v>Waste offloading - Org</v>
      </c>
      <c r="P373" s="1"/>
    </row>
    <row r="374" spans="2:16" ht="14.5" hidden="1" x14ac:dyDescent="0.35">
      <c r="B374" s="124"/>
      <c r="C374" s="626" t="s">
        <v>1387</v>
      </c>
      <c r="D374" s="254">
        <v>44011</v>
      </c>
      <c r="E374" s="451" t="s">
        <v>785</v>
      </c>
      <c r="F374" s="248"/>
      <c r="G374" s="248">
        <f>Table1[[#This Row],[Start Date]]</f>
        <v>0</v>
      </c>
      <c r="H374" s="257" t="s">
        <v>340</v>
      </c>
      <c r="I374" s="632"/>
      <c r="J374" s="249" t="str">
        <f>Table1[[#This Row],[Routine Activities (PM/ PMCAL, CM, Genba, Isotanker, Material Readiness, Sampling)]]</f>
        <v>Genba - DIPEA disp.</v>
      </c>
      <c r="P374" s="1"/>
    </row>
    <row r="375" spans="2:16" ht="14.5" hidden="1" x14ac:dyDescent="0.35">
      <c r="B375" s="124"/>
      <c r="C375" s="627" t="s">
        <v>792</v>
      </c>
      <c r="D375" s="254">
        <v>43990</v>
      </c>
      <c r="E375" s="255" t="s">
        <v>433</v>
      </c>
      <c r="F375" s="248"/>
      <c r="G375" s="248">
        <f>Table1[[#This Row],[Start Date]]</f>
        <v>0</v>
      </c>
      <c r="H375" s="257" t="s">
        <v>462</v>
      </c>
      <c r="I375" s="632"/>
      <c r="J375" s="249" t="str">
        <f>Table1[[#This Row],[Routine Activities (PM/ PMCAL, CM, Genba, Isotanker, Material Readiness, Sampling)]]</f>
        <v>Waste offloading - Aq</v>
      </c>
      <c r="P375" s="1"/>
    </row>
    <row r="376" spans="2:16" ht="14.5" hidden="1" x14ac:dyDescent="0.35">
      <c r="B376" s="124"/>
      <c r="C376" s="627" t="s">
        <v>945</v>
      </c>
      <c r="D376" s="254">
        <v>43990</v>
      </c>
      <c r="E376" s="255" t="s">
        <v>891</v>
      </c>
      <c r="F376" s="248"/>
      <c r="G376" s="248">
        <f>Table1[[#This Row],[Start Date]]</f>
        <v>0</v>
      </c>
      <c r="H376" s="257" t="s">
        <v>340</v>
      </c>
      <c r="I376" s="632"/>
      <c r="J376" s="249" t="str">
        <f>Table1[[#This Row],[Routine Activities (PM/ PMCAL, CM, Genba, Isotanker, Material Readiness, Sampling)]]</f>
        <v>QoP</v>
      </c>
      <c r="P376" s="1"/>
    </row>
    <row r="377" spans="2:16" ht="14.5" hidden="1" x14ac:dyDescent="0.35">
      <c r="B377" s="124"/>
      <c r="C377" s="627" t="s">
        <v>1388</v>
      </c>
      <c r="D377" s="254">
        <v>43990</v>
      </c>
      <c r="E377" s="255" t="s">
        <v>418</v>
      </c>
      <c r="F377" s="248"/>
      <c r="G377" s="248">
        <f>Table1[[#This Row],[Start Date]]</f>
        <v>0</v>
      </c>
      <c r="H377" s="257" t="s">
        <v>462</v>
      </c>
      <c r="I377" s="632"/>
      <c r="J377" s="249" t="str">
        <f>Table1[[#This Row],[Routine Activities (PM/ PMCAL, CM, Genba, Isotanker, Material Readiness, Sampling)]]</f>
        <v xml:space="preserve">Solvent loading - </v>
      </c>
      <c r="P377" s="1"/>
    </row>
    <row r="378" spans="2:16" ht="29" hidden="1" x14ac:dyDescent="0.35">
      <c r="B378" s="124"/>
      <c r="C378" s="626" t="s">
        <v>1389</v>
      </c>
      <c r="D378" s="254">
        <v>44018</v>
      </c>
      <c r="E378" s="451" t="s">
        <v>1149</v>
      </c>
      <c r="F378" s="248">
        <v>44024</v>
      </c>
      <c r="G378" s="248">
        <f>Table1[[#This Row],[Start Date]]</f>
        <v>44024</v>
      </c>
      <c r="H378" s="257" t="s">
        <v>340</v>
      </c>
      <c r="I378" s="632"/>
      <c r="J378" s="249" t="s">
        <v>1390</v>
      </c>
      <c r="P378" s="1"/>
    </row>
    <row r="379" spans="2:16" ht="72.5" hidden="1" x14ac:dyDescent="0.35">
      <c r="B379" s="124"/>
      <c r="C379" s="625" t="s">
        <v>1391</v>
      </c>
      <c r="D379" s="254">
        <v>44018</v>
      </c>
      <c r="E379" s="451" t="s">
        <v>1145</v>
      </c>
      <c r="F379" s="248">
        <v>44024</v>
      </c>
      <c r="G379" s="248">
        <f>Table1[[#This Row],[Start Date]]</f>
        <v>44024</v>
      </c>
      <c r="H379" s="257"/>
      <c r="I379" s="632"/>
      <c r="J379" s="249" t="s">
        <v>1392</v>
      </c>
      <c r="P379" s="1"/>
    </row>
    <row r="380" spans="2:16" ht="29" hidden="1" x14ac:dyDescent="0.35">
      <c r="B380" s="124"/>
      <c r="C380" s="625" t="s">
        <v>1393</v>
      </c>
      <c r="D380" s="254">
        <v>44018</v>
      </c>
      <c r="E380" s="451" t="s">
        <v>1024</v>
      </c>
      <c r="F380" s="248">
        <v>44024</v>
      </c>
      <c r="G380" s="248">
        <f>Table1[[#This Row],[Start Date]]</f>
        <v>44024</v>
      </c>
      <c r="H380" s="257"/>
      <c r="I380" s="632"/>
      <c r="J380" s="249" t="s">
        <v>1394</v>
      </c>
      <c r="P380" s="1"/>
    </row>
    <row r="381" spans="2:16" ht="130.5" hidden="1" x14ac:dyDescent="0.35">
      <c r="B381" s="124"/>
      <c r="C381" s="626" t="s">
        <v>1395</v>
      </c>
      <c r="D381" s="254">
        <v>44018</v>
      </c>
      <c r="E381" s="451" t="s">
        <v>1233</v>
      </c>
      <c r="F381" s="248">
        <v>44024</v>
      </c>
      <c r="G381" s="248">
        <v>44025</v>
      </c>
      <c r="H381" s="257" t="s">
        <v>340</v>
      </c>
      <c r="I381" s="632"/>
      <c r="J381" s="249" t="s">
        <v>1396</v>
      </c>
      <c r="P381" s="1"/>
    </row>
    <row r="382" spans="2:16" ht="217.5" hidden="1" x14ac:dyDescent="0.35">
      <c r="B382" s="124"/>
      <c r="C382" s="625" t="s">
        <v>1397</v>
      </c>
      <c r="D382" s="254">
        <v>44018</v>
      </c>
      <c r="E382" s="451" t="s">
        <v>1398</v>
      </c>
      <c r="F382" s="248">
        <v>44024</v>
      </c>
      <c r="G382" s="248">
        <v>44025</v>
      </c>
      <c r="H382" s="257"/>
      <c r="I382" s="632"/>
      <c r="J382" s="249" t="s">
        <v>1399</v>
      </c>
      <c r="P382" s="1"/>
    </row>
    <row r="383" spans="2:16" ht="29" hidden="1" x14ac:dyDescent="0.35">
      <c r="B383" s="124"/>
      <c r="C383" s="625" t="s">
        <v>1400</v>
      </c>
      <c r="D383" s="254">
        <v>44018</v>
      </c>
      <c r="E383" s="255" t="s">
        <v>418</v>
      </c>
      <c r="F383" s="248">
        <v>44025</v>
      </c>
      <c r="G383" s="248">
        <f>Table1[[#This Row],[Start Date]]</f>
        <v>44025</v>
      </c>
      <c r="H383" s="257" t="s">
        <v>340</v>
      </c>
      <c r="I383" s="632"/>
      <c r="J383" s="249" t="str">
        <f>Table1[[#This Row],[Routine Activities (PM/ PMCAL, CM, Genba, Isotanker, Material Readiness, Sampling)]]</f>
        <v xml:space="preserve">Acetone top up
</v>
      </c>
      <c r="P383" s="1"/>
    </row>
    <row r="384" spans="2:16" ht="58" hidden="1" x14ac:dyDescent="0.35">
      <c r="B384" s="124"/>
      <c r="C384" s="625" t="s">
        <v>1401</v>
      </c>
      <c r="D384" s="254">
        <v>44025</v>
      </c>
      <c r="E384" s="255" t="s">
        <v>1402</v>
      </c>
      <c r="F384" s="248">
        <v>44025</v>
      </c>
      <c r="G384" s="248">
        <f>Table1[[#This Row],[Start Date]]</f>
        <v>44025</v>
      </c>
      <c r="H384" s="257" t="s">
        <v>340</v>
      </c>
      <c r="I384" s="632"/>
      <c r="J384" s="249" t="s">
        <v>1403</v>
      </c>
      <c r="P384" s="1"/>
    </row>
    <row r="385" spans="2:16" ht="43.5" hidden="1" x14ac:dyDescent="0.35">
      <c r="B385" s="124"/>
      <c r="C385" s="625" t="s">
        <v>1404</v>
      </c>
      <c r="D385" s="254">
        <v>44025</v>
      </c>
      <c r="E385" s="255" t="s">
        <v>992</v>
      </c>
      <c r="F385" s="248">
        <v>44025</v>
      </c>
      <c r="G385" s="248">
        <v>44027</v>
      </c>
      <c r="H385" s="257" t="s">
        <v>340</v>
      </c>
      <c r="I385" s="632"/>
      <c r="J385" s="249" t="s">
        <v>1405</v>
      </c>
      <c r="P385" s="1"/>
    </row>
    <row r="386" spans="2:16" ht="43.5" hidden="1" x14ac:dyDescent="0.35">
      <c r="B386" s="124"/>
      <c r="C386" s="626" t="s">
        <v>1406</v>
      </c>
      <c r="D386" s="254">
        <v>44025</v>
      </c>
      <c r="E386" s="255" t="s">
        <v>979</v>
      </c>
      <c r="F386" s="248">
        <v>44026</v>
      </c>
      <c r="G386" s="248">
        <v>44027</v>
      </c>
      <c r="H386" s="257" t="s">
        <v>340</v>
      </c>
      <c r="I386" s="632"/>
      <c r="J386" s="249" t="s">
        <v>1407</v>
      </c>
      <c r="P386" s="1"/>
    </row>
    <row r="387" spans="2:16" ht="14.5" hidden="1" x14ac:dyDescent="0.35">
      <c r="B387" s="124"/>
      <c r="C387" s="628" t="s">
        <v>1408</v>
      </c>
      <c r="D387" s="254">
        <v>44025</v>
      </c>
      <c r="E387" s="255" t="s">
        <v>891</v>
      </c>
      <c r="F387" s="248">
        <v>44027</v>
      </c>
      <c r="G387" s="248">
        <f>Table1[[#This Row],[Start Date]]</f>
        <v>44027</v>
      </c>
      <c r="H387" s="257" t="s">
        <v>340</v>
      </c>
      <c r="I387" s="632"/>
      <c r="J387" s="249" t="str">
        <f>Table1[[#This Row],[Routine Activities (PM/ PMCAL, CM, Genba, Isotanker, Material Readiness, Sampling)]]</f>
        <v>QoP - Phase cut</v>
      </c>
      <c r="P387" s="1"/>
    </row>
    <row r="388" spans="2:16" ht="14.5" hidden="1" x14ac:dyDescent="0.35">
      <c r="B388" s="124"/>
      <c r="C388" s="628" t="s">
        <v>775</v>
      </c>
      <c r="D388" s="254">
        <v>44025</v>
      </c>
      <c r="E388" s="255" t="s">
        <v>418</v>
      </c>
      <c r="F388" s="248">
        <v>44028</v>
      </c>
      <c r="G388" s="248">
        <f>Table1[[#This Row],[Start Date]]</f>
        <v>44028</v>
      </c>
      <c r="H388" s="257" t="s">
        <v>340</v>
      </c>
      <c r="I388" s="632"/>
      <c r="J388" s="249" t="str">
        <f>Table1[[#This Row],[Routine Activities (PM/ PMCAL, CM, Genba, Isotanker, Material Readiness, Sampling)]]</f>
        <v>N2 loading</v>
      </c>
      <c r="P388" s="1"/>
    </row>
    <row r="389" spans="2:16" ht="14.5" hidden="1" x14ac:dyDescent="0.35">
      <c r="B389" s="124"/>
      <c r="C389" s="627" t="s">
        <v>1099</v>
      </c>
      <c r="D389" s="254">
        <v>44018</v>
      </c>
      <c r="E389" s="255"/>
      <c r="F389" s="248"/>
      <c r="G389" s="248"/>
      <c r="H389" s="257" t="s">
        <v>462</v>
      </c>
      <c r="I389" s="632"/>
      <c r="J389" s="249" t="str">
        <f>Table1[[#This Row],[Routine Activities (PM/ PMCAL, CM, Genba, Isotanker, Material Readiness, Sampling)]]</f>
        <v xml:space="preserve">Waste offloading - Org </v>
      </c>
      <c r="P389" s="1"/>
    </row>
    <row r="390" spans="2:16" ht="29" hidden="1" x14ac:dyDescent="0.35">
      <c r="B390" s="124"/>
      <c r="C390" s="627" t="s">
        <v>1409</v>
      </c>
      <c r="D390" s="254">
        <v>44018</v>
      </c>
      <c r="E390" s="255"/>
      <c r="F390" s="248"/>
      <c r="G390" s="248">
        <f>Table1[[#This Row],[Start Date]]</f>
        <v>0</v>
      </c>
      <c r="H390" s="257" t="s">
        <v>462</v>
      </c>
      <c r="I390" s="632"/>
      <c r="J390" s="249" t="str">
        <f>Table1[[#This Row],[Routine Activities (PM/ PMCAL, CM, Genba, Isotanker, Material Readiness, Sampling)]]</f>
        <v>Waste offloading - Aq (not req)</v>
      </c>
      <c r="P390" s="1"/>
    </row>
    <row r="391" spans="2:16" ht="14.5" hidden="1" x14ac:dyDescent="0.35">
      <c r="B391" s="124"/>
      <c r="C391" s="627" t="s">
        <v>1410</v>
      </c>
      <c r="D391" s="254">
        <v>44018</v>
      </c>
      <c r="E391" s="255"/>
      <c r="F391" s="248"/>
      <c r="G391" s="248">
        <f>Table1[[#This Row],[Start Date]]</f>
        <v>0</v>
      </c>
      <c r="H391" s="257" t="s">
        <v>462</v>
      </c>
      <c r="I391" s="632"/>
      <c r="J391" s="249" t="str">
        <f>Table1[[#This Row],[Routine Activities (PM/ PMCAL, CM, Genba, Isotanker, Material Readiness, Sampling)]]</f>
        <v>Genba - TBD</v>
      </c>
      <c r="P391" s="1"/>
    </row>
    <row r="392" spans="2:16" ht="14.5" hidden="1" x14ac:dyDescent="0.35">
      <c r="B392" s="124"/>
      <c r="C392" s="627" t="s">
        <v>1411</v>
      </c>
      <c r="D392" s="254">
        <v>44018</v>
      </c>
      <c r="E392" s="255"/>
      <c r="F392" s="248"/>
      <c r="G392" s="248">
        <f>Table1[[#This Row],[Start Date]]</f>
        <v>0</v>
      </c>
      <c r="H392" s="257" t="s">
        <v>462</v>
      </c>
      <c r="I392" s="632"/>
      <c r="J392" s="249" t="str">
        <f>Table1[[#This Row],[Routine Activities (PM/ PMCAL, CM, Genba, Isotanker, Material Readiness, Sampling)]]</f>
        <v>QoP - transfer of batch to FD</v>
      </c>
      <c r="P392" s="1"/>
    </row>
    <row r="393" spans="2:16" ht="61.5" hidden="1" customHeight="1" x14ac:dyDescent="0.35">
      <c r="B393" s="124"/>
      <c r="C393" s="628" t="s">
        <v>1412</v>
      </c>
      <c r="D393" s="254">
        <v>44025</v>
      </c>
      <c r="E393" s="255" t="s">
        <v>785</v>
      </c>
      <c r="F393" s="248">
        <v>44028</v>
      </c>
      <c r="G393" s="248">
        <f>Table1[[#This Row],[Start Date]]</f>
        <v>44028</v>
      </c>
      <c r="H393" s="257" t="s">
        <v>340</v>
      </c>
      <c r="I393" s="632"/>
      <c r="J393" s="249" t="str">
        <f>Table1[[#This Row],[Routine Activities (PM/ PMCAL, CM, Genba, Isotanker, Material Readiness, Sampling)]]</f>
        <v>Genba - Vac pump walkdown</v>
      </c>
      <c r="P393" s="1"/>
    </row>
    <row r="394" spans="2:16" ht="72.5" hidden="1" x14ac:dyDescent="0.35">
      <c r="B394" s="124"/>
      <c r="C394" s="626" t="s">
        <v>1413</v>
      </c>
      <c r="D394" s="254">
        <v>44025</v>
      </c>
      <c r="E394" s="255" t="s">
        <v>1149</v>
      </c>
      <c r="F394" s="248">
        <v>44029</v>
      </c>
      <c r="G394" s="248">
        <f>Table1[[#This Row],[Start Date]]</f>
        <v>44029</v>
      </c>
      <c r="H394" s="257" t="s">
        <v>340</v>
      </c>
      <c r="I394" s="632"/>
      <c r="J394" s="249" t="s">
        <v>1414</v>
      </c>
      <c r="P394" s="1"/>
    </row>
    <row r="395" spans="2:16" ht="43.5" hidden="1" x14ac:dyDescent="0.35">
      <c r="B395" s="124"/>
      <c r="C395" s="626" t="s">
        <v>1415</v>
      </c>
      <c r="D395" s="254">
        <v>44025</v>
      </c>
      <c r="E395" s="255" t="s">
        <v>1233</v>
      </c>
      <c r="F395" s="248">
        <v>44029</v>
      </c>
      <c r="G395" s="248">
        <f>Table1[[#This Row],[Start Date]]</f>
        <v>44029</v>
      </c>
      <c r="H395" s="257" t="s">
        <v>340</v>
      </c>
      <c r="I395" s="632"/>
      <c r="J395" s="249" t="s">
        <v>1234</v>
      </c>
      <c r="P395" s="1"/>
    </row>
    <row r="396" spans="2:16" ht="29" hidden="1" x14ac:dyDescent="0.35">
      <c r="B396" s="124"/>
      <c r="C396" s="626" t="s">
        <v>1416</v>
      </c>
      <c r="D396" s="254">
        <v>44025</v>
      </c>
      <c r="E396" s="255" t="s">
        <v>992</v>
      </c>
      <c r="F396" s="248">
        <v>44031</v>
      </c>
      <c r="G396" s="248">
        <f>Table1[[#This Row],[Start Date]]</f>
        <v>44031</v>
      </c>
      <c r="H396" s="257" t="s">
        <v>340</v>
      </c>
      <c r="I396" s="632"/>
      <c r="J396" s="249" t="s">
        <v>1417</v>
      </c>
      <c r="P396" s="1"/>
    </row>
    <row r="397" spans="2:16" ht="72.5" hidden="1" x14ac:dyDescent="0.35">
      <c r="B397" s="124"/>
      <c r="C397" s="626" t="s">
        <v>1418</v>
      </c>
      <c r="D397" s="254">
        <v>44025</v>
      </c>
      <c r="E397" s="255" t="s">
        <v>1402</v>
      </c>
      <c r="F397" s="248">
        <v>44031</v>
      </c>
      <c r="G397" s="248">
        <f>Table1[[#This Row],[Start Date]]</f>
        <v>44031</v>
      </c>
      <c r="H397" s="257" t="s">
        <v>340</v>
      </c>
      <c r="I397" s="632"/>
      <c r="J397" s="249" t="s">
        <v>1419</v>
      </c>
      <c r="P397" s="1"/>
    </row>
    <row r="398" spans="2:16" ht="43.5" hidden="1" x14ac:dyDescent="0.35">
      <c r="B398" s="124"/>
      <c r="C398" s="626" t="s">
        <v>1420</v>
      </c>
      <c r="D398" s="254">
        <v>44025</v>
      </c>
      <c r="E398" s="255" t="s">
        <v>979</v>
      </c>
      <c r="F398" s="248">
        <v>44031</v>
      </c>
      <c r="G398" s="248">
        <f>Table1[[#This Row],[Start Date]]</f>
        <v>44031</v>
      </c>
      <c r="H398" s="257" t="s">
        <v>340</v>
      </c>
      <c r="I398" s="632"/>
      <c r="J398" s="249" t="s">
        <v>1421</v>
      </c>
      <c r="P398" s="1"/>
    </row>
    <row r="399" spans="2:16" ht="14.5" hidden="1" x14ac:dyDescent="0.35">
      <c r="B399" s="124"/>
      <c r="C399" s="617" t="s">
        <v>1422</v>
      </c>
      <c r="D399" s="254">
        <v>44032</v>
      </c>
      <c r="E399" s="255" t="s">
        <v>785</v>
      </c>
      <c r="F399" s="248">
        <v>44033</v>
      </c>
      <c r="G399" s="248">
        <f>Table1[[#This Row],[Start Date]]</f>
        <v>44033</v>
      </c>
      <c r="H399" s="257" t="s">
        <v>340</v>
      </c>
      <c r="I399" s="632"/>
      <c r="J399" s="246" t="str">
        <f>Table1[[#This Row],[Routine Activities (PM/ PMCAL, CM, Genba, Isotanker, Material Readiness, Sampling)]]</f>
        <v>Genba - Tank farm</v>
      </c>
      <c r="P399" s="1"/>
    </row>
    <row r="400" spans="2:16" ht="43.5" hidden="1" x14ac:dyDescent="0.35">
      <c r="B400" s="124"/>
      <c r="C400" s="617" t="s">
        <v>1423</v>
      </c>
      <c r="D400" s="254">
        <v>44032</v>
      </c>
      <c r="E400" s="255" t="s">
        <v>992</v>
      </c>
      <c r="F400" s="248">
        <v>44035</v>
      </c>
      <c r="G400" s="248">
        <f>Table1[[#This Row],[Start Date]]</f>
        <v>44035</v>
      </c>
      <c r="H400" s="257" t="s">
        <v>340</v>
      </c>
      <c r="I400" s="632"/>
      <c r="J400" s="249" t="s">
        <v>1424</v>
      </c>
      <c r="P400" s="1"/>
    </row>
    <row r="401" spans="2:16" ht="14.5" hidden="1" x14ac:dyDescent="0.35">
      <c r="B401" s="124"/>
      <c r="C401" s="617" t="s">
        <v>1425</v>
      </c>
      <c r="D401" s="254">
        <v>44032</v>
      </c>
      <c r="E401" s="255" t="s">
        <v>891</v>
      </c>
      <c r="F401" s="248">
        <v>44035</v>
      </c>
      <c r="G401" s="248">
        <f>Table1[[#This Row],[Start Date]]</f>
        <v>44035</v>
      </c>
      <c r="H401" s="257" t="s">
        <v>340</v>
      </c>
      <c r="I401" s="632"/>
      <c r="J401" s="246" t="str">
        <f>Table1[[#This Row],[Routine Activities (PM/ PMCAL, CM, Genba, Isotanker, Material Readiness, Sampling)]]</f>
        <v>QoP - Filtration</v>
      </c>
      <c r="P401" s="1"/>
    </row>
    <row r="402" spans="2:16" ht="14.5" hidden="1" x14ac:dyDescent="0.35">
      <c r="B402" s="124"/>
      <c r="C402" s="617" t="s">
        <v>775</v>
      </c>
      <c r="D402" s="254">
        <v>44032</v>
      </c>
      <c r="E402" s="255" t="s">
        <v>418</v>
      </c>
      <c r="F402" s="248">
        <v>44035</v>
      </c>
      <c r="G402" s="248">
        <f>Table1[[#This Row],[Start Date]]</f>
        <v>44035</v>
      </c>
      <c r="H402" s="257" t="s">
        <v>340</v>
      </c>
      <c r="I402" s="632"/>
      <c r="J402" s="246" t="str">
        <f>Table1[[#This Row],[Routine Activities (PM/ PMCAL, CM, Genba, Isotanker, Material Readiness, Sampling)]]</f>
        <v>N2 loading</v>
      </c>
      <c r="P402" s="1"/>
    </row>
    <row r="403" spans="2:16" ht="29" hidden="1" x14ac:dyDescent="0.35">
      <c r="B403" s="124"/>
      <c r="C403" s="617" t="s">
        <v>1426</v>
      </c>
      <c r="D403" s="254">
        <v>44032</v>
      </c>
      <c r="E403" s="255" t="s">
        <v>992</v>
      </c>
      <c r="F403" s="248">
        <v>44037</v>
      </c>
      <c r="G403" s="248">
        <f>Table1[[#This Row],[Start Date]]</f>
        <v>44037</v>
      </c>
      <c r="H403" s="257" t="s">
        <v>340</v>
      </c>
      <c r="I403" s="632"/>
      <c r="J403" s="249" t="s">
        <v>1427</v>
      </c>
      <c r="P403" s="1"/>
    </row>
    <row r="404" spans="2:16" ht="43.5" hidden="1" x14ac:dyDescent="0.35">
      <c r="B404" s="124"/>
      <c r="C404" s="617" t="s">
        <v>1428</v>
      </c>
      <c r="D404" s="254">
        <v>44039</v>
      </c>
      <c r="E404" s="255" t="s">
        <v>965</v>
      </c>
      <c r="F404" s="248">
        <v>44039</v>
      </c>
      <c r="G404" s="248">
        <f>Table1[[#This Row],[Start Date]]</f>
        <v>44039</v>
      </c>
      <c r="H404" s="257" t="s">
        <v>340</v>
      </c>
      <c r="I404" s="632"/>
      <c r="J404" s="249" t="s">
        <v>1429</v>
      </c>
      <c r="P404" s="1"/>
    </row>
    <row r="405" spans="2:16" ht="14.5" hidden="1" x14ac:dyDescent="0.35">
      <c r="B405" s="124"/>
      <c r="C405" s="627" t="s">
        <v>1430</v>
      </c>
      <c r="D405" s="254">
        <v>44039</v>
      </c>
      <c r="E405" s="255" t="s">
        <v>785</v>
      </c>
      <c r="F405" s="248">
        <v>44039</v>
      </c>
      <c r="G405" s="248">
        <f>Table1[[#This Row],[Start Date]]</f>
        <v>44039</v>
      </c>
      <c r="H405" s="257" t="s">
        <v>340</v>
      </c>
      <c r="I405" s="632"/>
      <c r="J405" s="246" t="str">
        <f>Table1[[#This Row],[Routine Activities (PM/ PMCAL, CM, Genba, Isotanker, Material Readiness, Sampling)]]</f>
        <v>Genba - Scrubber</v>
      </c>
      <c r="P405" s="1"/>
    </row>
    <row r="406" spans="2:16" ht="14.5" hidden="1" x14ac:dyDescent="0.35">
      <c r="B406" s="124"/>
      <c r="C406" s="627" t="s">
        <v>1431</v>
      </c>
      <c r="D406" s="254">
        <v>44039</v>
      </c>
      <c r="E406" s="255" t="s">
        <v>1356</v>
      </c>
      <c r="F406" s="248">
        <v>44039</v>
      </c>
      <c r="G406" s="248">
        <f>Table1[[#This Row],[Start Date]]</f>
        <v>44039</v>
      </c>
      <c r="H406" s="257" t="s">
        <v>340</v>
      </c>
      <c r="I406" s="632"/>
      <c r="J406" s="249" t="str">
        <f>Table1[[#This Row],[Routine Activities (PM/ PMCAL, CM, Genba, Isotanker, Material Readiness, Sampling)]]</f>
        <v>Ethyl Acetate draining</v>
      </c>
      <c r="P406" s="1"/>
    </row>
    <row r="407" spans="2:16" ht="58" hidden="1" x14ac:dyDescent="0.35">
      <c r="B407" s="124"/>
      <c r="C407" s="619" t="s">
        <v>1432</v>
      </c>
      <c r="D407" s="254">
        <v>44039</v>
      </c>
      <c r="E407" s="255" t="s">
        <v>992</v>
      </c>
      <c r="F407" s="248">
        <v>44039</v>
      </c>
      <c r="G407" s="248">
        <f>Table1[[#This Row],[Start Date]]</f>
        <v>44039</v>
      </c>
      <c r="H407" s="257"/>
      <c r="I407" s="632"/>
      <c r="J407" s="249" t="s">
        <v>1433</v>
      </c>
      <c r="P407" s="1"/>
    </row>
    <row r="408" spans="2:16" ht="72.5" hidden="1" x14ac:dyDescent="0.35">
      <c r="B408" s="124"/>
      <c r="C408" s="617" t="s">
        <v>1434</v>
      </c>
      <c r="D408" s="254">
        <v>44039</v>
      </c>
      <c r="E408" s="255" t="s">
        <v>965</v>
      </c>
      <c r="F408" s="248">
        <v>44040</v>
      </c>
      <c r="G408" s="248">
        <f>Table1[[#This Row],[Start Date]]</f>
        <v>44040</v>
      </c>
      <c r="H408" s="257" t="s">
        <v>340</v>
      </c>
      <c r="I408" s="632"/>
      <c r="J408" s="249" t="s">
        <v>1435</v>
      </c>
      <c r="P408" s="1"/>
    </row>
    <row r="409" spans="2:16" ht="14.5" hidden="1" x14ac:dyDescent="0.35">
      <c r="B409" s="124"/>
      <c r="C409" s="617" t="s">
        <v>1383</v>
      </c>
      <c r="D409" s="254">
        <v>44032</v>
      </c>
      <c r="E409" s="255" t="s">
        <v>785</v>
      </c>
      <c r="F409" s="248"/>
      <c r="G409" s="248">
        <f>Table1[[#This Row],[Start Date]]</f>
        <v>0</v>
      </c>
      <c r="H409" s="257" t="s">
        <v>462</v>
      </c>
      <c r="I409" s="632"/>
      <c r="J409" s="249" t="str">
        <f>Table1[[#This Row],[Routine Activities (PM/ PMCAL, CM, Genba, Isotanker, Material Readiness, Sampling)]]</f>
        <v xml:space="preserve">Waste offloading - Aq </v>
      </c>
      <c r="P409" s="1"/>
    </row>
    <row r="410" spans="2:16" ht="14.5" hidden="1" x14ac:dyDescent="0.35">
      <c r="B410" s="124"/>
      <c r="C410" s="617" t="s">
        <v>1099</v>
      </c>
      <c r="D410" s="254">
        <v>44032</v>
      </c>
      <c r="E410" s="255" t="s">
        <v>785</v>
      </c>
      <c r="F410" s="248"/>
      <c r="G410" s="248">
        <f>Table1[[#This Row],[Start Date]]</f>
        <v>0</v>
      </c>
      <c r="H410" s="257" t="s">
        <v>462</v>
      </c>
      <c r="I410" s="632"/>
      <c r="J410" s="246" t="str">
        <f>Table1[[#This Row],[Routine Activities (PM/ PMCAL, CM, Genba, Isotanker, Material Readiness, Sampling)]]</f>
        <v xml:space="preserve">Waste offloading - Org </v>
      </c>
      <c r="P410" s="1"/>
    </row>
    <row r="411" spans="2:16" ht="72.5" hidden="1" x14ac:dyDescent="0.35">
      <c r="B411" s="124"/>
      <c r="C411" s="617" t="s">
        <v>1436</v>
      </c>
      <c r="D411" s="254">
        <v>44039</v>
      </c>
      <c r="E411" s="255" t="s">
        <v>979</v>
      </c>
      <c r="F411" s="248">
        <v>44040</v>
      </c>
      <c r="G411" s="248">
        <f>Table1[[#This Row],[Start Date]]</f>
        <v>44040</v>
      </c>
      <c r="H411" s="257" t="s">
        <v>340</v>
      </c>
      <c r="I411" s="632"/>
      <c r="J411" s="249" t="s">
        <v>1437</v>
      </c>
      <c r="P411" s="1"/>
    </row>
    <row r="412" spans="2:16" ht="14.5" hidden="1" x14ac:dyDescent="0.35">
      <c r="B412" s="124"/>
      <c r="C412" s="617" t="s">
        <v>1438</v>
      </c>
      <c r="D412" s="254">
        <v>44032</v>
      </c>
      <c r="E412" s="255" t="s">
        <v>418</v>
      </c>
      <c r="F412" s="248"/>
      <c r="G412" s="248">
        <f>Table1[[#This Row],[Start Date]]</f>
        <v>0</v>
      </c>
      <c r="H412" s="257" t="s">
        <v>462</v>
      </c>
      <c r="I412" s="632"/>
      <c r="J412" s="246" t="str">
        <f>Table1[[#This Row],[Routine Activities (PM/ PMCAL, CM, Genba, Isotanker, Material Readiness, Sampling)]]</f>
        <v xml:space="preserve">Solvent loading </v>
      </c>
      <c r="P412" s="1"/>
    </row>
    <row r="413" spans="2:16" ht="14.5" hidden="1" x14ac:dyDescent="0.35">
      <c r="B413" s="124"/>
      <c r="C413" s="627" t="s">
        <v>775</v>
      </c>
      <c r="D413" s="254">
        <v>44039</v>
      </c>
      <c r="E413" s="255" t="s">
        <v>418</v>
      </c>
      <c r="F413" s="248">
        <v>44042</v>
      </c>
      <c r="G413" s="248">
        <f>Table1[[#This Row],[Start Date]]</f>
        <v>44042</v>
      </c>
      <c r="H413" s="257" t="s">
        <v>340</v>
      </c>
      <c r="I413" s="632"/>
      <c r="J413" s="246" t="str">
        <f>Table1[[#This Row],[Routine Activities (PM/ PMCAL, CM, Genba, Isotanker, Material Readiness, Sampling)]]</f>
        <v>N2 loading</v>
      </c>
      <c r="P413" s="1"/>
    </row>
    <row r="414" spans="2:16" ht="14.5" hidden="1" x14ac:dyDescent="0.35">
      <c r="B414" s="124"/>
      <c r="C414" s="627" t="s">
        <v>1099</v>
      </c>
      <c r="D414" s="254">
        <v>44039</v>
      </c>
      <c r="E414" s="255" t="s">
        <v>785</v>
      </c>
      <c r="F414" s="248">
        <v>44042</v>
      </c>
      <c r="G414" s="248">
        <f>Table1[[#This Row],[Start Date]]</f>
        <v>44042</v>
      </c>
      <c r="H414" s="257" t="s">
        <v>340</v>
      </c>
      <c r="I414" s="632"/>
      <c r="J414" s="246" t="str">
        <f>Table1[[#This Row],[Routine Activities (PM/ PMCAL, CM, Genba, Isotanker, Material Readiness, Sampling)]]</f>
        <v xml:space="preserve">Waste offloading - Org </v>
      </c>
      <c r="P414" s="1"/>
    </row>
    <row r="415" spans="2:16" ht="130.5" hidden="1" x14ac:dyDescent="0.35">
      <c r="B415" s="124"/>
      <c r="C415" s="617" t="s">
        <v>1439</v>
      </c>
      <c r="D415" s="254">
        <v>44046</v>
      </c>
      <c r="E415" s="255" t="s">
        <v>992</v>
      </c>
      <c r="F415" s="248">
        <v>44044</v>
      </c>
      <c r="G415" s="248">
        <f>Table1[[#This Row],[Start Date]]</f>
        <v>44044</v>
      </c>
      <c r="H415" s="257" t="s">
        <v>340</v>
      </c>
      <c r="I415" s="632"/>
      <c r="J415" s="246" t="s">
        <v>1440</v>
      </c>
      <c r="P415" s="1"/>
    </row>
    <row r="416" spans="2:16" ht="14.5" hidden="1" x14ac:dyDescent="0.35">
      <c r="B416" s="124"/>
      <c r="C416" s="627" t="s">
        <v>792</v>
      </c>
      <c r="D416" s="254">
        <v>44039</v>
      </c>
      <c r="E416" s="255" t="s">
        <v>785</v>
      </c>
      <c r="F416" s="248">
        <v>44044</v>
      </c>
      <c r="G416" s="248">
        <f>Table1[[#This Row],[Start Date]]</f>
        <v>44044</v>
      </c>
      <c r="H416" s="257" t="s">
        <v>340</v>
      </c>
      <c r="I416" s="632"/>
      <c r="J416" s="246" t="str">
        <f>Table1[[#This Row],[Routine Activities (PM/ PMCAL, CM, Genba, Isotanker, Material Readiness, Sampling)]]</f>
        <v>Waste offloading - Aq</v>
      </c>
      <c r="P416" s="1"/>
    </row>
    <row r="417" spans="2:16" ht="14.5" hidden="1" x14ac:dyDescent="0.35">
      <c r="B417" s="124"/>
      <c r="C417" s="627" t="s">
        <v>1441</v>
      </c>
      <c r="D417" s="254">
        <v>44039</v>
      </c>
      <c r="E417" s="255" t="s">
        <v>418</v>
      </c>
      <c r="F417" s="248">
        <v>44046</v>
      </c>
      <c r="G417" s="248">
        <f>Table1[[#This Row],[Start Date]]</f>
        <v>44046</v>
      </c>
      <c r="H417" s="257" t="s">
        <v>340</v>
      </c>
      <c r="I417" s="632"/>
      <c r="J417" s="246" t="str">
        <f>Table1[[#This Row],[Routine Activities (PM/ PMCAL, CM, Genba, Isotanker, Material Readiness, Sampling)]]</f>
        <v>Ethyl Acetate top up</v>
      </c>
      <c r="P417" s="1"/>
    </row>
    <row r="418" spans="2:16" ht="14.5" hidden="1" x14ac:dyDescent="0.35">
      <c r="B418" s="124"/>
      <c r="C418" s="619" t="s">
        <v>1442</v>
      </c>
      <c r="D418" s="254">
        <v>44046</v>
      </c>
      <c r="E418" s="255" t="s">
        <v>418</v>
      </c>
      <c r="F418" s="248">
        <v>44046</v>
      </c>
      <c r="G418" s="248">
        <f>Table1[[#This Row],[Start Date]]</f>
        <v>44046</v>
      </c>
      <c r="H418" s="257"/>
      <c r="I418" s="632"/>
      <c r="J418" s="246" t="str">
        <f>Table1[[#This Row],[Routine Activities (PM/ PMCAL, CM, Genba, Isotanker, Material Readiness, Sampling)]]</f>
        <v>H2 cylinder banks</v>
      </c>
      <c r="P418" s="1"/>
    </row>
    <row r="419" spans="2:16" ht="29" hidden="1" x14ac:dyDescent="0.35">
      <c r="B419" s="124"/>
      <c r="C419" s="617" t="s">
        <v>1443</v>
      </c>
      <c r="D419" s="254">
        <v>44046</v>
      </c>
      <c r="E419" s="255" t="s">
        <v>1402</v>
      </c>
      <c r="F419" s="248">
        <v>44046</v>
      </c>
      <c r="G419" s="248">
        <f>Table1[[#This Row],[Start Date]]</f>
        <v>44046</v>
      </c>
      <c r="H419" s="257" t="s">
        <v>340</v>
      </c>
      <c r="I419" s="632"/>
      <c r="J419" s="246" t="s">
        <v>1444</v>
      </c>
      <c r="P419" s="1"/>
    </row>
    <row r="420" spans="2:16" ht="130.5" hidden="1" x14ac:dyDescent="0.35">
      <c r="B420" s="124"/>
      <c r="C420" s="617" t="s">
        <v>1445</v>
      </c>
      <c r="D420" s="254">
        <v>44046</v>
      </c>
      <c r="E420" s="255" t="s">
        <v>992</v>
      </c>
      <c r="F420" s="248">
        <v>44046</v>
      </c>
      <c r="G420" s="248">
        <f>Table1[[#This Row],[Start Date]]</f>
        <v>44046</v>
      </c>
      <c r="H420" s="257" t="s">
        <v>340</v>
      </c>
      <c r="I420" s="632"/>
      <c r="J420" s="246" t="s">
        <v>1446</v>
      </c>
      <c r="P420" s="1"/>
    </row>
    <row r="421" spans="2:16" ht="14.5" hidden="1" x14ac:dyDescent="0.35">
      <c r="B421" s="124"/>
      <c r="C421" s="619" t="s">
        <v>1447</v>
      </c>
      <c r="D421" s="254">
        <v>44046</v>
      </c>
      <c r="E421" s="255" t="s">
        <v>785</v>
      </c>
      <c r="F421" s="248">
        <v>44047</v>
      </c>
      <c r="G421" s="248">
        <f>Table1[[#This Row],[Start Date]]</f>
        <v>44047</v>
      </c>
      <c r="H421" s="257" t="s">
        <v>340</v>
      </c>
      <c r="I421" s="632"/>
      <c r="J421" s="249" t="str">
        <f>Table1[[#This Row],[Routine Activities (PM/ PMCAL, CM, Genba, Isotanker, Material Readiness, Sampling)]]</f>
        <v>Genba - Solvent Run</v>
      </c>
      <c r="P421" s="1"/>
    </row>
    <row r="422" spans="2:16" ht="14.5" hidden="1" x14ac:dyDescent="0.35">
      <c r="B422" s="124"/>
      <c r="C422" s="619" t="s">
        <v>1448</v>
      </c>
      <c r="D422" s="254">
        <v>44046</v>
      </c>
      <c r="E422" s="255" t="s">
        <v>891</v>
      </c>
      <c r="F422" s="248">
        <v>44047</v>
      </c>
      <c r="G422" s="248">
        <f>Table1[[#This Row],[Start Date]]</f>
        <v>44047</v>
      </c>
      <c r="H422" s="257" t="s">
        <v>340</v>
      </c>
      <c r="I422" s="632"/>
      <c r="J422" s="249" t="str">
        <f>Table1[[#This Row],[Routine Activities (PM/ PMCAL, CM, Genba, Isotanker, Material Readiness, Sampling)]]</f>
        <v>QoP - Solvent Run</v>
      </c>
      <c r="P422" s="1"/>
    </row>
    <row r="423" spans="2:16" ht="43.5" hidden="1" x14ac:dyDescent="0.35">
      <c r="B423" s="124"/>
      <c r="C423" s="617" t="s">
        <v>1449</v>
      </c>
      <c r="D423" s="254">
        <v>44046</v>
      </c>
      <c r="E423" s="255" t="s">
        <v>979</v>
      </c>
      <c r="F423" s="248">
        <v>44048</v>
      </c>
      <c r="G423" s="248">
        <f>Table1[[#This Row],[Start Date]]</f>
        <v>44048</v>
      </c>
      <c r="H423" s="257" t="s">
        <v>340</v>
      </c>
      <c r="I423" s="632"/>
      <c r="J423" s="246" t="s">
        <v>1450</v>
      </c>
      <c r="P423" s="1"/>
    </row>
    <row r="424" spans="2:16" ht="201" hidden="1" customHeight="1" x14ac:dyDescent="0.35">
      <c r="B424" s="124"/>
      <c r="C424" s="617" t="s">
        <v>1451</v>
      </c>
      <c r="D424" s="254">
        <v>44046</v>
      </c>
      <c r="E424" s="255" t="s">
        <v>979</v>
      </c>
      <c r="F424" s="248">
        <v>44048</v>
      </c>
      <c r="G424" s="248">
        <f>Table1[[#This Row],[Start Date]]</f>
        <v>44048</v>
      </c>
      <c r="H424" s="257" t="s">
        <v>340</v>
      </c>
      <c r="I424" s="632"/>
      <c r="J424" s="246" t="s">
        <v>1452</v>
      </c>
      <c r="P424" s="1"/>
    </row>
    <row r="425" spans="2:16" ht="14.5" hidden="1" x14ac:dyDescent="0.35">
      <c r="B425" s="124"/>
      <c r="C425" s="619" t="s">
        <v>1453</v>
      </c>
      <c r="D425" s="254">
        <v>44046</v>
      </c>
      <c r="E425" s="255" t="s">
        <v>418</v>
      </c>
      <c r="F425" s="248">
        <v>44048</v>
      </c>
      <c r="G425" s="248">
        <f>Table1[[#This Row],[Start Date]]</f>
        <v>44048</v>
      </c>
      <c r="H425" s="257"/>
      <c r="I425" s="632"/>
      <c r="J425" s="249" t="str">
        <f>Table1[[#This Row],[Routine Activities (PM/ PMCAL, CM, Genba, Isotanker, Material Readiness, Sampling)]]</f>
        <v xml:space="preserve">A3 Material Readiness </v>
      </c>
      <c r="P425" s="1"/>
    </row>
    <row r="426" spans="2:16" ht="29.15" hidden="1" customHeight="1" x14ac:dyDescent="0.35">
      <c r="B426" s="124"/>
      <c r="C426" s="619" t="s">
        <v>1362</v>
      </c>
      <c r="D426" s="254">
        <v>44046</v>
      </c>
      <c r="E426" s="255" t="s">
        <v>418</v>
      </c>
      <c r="F426" s="248">
        <v>44048</v>
      </c>
      <c r="G426" s="248">
        <f>Table1[[#This Row],[Start Date]]</f>
        <v>44048</v>
      </c>
      <c r="H426" s="257" t="s">
        <v>340</v>
      </c>
      <c r="I426" s="632"/>
      <c r="J426" s="249" t="str">
        <f>Table1[[#This Row],[Routine Activities (PM/ PMCAL, CM, Genba, Isotanker, Material Readiness, Sampling)]]</f>
        <v>Methanol top up</v>
      </c>
      <c r="P426" s="1"/>
    </row>
    <row r="427" spans="2:16" ht="217.5" hidden="1" x14ac:dyDescent="0.35">
      <c r="B427" s="124"/>
      <c r="C427" s="619" t="s">
        <v>1454</v>
      </c>
      <c r="D427" s="254">
        <v>44046</v>
      </c>
      <c r="E427" s="255" t="s">
        <v>979</v>
      </c>
      <c r="F427" s="248">
        <v>44049</v>
      </c>
      <c r="G427" s="248">
        <v>44050</v>
      </c>
      <c r="H427" s="257"/>
      <c r="I427" s="632"/>
      <c r="J427" s="246" t="s">
        <v>1455</v>
      </c>
      <c r="P427" s="1"/>
    </row>
    <row r="428" spans="2:16" ht="14.5" hidden="1" x14ac:dyDescent="0.35">
      <c r="B428" s="124"/>
      <c r="C428" s="619" t="s">
        <v>1456</v>
      </c>
      <c r="D428" s="254">
        <v>44046</v>
      </c>
      <c r="E428" s="255" t="s">
        <v>1457</v>
      </c>
      <c r="F428" s="248">
        <v>44050</v>
      </c>
      <c r="G428" s="248">
        <f>Table1[[#This Row],[Start Date]]</f>
        <v>44050</v>
      </c>
      <c r="H428" s="257" t="s">
        <v>340</v>
      </c>
      <c r="I428" s="632"/>
      <c r="J428" s="249" t="str">
        <f>Table1[[#This Row],[Routine Activities (PM/ PMCAL, CM, Genba, Isotanker, Material Readiness, Sampling)]]</f>
        <v>ASM2 PLC Audit Trail Review</v>
      </c>
      <c r="P428" s="1"/>
    </row>
    <row r="429" spans="2:16" ht="14.5" hidden="1" x14ac:dyDescent="0.35">
      <c r="B429" s="124"/>
      <c r="C429" s="619" t="s">
        <v>777</v>
      </c>
      <c r="D429" s="254">
        <v>44046</v>
      </c>
      <c r="E429" s="255" t="s">
        <v>433</v>
      </c>
      <c r="F429" s="248">
        <v>44051</v>
      </c>
      <c r="G429" s="248">
        <f>Table1[[#This Row],[Start Date]]</f>
        <v>44051</v>
      </c>
      <c r="H429" s="257" t="s">
        <v>340</v>
      </c>
      <c r="I429" s="632" t="s">
        <v>1458</v>
      </c>
      <c r="J429" s="249" t="str">
        <f>Table1[[#This Row],[Routine Activities (PM/ PMCAL, CM, Genba, Isotanker, Material Readiness, Sampling)]]</f>
        <v>Waste offloading - Org</v>
      </c>
      <c r="P429" s="1"/>
    </row>
    <row r="430" spans="2:16" ht="72.5" hidden="1" x14ac:dyDescent="0.35">
      <c r="B430" s="124"/>
      <c r="C430" s="619" t="s">
        <v>1459</v>
      </c>
      <c r="D430" s="254">
        <v>44046</v>
      </c>
      <c r="E430" s="255" t="s">
        <v>1145</v>
      </c>
      <c r="F430" s="248">
        <v>44051</v>
      </c>
      <c r="G430" s="248">
        <v>44052</v>
      </c>
      <c r="H430" s="257"/>
      <c r="I430" s="632"/>
      <c r="J430" s="246" t="s">
        <v>1460</v>
      </c>
      <c r="P430" s="1"/>
    </row>
    <row r="431" spans="2:16" ht="217.5" hidden="1" x14ac:dyDescent="0.35">
      <c r="B431" s="124"/>
      <c r="C431" s="619" t="s">
        <v>1461</v>
      </c>
      <c r="D431" s="254">
        <v>44046</v>
      </c>
      <c r="E431" s="255" t="s">
        <v>979</v>
      </c>
      <c r="F431" s="248">
        <v>44051</v>
      </c>
      <c r="G431" s="248">
        <v>44052</v>
      </c>
      <c r="H431" s="257"/>
      <c r="I431" s="632"/>
      <c r="J431" s="246" t="s">
        <v>1462</v>
      </c>
      <c r="P431" s="1"/>
    </row>
    <row r="432" spans="2:16" ht="14.5" hidden="1" x14ac:dyDescent="0.35">
      <c r="B432" s="124"/>
      <c r="C432" s="627" t="s">
        <v>792</v>
      </c>
      <c r="D432" s="254">
        <v>43934</v>
      </c>
      <c r="E432" s="255" t="s">
        <v>433</v>
      </c>
      <c r="F432" s="248"/>
      <c r="G432" s="248">
        <f>Table1[[#This Row],[Start Date]]</f>
        <v>0</v>
      </c>
      <c r="H432" s="257" t="s">
        <v>462</v>
      </c>
      <c r="I432" s="632"/>
      <c r="J432" s="249" t="str">
        <f>Table1[[#This Row],[Routine Activities (PM/ PMCAL, CM, Genba, Isotanker, Material Readiness, Sampling)]]</f>
        <v>Waste offloading - Aq</v>
      </c>
      <c r="P432" s="1"/>
    </row>
    <row r="433" spans="2:16" ht="14.5" hidden="1" x14ac:dyDescent="0.35">
      <c r="B433" s="124"/>
      <c r="C433" s="627" t="s">
        <v>1298</v>
      </c>
      <c r="D433" s="254">
        <v>43934</v>
      </c>
      <c r="E433" s="255" t="s">
        <v>785</v>
      </c>
      <c r="F433" s="248"/>
      <c r="G433" s="248">
        <f>Table1[[#This Row],[Start Date]]</f>
        <v>0</v>
      </c>
      <c r="H433" s="257" t="s">
        <v>462</v>
      </c>
      <c r="I433" s="632"/>
      <c r="J433" s="249" t="str">
        <f>Table1[[#This Row],[Routine Activities (PM/ PMCAL, CM, Genba, Isotanker, Material Readiness, Sampling)]]</f>
        <v>Genba - Cancelled</v>
      </c>
      <c r="P433" s="1"/>
    </row>
    <row r="434" spans="2:16" ht="14.5" hidden="1" x14ac:dyDescent="0.35">
      <c r="B434" s="124"/>
      <c r="C434" s="627" t="s">
        <v>1299</v>
      </c>
      <c r="D434" s="254">
        <v>43934</v>
      </c>
      <c r="E434" s="255" t="s">
        <v>891</v>
      </c>
      <c r="F434" s="248"/>
      <c r="G434" s="248">
        <f>Table1[[#This Row],[Start Date]]</f>
        <v>0</v>
      </c>
      <c r="H434" s="257" t="s">
        <v>462</v>
      </c>
      <c r="I434" s="632"/>
      <c r="J434" s="249" t="str">
        <f>Table1[[#This Row],[Routine Activities (PM/ PMCAL, CM, Genba, Isotanker, Material Readiness, Sampling)]]</f>
        <v>QoP - Cancelled</v>
      </c>
      <c r="P434" s="1"/>
    </row>
    <row r="435" spans="2:16" ht="29" hidden="1" x14ac:dyDescent="0.35">
      <c r="B435" s="124"/>
      <c r="C435" s="639" t="s">
        <v>1463</v>
      </c>
      <c r="D435" s="254">
        <v>43934</v>
      </c>
      <c r="E435" s="255" t="s">
        <v>418</v>
      </c>
      <c r="F435" s="248"/>
      <c r="G435" s="248">
        <f>Table1[[#This Row],[Start Date]]</f>
        <v>0</v>
      </c>
      <c r="H435" s="257" t="s">
        <v>340</v>
      </c>
      <c r="I435" s="632"/>
      <c r="J435" s="249" t="str">
        <f>Table1[[#This Row],[Routine Activities (PM/ PMCAL, CM, Genba, Isotanker, Material Readiness, Sampling)]]</f>
        <v>Material Readiness for Post C Cleanining</v>
      </c>
      <c r="P435" s="1"/>
    </row>
    <row r="436" spans="2:16" ht="14.5" hidden="1" x14ac:dyDescent="0.35">
      <c r="B436" s="124"/>
      <c r="C436" s="639" t="s">
        <v>837</v>
      </c>
      <c r="D436" s="254">
        <v>43934</v>
      </c>
      <c r="E436" s="255" t="s">
        <v>339</v>
      </c>
      <c r="F436" s="248"/>
      <c r="G436" s="248">
        <f>Table1[[#This Row],[Start Date]]</f>
        <v>0</v>
      </c>
      <c r="H436" s="257" t="s">
        <v>340</v>
      </c>
      <c r="I436" s="632"/>
      <c r="J436" s="249" t="str">
        <f>Table1[[#This Row],[Routine Activities (PM/ PMCAL, CM, Genba, Isotanker, Material Readiness, Sampling)]]</f>
        <v>QC Testing Readiness</v>
      </c>
      <c r="P436" s="1"/>
    </row>
    <row r="437" spans="2:16" ht="14.5" hidden="1" x14ac:dyDescent="0.35">
      <c r="B437" s="124"/>
      <c r="C437" s="633" t="s">
        <v>792</v>
      </c>
      <c r="D437" s="254">
        <v>43927</v>
      </c>
      <c r="E437" s="255" t="s">
        <v>433</v>
      </c>
      <c r="F437" s="248"/>
      <c r="G437" s="248"/>
      <c r="H437" s="257" t="s">
        <v>462</v>
      </c>
      <c r="I437" s="632"/>
      <c r="J437" s="249" t="str">
        <f>Table1[[#This Row],[Routine Activities (PM/ PMCAL, CM, Genba, Isotanker, Material Readiness, Sampling)]]</f>
        <v>Waste offloading - Aq</v>
      </c>
      <c r="P437" s="1"/>
    </row>
    <row r="438" spans="2:16" ht="14.5" hidden="1" x14ac:dyDescent="0.35">
      <c r="B438" s="124"/>
      <c r="C438" s="633" t="s">
        <v>776</v>
      </c>
      <c r="D438" s="254">
        <v>43927</v>
      </c>
      <c r="E438" s="255" t="s">
        <v>433</v>
      </c>
      <c r="F438" s="248"/>
      <c r="G438" s="248"/>
      <c r="H438" s="257" t="s">
        <v>462</v>
      </c>
      <c r="I438" s="632"/>
      <c r="J438" s="249" t="str">
        <f>Table1[[#This Row],[Routine Activities (PM/ PMCAL, CM, Genba, Isotanker, Material Readiness, Sampling)]]</f>
        <v>Waste offloading - Organic</v>
      </c>
      <c r="P438" s="1"/>
    </row>
    <row r="439" spans="2:16" ht="14.5" hidden="1" x14ac:dyDescent="0.35">
      <c r="B439" s="124"/>
      <c r="C439" s="633" t="s">
        <v>1298</v>
      </c>
      <c r="D439" s="254">
        <v>43927</v>
      </c>
      <c r="E439" s="255" t="s">
        <v>785</v>
      </c>
      <c r="F439" s="248"/>
      <c r="G439" s="248"/>
      <c r="H439" s="257" t="s">
        <v>1080</v>
      </c>
      <c r="I439" s="632"/>
      <c r="J439" s="249" t="str">
        <f>Table1[[#This Row],[Routine Activities (PM/ PMCAL, CM, Genba, Isotanker, Material Readiness, Sampling)]]</f>
        <v>Genba - Cancelled</v>
      </c>
      <c r="P439" s="1"/>
    </row>
    <row r="440" spans="2:16" ht="14.5" hidden="1" x14ac:dyDescent="0.35">
      <c r="B440" s="124"/>
      <c r="C440" s="633" t="s">
        <v>1464</v>
      </c>
      <c r="D440" s="254">
        <v>43927</v>
      </c>
      <c r="E440" s="255" t="s">
        <v>418</v>
      </c>
      <c r="F440" s="248"/>
      <c r="G440" s="248"/>
      <c r="H440" s="257" t="s">
        <v>462</v>
      </c>
      <c r="I440" s="632"/>
      <c r="J440" s="249" t="str">
        <f>Table1[[#This Row],[Routine Activities (PM/ PMCAL, CM, Genba, Isotanker, Material Readiness, Sampling)]]</f>
        <v>Solvent loading - N/A</v>
      </c>
      <c r="P440" s="1"/>
    </row>
    <row r="441" spans="2:16" ht="409.5" hidden="1" x14ac:dyDescent="0.35">
      <c r="B441" s="124"/>
      <c r="C441" s="633" t="s">
        <v>1465</v>
      </c>
      <c r="D441" s="254">
        <v>44046</v>
      </c>
      <c r="E441" s="255" t="s">
        <v>1149</v>
      </c>
      <c r="F441" s="248">
        <v>44052</v>
      </c>
      <c r="G441" s="248">
        <f>Table1[[#This Row],[Start Date]]</f>
        <v>44052</v>
      </c>
      <c r="H441" s="257"/>
      <c r="I441" s="632"/>
      <c r="J441" s="246" t="s">
        <v>1390</v>
      </c>
      <c r="P441" s="1"/>
    </row>
    <row r="442" spans="2:16" ht="188.5" hidden="1" x14ac:dyDescent="0.35">
      <c r="B442" s="124"/>
      <c r="C442" s="633" t="s">
        <v>1466</v>
      </c>
      <c r="D442" s="254">
        <v>44046</v>
      </c>
      <c r="E442" s="255" t="s">
        <v>992</v>
      </c>
      <c r="F442" s="248">
        <v>44052</v>
      </c>
      <c r="G442" s="248">
        <f>Table1[[#This Row],[Start Date]]</f>
        <v>44052</v>
      </c>
      <c r="H442" s="257"/>
      <c r="I442" s="632"/>
      <c r="J442" s="246" t="s">
        <v>1364</v>
      </c>
      <c r="P442" s="1"/>
    </row>
    <row r="443" spans="2:16" ht="14.5" hidden="1" x14ac:dyDescent="0.35">
      <c r="B443" s="124"/>
      <c r="C443" s="633" t="s">
        <v>775</v>
      </c>
      <c r="D443" s="254">
        <v>44046</v>
      </c>
      <c r="E443" s="255" t="s">
        <v>418</v>
      </c>
      <c r="F443" s="248"/>
      <c r="G443" s="248">
        <f>Table1[[#This Row],[Start Date]]</f>
        <v>0</v>
      </c>
      <c r="H443" s="257" t="s">
        <v>462</v>
      </c>
      <c r="I443" s="632"/>
      <c r="J443" s="249" t="str">
        <f>Table1[[#This Row],[Routine Activities (PM/ PMCAL, CM, Genba, Isotanker, Material Readiness, Sampling)]]</f>
        <v>N2 loading</v>
      </c>
      <c r="P443" s="1"/>
    </row>
    <row r="444" spans="2:16" ht="72.5" hidden="1" x14ac:dyDescent="0.35">
      <c r="B444" s="124"/>
      <c r="C444" s="633" t="s">
        <v>1467</v>
      </c>
      <c r="D444" s="254">
        <v>44046</v>
      </c>
      <c r="E444" s="255" t="s">
        <v>1233</v>
      </c>
      <c r="F444" s="248">
        <v>44052</v>
      </c>
      <c r="G444" s="248">
        <v>44053</v>
      </c>
      <c r="H444" s="257"/>
      <c r="I444" s="632"/>
      <c r="J444" s="246" t="s">
        <v>1468</v>
      </c>
      <c r="P444" s="1"/>
    </row>
    <row r="445" spans="2:16" ht="43.5" hidden="1" x14ac:dyDescent="0.35">
      <c r="B445" s="124"/>
      <c r="C445" s="633" t="s">
        <v>1469</v>
      </c>
      <c r="D445" s="254">
        <v>44046</v>
      </c>
      <c r="E445" s="255" t="s">
        <v>1398</v>
      </c>
      <c r="F445" s="248">
        <v>44052</v>
      </c>
      <c r="G445" s="248">
        <v>44053</v>
      </c>
      <c r="H445" s="257"/>
      <c r="I445" s="632"/>
      <c r="J445" s="246" t="s">
        <v>1470</v>
      </c>
      <c r="P445" s="1"/>
    </row>
    <row r="446" spans="2:16" ht="14.5" hidden="1" x14ac:dyDescent="0.35">
      <c r="B446" s="124"/>
      <c r="C446" s="633" t="s">
        <v>792</v>
      </c>
      <c r="D446" s="254">
        <v>44046</v>
      </c>
      <c r="E446" s="255" t="s">
        <v>433</v>
      </c>
      <c r="F446" s="248"/>
      <c r="G446" s="248">
        <f>Table1[[#This Row],[Start Date]]</f>
        <v>0</v>
      </c>
      <c r="H446" s="257" t="s">
        <v>462</v>
      </c>
      <c r="I446" s="632"/>
      <c r="J446" s="249" t="str">
        <f>Table1[[#This Row],[Routine Activities (PM/ PMCAL, CM, Genba, Isotanker, Material Readiness, Sampling)]]</f>
        <v>Waste offloading - Aq</v>
      </c>
      <c r="P446" s="1"/>
    </row>
    <row r="447" spans="2:16" ht="14.5" hidden="1" x14ac:dyDescent="0.35">
      <c r="B447" s="124"/>
      <c r="C447" s="633" t="s">
        <v>1438</v>
      </c>
      <c r="D447" s="254">
        <v>44046</v>
      </c>
      <c r="E447" s="255" t="s">
        <v>418</v>
      </c>
      <c r="F447" s="248"/>
      <c r="G447" s="248">
        <f>Table1[[#This Row],[Start Date]]</f>
        <v>0</v>
      </c>
      <c r="H447" s="257" t="s">
        <v>462</v>
      </c>
      <c r="I447" s="632"/>
      <c r="J447" s="249" t="str">
        <f>Table1[[#This Row],[Routine Activities (PM/ PMCAL, CM, Genba, Isotanker, Material Readiness, Sampling)]]</f>
        <v xml:space="preserve">Solvent loading </v>
      </c>
      <c r="P447" s="1"/>
    </row>
    <row r="448" spans="2:16" ht="29" hidden="1" x14ac:dyDescent="0.35">
      <c r="B448" s="124"/>
      <c r="C448" s="639" t="s">
        <v>1089</v>
      </c>
      <c r="D448" s="254">
        <v>44039</v>
      </c>
      <c r="E448" s="255" t="s">
        <v>891</v>
      </c>
      <c r="F448" s="248"/>
      <c r="G448" s="248">
        <f>Table1[[#This Row],[Start Date]]</f>
        <v>0</v>
      </c>
      <c r="H448" s="257" t="s">
        <v>340</v>
      </c>
      <c r="I448" s="632"/>
      <c r="J448" s="246" t="str">
        <f>Table1[[#This Row],[Routine Activities (PM/ PMCAL, CM, Genba, Isotanker, Material Readiness, Sampling)]]</f>
        <v>QoP - Area Walkdown (Open dates)</v>
      </c>
      <c r="P448" s="1"/>
    </row>
    <row r="449" spans="2:16" ht="29" hidden="1" x14ac:dyDescent="0.35">
      <c r="B449" s="124"/>
      <c r="C449" s="643" t="s">
        <v>1471</v>
      </c>
      <c r="D449" s="254">
        <v>44053</v>
      </c>
      <c r="E449" s="255" t="s">
        <v>1402</v>
      </c>
      <c r="F449" s="248">
        <v>44053</v>
      </c>
      <c r="G449" s="248">
        <f>Table1[[#This Row],[Start Date]]</f>
        <v>44053</v>
      </c>
      <c r="H449" s="257"/>
      <c r="I449" s="632"/>
      <c r="J449" s="246" t="s">
        <v>1472</v>
      </c>
      <c r="P449" s="1"/>
    </row>
    <row r="450" spans="2:16" ht="43.5" hidden="1" x14ac:dyDescent="0.35">
      <c r="B450" s="124"/>
      <c r="C450" s="643" t="s">
        <v>1473</v>
      </c>
      <c r="D450" s="254">
        <v>44053</v>
      </c>
      <c r="E450" s="255" t="s">
        <v>992</v>
      </c>
      <c r="F450" s="248">
        <v>44053</v>
      </c>
      <c r="G450" s="248">
        <f>Table1[[#This Row],[Start Date]]</f>
        <v>44053</v>
      </c>
      <c r="H450" s="257"/>
      <c r="I450" s="632"/>
      <c r="J450" s="246" t="s">
        <v>1474</v>
      </c>
      <c r="P450" s="1"/>
    </row>
    <row r="451" spans="2:16" ht="130.5" hidden="1" x14ac:dyDescent="0.35">
      <c r="B451" s="124"/>
      <c r="C451" s="643" t="s">
        <v>1475</v>
      </c>
      <c r="D451" s="254">
        <v>44053</v>
      </c>
      <c r="E451" s="255" t="s">
        <v>992</v>
      </c>
      <c r="F451" s="248">
        <v>44053</v>
      </c>
      <c r="G451" s="248">
        <f>Table1[[#This Row],[Start Date]]</f>
        <v>44053</v>
      </c>
      <c r="H451" s="257"/>
      <c r="I451" s="632"/>
      <c r="J451" s="246" t="s">
        <v>1476</v>
      </c>
      <c r="P451" s="1"/>
    </row>
    <row r="452" spans="2:16" ht="43.5" hidden="1" x14ac:dyDescent="0.35">
      <c r="B452" s="124"/>
      <c r="C452" s="643" t="s">
        <v>1477</v>
      </c>
      <c r="D452" s="254">
        <v>44053</v>
      </c>
      <c r="E452" s="255" t="s">
        <v>992</v>
      </c>
      <c r="F452" s="248">
        <v>44053</v>
      </c>
      <c r="G452" s="248">
        <f>Table1[[#This Row],[Start Date]]</f>
        <v>44053</v>
      </c>
      <c r="H452" s="257"/>
      <c r="I452" s="632"/>
      <c r="J452" s="246" t="s">
        <v>1478</v>
      </c>
      <c r="P452" s="1"/>
    </row>
    <row r="453" spans="2:16" ht="29" hidden="1" x14ac:dyDescent="0.35">
      <c r="B453" s="124"/>
      <c r="C453" s="643" t="s">
        <v>1479</v>
      </c>
      <c r="D453" s="254">
        <v>44053</v>
      </c>
      <c r="E453" s="255" t="s">
        <v>1398</v>
      </c>
      <c r="F453" s="248">
        <v>44054</v>
      </c>
      <c r="G453" s="248">
        <v>44055</v>
      </c>
      <c r="H453" s="257"/>
      <c r="I453" s="632"/>
      <c r="J453" s="246" t="s">
        <v>1480</v>
      </c>
      <c r="P453" s="1"/>
    </row>
    <row r="454" spans="2:16" ht="29" hidden="1" x14ac:dyDescent="0.35">
      <c r="B454" s="124"/>
      <c r="C454" s="643" t="s">
        <v>1481</v>
      </c>
      <c r="D454" s="254">
        <v>44053</v>
      </c>
      <c r="E454" s="255" t="s">
        <v>1012</v>
      </c>
      <c r="F454" s="248">
        <v>44055</v>
      </c>
      <c r="G454" s="248">
        <f>Table1[[#This Row],[Start Date]]</f>
        <v>44055</v>
      </c>
      <c r="H454" s="257"/>
      <c r="I454" s="632"/>
      <c r="J454" s="246" t="s">
        <v>913</v>
      </c>
      <c r="P454" s="1"/>
    </row>
    <row r="455" spans="2:16" ht="29" hidden="1" x14ac:dyDescent="0.35">
      <c r="B455" s="124"/>
      <c r="C455" s="633" t="s">
        <v>1482</v>
      </c>
      <c r="D455" s="254">
        <v>44053</v>
      </c>
      <c r="E455" s="255" t="s">
        <v>1483</v>
      </c>
      <c r="F455" s="248">
        <v>44055</v>
      </c>
      <c r="G455" s="248">
        <f>Table1[[#This Row],[Start Date]]</f>
        <v>44055</v>
      </c>
      <c r="H455" s="257"/>
      <c r="I455" s="632"/>
      <c r="J455" s="249" t="str">
        <f>Table1[[#This Row],[Routine Activities (PM/ PMCAL, CM, Genba, Isotanker, Material Readiness, Sampling)]]</f>
        <v>Genba - Packout for Step A3-3</v>
      </c>
      <c r="P455" s="1"/>
    </row>
    <row r="456" spans="2:16" ht="159.5" hidden="1" x14ac:dyDescent="0.35">
      <c r="B456" s="124"/>
      <c r="C456" s="643" t="s">
        <v>1484</v>
      </c>
      <c r="D456" s="254">
        <v>44053</v>
      </c>
      <c r="E456" s="255" t="s">
        <v>965</v>
      </c>
      <c r="F456" s="248">
        <v>44056</v>
      </c>
      <c r="G456" s="248">
        <f>Table1[[#This Row],[Start Date]]</f>
        <v>44056</v>
      </c>
      <c r="H456" s="257"/>
      <c r="I456" s="632"/>
      <c r="J456" s="246" t="s">
        <v>1095</v>
      </c>
      <c r="P456" s="1"/>
    </row>
    <row r="457" spans="2:16" ht="130.5" hidden="1" x14ac:dyDescent="0.35">
      <c r="B457" s="124"/>
      <c r="C457" s="643" t="s">
        <v>1485</v>
      </c>
      <c r="D457" s="254">
        <v>44053</v>
      </c>
      <c r="E457" s="255" t="s">
        <v>992</v>
      </c>
      <c r="F457" s="248">
        <v>44056</v>
      </c>
      <c r="G457" s="248">
        <f>Table1[[#This Row],[Start Date]]</f>
        <v>44056</v>
      </c>
      <c r="H457" s="257"/>
      <c r="I457" s="632"/>
      <c r="J457" s="246" t="s">
        <v>1486</v>
      </c>
      <c r="P457" s="1"/>
    </row>
    <row r="458" spans="2:16" ht="43.5" hidden="1" x14ac:dyDescent="0.35">
      <c r="B458" s="124"/>
      <c r="C458" s="643" t="s">
        <v>1487</v>
      </c>
      <c r="D458" s="254">
        <v>44053</v>
      </c>
      <c r="E458" s="255" t="s">
        <v>979</v>
      </c>
      <c r="F458" s="248">
        <v>44056</v>
      </c>
      <c r="G458" s="248">
        <v>44057</v>
      </c>
      <c r="H458" s="257"/>
      <c r="I458" s="632"/>
      <c r="J458" s="246" t="s">
        <v>1374</v>
      </c>
      <c r="P458" s="1"/>
    </row>
    <row r="459" spans="2:16" ht="29" hidden="1" x14ac:dyDescent="0.35">
      <c r="B459" s="124"/>
      <c r="C459" s="633" t="s">
        <v>1488</v>
      </c>
      <c r="D459" s="254">
        <v>44053</v>
      </c>
      <c r="E459" s="255" t="s">
        <v>1489</v>
      </c>
      <c r="F459" s="248">
        <v>44056</v>
      </c>
      <c r="G459" s="248">
        <f>Table1[[#This Row],[Start Date]]</f>
        <v>44056</v>
      </c>
      <c r="H459" s="257"/>
      <c r="I459" s="632"/>
      <c r="J459" s="249" t="str">
        <f>Table1[[#This Row],[Routine Activities (PM/ PMCAL, CM, Genba, Isotanker, Material Readiness, Sampling)]]</f>
        <v>QoP - Catalyst Filtration for Step A3-4</v>
      </c>
      <c r="P459" s="1"/>
    </row>
    <row r="460" spans="2:16" ht="14.5" hidden="1" x14ac:dyDescent="0.35">
      <c r="B460" s="124"/>
      <c r="C460" s="633" t="s">
        <v>775</v>
      </c>
      <c r="D460" s="254">
        <v>44053</v>
      </c>
      <c r="E460" s="255" t="s">
        <v>377</v>
      </c>
      <c r="F460" s="248">
        <v>44056</v>
      </c>
      <c r="G460" s="248">
        <f>Table1[[#This Row],[Start Date]]</f>
        <v>44056</v>
      </c>
      <c r="H460" s="257"/>
      <c r="I460" s="632"/>
      <c r="J460" s="249" t="str">
        <f>Table1[[#This Row],[Routine Activities (PM/ PMCAL, CM, Genba, Isotanker, Material Readiness, Sampling)]]</f>
        <v>N2 loading</v>
      </c>
      <c r="P460" s="1"/>
    </row>
    <row r="461" spans="2:16" ht="43.5" hidden="1" x14ac:dyDescent="0.35">
      <c r="B461" s="124"/>
      <c r="C461" s="643" t="s">
        <v>1490</v>
      </c>
      <c r="D461" s="254">
        <v>44053</v>
      </c>
      <c r="E461" s="255" t="s">
        <v>1149</v>
      </c>
      <c r="F461" s="248">
        <v>44057</v>
      </c>
      <c r="G461" s="248">
        <f>Table1[[#This Row],[Start Date]]</f>
        <v>44057</v>
      </c>
      <c r="H461" s="257"/>
      <c r="I461" s="632"/>
      <c r="J461" s="246" t="s">
        <v>1491</v>
      </c>
      <c r="P461" s="1"/>
    </row>
    <row r="462" spans="2:16" ht="29" hidden="1" x14ac:dyDescent="0.35">
      <c r="B462" s="124"/>
      <c r="C462" s="643" t="s">
        <v>1492</v>
      </c>
      <c r="D462" s="254">
        <v>44053</v>
      </c>
      <c r="E462" s="255" t="s">
        <v>992</v>
      </c>
      <c r="F462" s="248">
        <v>44057</v>
      </c>
      <c r="G462" s="248">
        <f>Table1[[#This Row],[Start Date]]</f>
        <v>44057</v>
      </c>
      <c r="H462" s="257"/>
      <c r="I462" s="632"/>
      <c r="J462" s="246" t="s">
        <v>1435</v>
      </c>
      <c r="P462" s="1"/>
    </row>
    <row r="463" spans="2:16" ht="25.4" hidden="1" customHeight="1" x14ac:dyDescent="0.35">
      <c r="B463" s="124"/>
      <c r="C463" s="643" t="s">
        <v>1493</v>
      </c>
      <c r="D463" s="254">
        <v>44053</v>
      </c>
      <c r="E463" s="255" t="s">
        <v>992</v>
      </c>
      <c r="F463" s="248">
        <v>44057</v>
      </c>
      <c r="G463" s="248">
        <f>Table1[[#This Row],[Start Date]]</f>
        <v>44057</v>
      </c>
      <c r="H463" s="257"/>
      <c r="I463" s="632"/>
      <c r="J463" s="246" t="s">
        <v>1494</v>
      </c>
      <c r="P463" s="1"/>
    </row>
    <row r="464" spans="2:16" ht="29" hidden="1" x14ac:dyDescent="0.35">
      <c r="B464" s="124"/>
      <c r="C464" s="633" t="s">
        <v>1495</v>
      </c>
      <c r="D464" s="254">
        <v>44053</v>
      </c>
      <c r="E464" s="255" t="s">
        <v>377</v>
      </c>
      <c r="F464" s="248">
        <v>44057</v>
      </c>
      <c r="G464" s="248">
        <f>Table1[[#This Row],[Start Date]]</f>
        <v>44057</v>
      </c>
      <c r="H464" s="257" t="s">
        <v>340</v>
      </c>
      <c r="I464" s="632"/>
      <c r="J464" s="249" t="str">
        <f>Table1[[#This Row],[Routine Activities (PM/ PMCAL, CM, Genba, Isotanker, Material Readiness, Sampling)]]</f>
        <v>Solvent loading (methanol - 7000 L)</v>
      </c>
      <c r="P464" s="1"/>
    </row>
    <row r="465" spans="2:16" ht="43.5" hidden="1" x14ac:dyDescent="0.35">
      <c r="B465" s="124"/>
      <c r="C465" s="643" t="s">
        <v>1496</v>
      </c>
      <c r="D465" s="254">
        <v>44053</v>
      </c>
      <c r="E465" s="255" t="s">
        <v>965</v>
      </c>
      <c r="F465" s="248">
        <v>44058</v>
      </c>
      <c r="G465" s="248">
        <f>Table1[[#This Row],[Start Date]]</f>
        <v>44058</v>
      </c>
      <c r="H465" s="257"/>
      <c r="I465" s="632"/>
      <c r="J465" s="246" t="s">
        <v>1497</v>
      </c>
      <c r="P465" s="1"/>
    </row>
    <row r="466" spans="2:16" ht="46.4" hidden="1" customHeight="1" x14ac:dyDescent="0.35">
      <c r="B466" s="124"/>
      <c r="C466" s="643" t="s">
        <v>1498</v>
      </c>
      <c r="D466" s="254">
        <v>44053</v>
      </c>
      <c r="E466" s="255" t="s">
        <v>965</v>
      </c>
      <c r="F466" s="248">
        <v>44058</v>
      </c>
      <c r="G466" s="248">
        <f>Table1[[#This Row],[Start Date]]</f>
        <v>44058</v>
      </c>
      <c r="H466" s="257"/>
      <c r="I466" s="632"/>
      <c r="J466" s="246" t="s">
        <v>1499</v>
      </c>
      <c r="P466" s="1"/>
    </row>
    <row r="467" spans="2:16" ht="36" hidden="1" customHeight="1" x14ac:dyDescent="0.35">
      <c r="B467" s="124"/>
      <c r="C467" s="644" t="s">
        <v>1500</v>
      </c>
      <c r="D467" s="254">
        <v>44060</v>
      </c>
      <c r="E467" s="255" t="s">
        <v>965</v>
      </c>
      <c r="F467" s="248">
        <v>44061</v>
      </c>
      <c r="G467" s="248">
        <f>Table1[[#This Row],[Start Date]]</f>
        <v>44061</v>
      </c>
      <c r="H467" s="257"/>
      <c r="I467" s="632"/>
      <c r="J467" s="246" t="s">
        <v>1501</v>
      </c>
      <c r="P467" s="1"/>
    </row>
    <row r="468" spans="2:16" ht="36" hidden="1" customHeight="1" x14ac:dyDescent="0.35">
      <c r="B468" s="124"/>
      <c r="C468" s="644" t="s">
        <v>1502</v>
      </c>
      <c r="D468" s="254">
        <v>44060</v>
      </c>
      <c r="E468" s="255" t="s">
        <v>979</v>
      </c>
      <c r="F468" s="248">
        <v>44061</v>
      </c>
      <c r="G468" s="248">
        <f>Table1[[#This Row],[Start Date]]</f>
        <v>44061</v>
      </c>
      <c r="H468" s="257"/>
      <c r="I468" s="632"/>
      <c r="J468" s="246" t="s">
        <v>1503</v>
      </c>
      <c r="P468" s="1"/>
    </row>
    <row r="469" spans="2:16" ht="29" hidden="1" x14ac:dyDescent="0.35">
      <c r="B469" s="124"/>
      <c r="C469" s="644" t="s">
        <v>1504</v>
      </c>
      <c r="D469" s="254">
        <v>44060</v>
      </c>
      <c r="E469" s="255" t="s">
        <v>1145</v>
      </c>
      <c r="F469" s="248">
        <v>44061</v>
      </c>
      <c r="G469" s="248">
        <v>44062</v>
      </c>
      <c r="H469" s="257"/>
      <c r="I469" s="632"/>
      <c r="J469" s="246" t="s">
        <v>1505</v>
      </c>
      <c r="P469" s="1"/>
    </row>
    <row r="470" spans="2:16" ht="43.5" hidden="1" x14ac:dyDescent="0.35">
      <c r="B470" s="124"/>
      <c r="C470" s="644" t="s">
        <v>1506</v>
      </c>
      <c r="D470" s="254">
        <v>44060</v>
      </c>
      <c r="E470" s="255" t="s">
        <v>979</v>
      </c>
      <c r="F470" s="248">
        <v>44063</v>
      </c>
      <c r="G470" s="248">
        <f>Table1[[#This Row],[Start Date]]</f>
        <v>44063</v>
      </c>
      <c r="H470" s="257"/>
      <c r="I470" s="632"/>
      <c r="J470" s="246" t="s">
        <v>1507</v>
      </c>
      <c r="P470" s="1"/>
    </row>
    <row r="471" spans="2:16" ht="14.5" hidden="1" x14ac:dyDescent="0.35">
      <c r="B471" s="124"/>
      <c r="C471" s="633" t="s">
        <v>775</v>
      </c>
      <c r="D471" s="254">
        <v>44060</v>
      </c>
      <c r="E471" s="255" t="s">
        <v>418</v>
      </c>
      <c r="F471" s="248">
        <v>44063</v>
      </c>
      <c r="G471" s="248">
        <f>Table1[[#This Row],[Start Date]]</f>
        <v>44063</v>
      </c>
      <c r="H471" s="257" t="s">
        <v>340</v>
      </c>
      <c r="I471" s="632"/>
      <c r="J471" s="249" t="str">
        <f>Table1[[#This Row],[Routine Activities (PM/ PMCAL, CM, Genba, Isotanker, Material Readiness, Sampling)]]</f>
        <v>N2 loading</v>
      </c>
      <c r="P471" s="1"/>
    </row>
    <row r="472" spans="2:16" ht="100.4" hidden="1" customHeight="1" x14ac:dyDescent="0.35">
      <c r="B472" s="124"/>
      <c r="C472" s="633" t="s">
        <v>1050</v>
      </c>
      <c r="D472" s="254">
        <v>44060</v>
      </c>
      <c r="E472" s="255" t="s">
        <v>891</v>
      </c>
      <c r="F472" s="248">
        <v>44063</v>
      </c>
      <c r="G472" s="248">
        <f>Table1[[#This Row],[Start Date]]</f>
        <v>44063</v>
      </c>
      <c r="H472" s="257" t="s">
        <v>340</v>
      </c>
      <c r="I472" s="632"/>
      <c r="J472" s="249" t="str">
        <f>Table1[[#This Row],[Routine Activities (PM/ PMCAL, CM, Genba, Isotanker, Material Readiness, Sampling)]]</f>
        <v>QoP - Packout</v>
      </c>
      <c r="P472" s="1"/>
    </row>
    <row r="473" spans="2:16" ht="78" hidden="1" customHeight="1" x14ac:dyDescent="0.35">
      <c r="B473" s="124"/>
      <c r="C473" s="644" t="s">
        <v>1508</v>
      </c>
      <c r="D473" s="254">
        <v>44060</v>
      </c>
      <c r="E473" s="255" t="s">
        <v>1402</v>
      </c>
      <c r="F473" s="248">
        <v>44064</v>
      </c>
      <c r="G473" s="248">
        <f>Table1[[#This Row],[Start Date]]</f>
        <v>44064</v>
      </c>
      <c r="H473" s="257"/>
      <c r="I473" s="632"/>
      <c r="J473" s="246" t="s">
        <v>1509</v>
      </c>
      <c r="P473" s="1"/>
    </row>
    <row r="474" spans="2:16" ht="109.5" hidden="1" customHeight="1" x14ac:dyDescent="0.35">
      <c r="B474" s="124"/>
      <c r="C474" s="633" t="s">
        <v>1510</v>
      </c>
      <c r="D474" s="254">
        <v>44060</v>
      </c>
      <c r="E474" s="255" t="s">
        <v>1511</v>
      </c>
      <c r="F474" s="248">
        <v>44064</v>
      </c>
      <c r="G474" s="248">
        <f>Table1[[#This Row],[Start Date]]</f>
        <v>44064</v>
      </c>
      <c r="H474" s="257"/>
      <c r="I474" s="645" t="s">
        <v>1512</v>
      </c>
      <c r="J474" s="249" t="str">
        <f>Table1[[#This Row],[Routine Activities (PM/ PMCAL, CM, Genba, Isotanker, Material Readiness, Sampling)]]</f>
        <v>MES/ PI/ Rt Report Quarterly Patching (4PM - 9PM)</v>
      </c>
      <c r="P474" s="1"/>
    </row>
    <row r="475" spans="2:16" ht="14.5" hidden="1" x14ac:dyDescent="0.35">
      <c r="B475" s="124"/>
      <c r="C475" s="633" t="s">
        <v>1513</v>
      </c>
      <c r="D475" s="254">
        <v>44060</v>
      </c>
      <c r="E475" s="255" t="s">
        <v>785</v>
      </c>
      <c r="F475" s="248">
        <v>44064</v>
      </c>
      <c r="G475" s="248">
        <f>Table1[[#This Row],[Start Date]]</f>
        <v>44064</v>
      </c>
      <c r="H475" s="257" t="s">
        <v>340</v>
      </c>
      <c r="I475" s="632"/>
      <c r="J475" s="249" t="str">
        <f>Table1[[#This Row],[Routine Activities (PM/ PMCAL, CM, Genba, Isotanker, Material Readiness, Sampling)]]</f>
        <v>Genba - Dispensing</v>
      </c>
      <c r="P475" s="1"/>
    </row>
    <row r="476" spans="2:16" ht="116" hidden="1" x14ac:dyDescent="0.35">
      <c r="B476" s="124"/>
      <c r="C476" s="644" t="s">
        <v>1514</v>
      </c>
      <c r="D476" s="254">
        <v>44060</v>
      </c>
      <c r="E476" s="255" t="s">
        <v>979</v>
      </c>
      <c r="F476" s="248">
        <v>44065</v>
      </c>
      <c r="G476" s="248">
        <f>Table1[[#This Row],[Start Date]]</f>
        <v>44065</v>
      </c>
      <c r="H476" s="257"/>
      <c r="I476" s="632"/>
      <c r="J476" s="246" t="s">
        <v>1515</v>
      </c>
      <c r="P476" s="1"/>
    </row>
    <row r="477" spans="2:16" ht="14.5" hidden="1" x14ac:dyDescent="0.35">
      <c r="B477" s="124"/>
      <c r="C477" s="633" t="s">
        <v>1383</v>
      </c>
      <c r="D477" s="254">
        <v>44053</v>
      </c>
      <c r="E477" s="255" t="s">
        <v>433</v>
      </c>
      <c r="F477" s="248"/>
      <c r="G477" s="248">
        <f>Table1[[#This Row],[Start Date]]</f>
        <v>0</v>
      </c>
      <c r="H477" s="257" t="s">
        <v>462</v>
      </c>
      <c r="I477" s="632"/>
      <c r="J477" s="249" t="str">
        <f>Table1[[#This Row],[Routine Activities (PM/ PMCAL, CM, Genba, Isotanker, Material Readiness, Sampling)]]</f>
        <v xml:space="preserve">Waste offloading - Aq </v>
      </c>
      <c r="P477" s="1"/>
    </row>
    <row r="478" spans="2:16" ht="14.5" hidden="1" x14ac:dyDescent="0.35">
      <c r="B478" s="124"/>
      <c r="C478" s="633" t="s">
        <v>1099</v>
      </c>
      <c r="D478" s="254">
        <v>44053</v>
      </c>
      <c r="E478" s="255" t="s">
        <v>433</v>
      </c>
      <c r="F478" s="248"/>
      <c r="G478" s="248">
        <f>Table1[[#This Row],[Start Date]]</f>
        <v>0</v>
      </c>
      <c r="H478" s="257" t="s">
        <v>462</v>
      </c>
      <c r="I478" s="632"/>
      <c r="J478" s="249" t="str">
        <f>Table1[[#This Row],[Routine Activities (PM/ PMCAL, CM, Genba, Isotanker, Material Readiness, Sampling)]]</f>
        <v xml:space="preserve">Waste offloading - Org </v>
      </c>
      <c r="P478" s="1"/>
    </row>
    <row r="479" spans="2:16" ht="72.5" hidden="1" x14ac:dyDescent="0.35">
      <c r="B479" s="124"/>
      <c r="C479" s="644" t="s">
        <v>1516</v>
      </c>
      <c r="D479" s="254">
        <v>44060</v>
      </c>
      <c r="E479" s="255" t="s">
        <v>992</v>
      </c>
      <c r="F479" s="248">
        <v>44065</v>
      </c>
      <c r="G479" s="248">
        <f>Table1[[#This Row],[Start Date]]</f>
        <v>44065</v>
      </c>
      <c r="H479" s="257"/>
      <c r="I479" s="632"/>
      <c r="J479" s="246" t="s">
        <v>1517</v>
      </c>
      <c r="P479" s="1"/>
    </row>
    <row r="480" spans="2:16" ht="14.5" hidden="1" x14ac:dyDescent="0.35">
      <c r="B480" s="124"/>
      <c r="C480" s="633" t="s">
        <v>1383</v>
      </c>
      <c r="D480" s="254">
        <v>44060</v>
      </c>
      <c r="E480" s="255"/>
      <c r="F480" s="248"/>
      <c r="G480" s="248">
        <f>Table1[[#This Row],[Start Date]]</f>
        <v>0</v>
      </c>
      <c r="H480" s="257" t="s">
        <v>462</v>
      </c>
      <c r="I480" s="632"/>
      <c r="J480" s="249" t="str">
        <f>Table1[[#This Row],[Routine Activities (PM/ PMCAL, CM, Genba, Isotanker, Material Readiness, Sampling)]]</f>
        <v xml:space="preserve">Waste offloading - Aq </v>
      </c>
      <c r="P480" s="1"/>
    </row>
    <row r="481" spans="2:16" ht="14.5" hidden="1" x14ac:dyDescent="0.35">
      <c r="B481" s="124"/>
      <c r="C481" s="633" t="s">
        <v>1099</v>
      </c>
      <c r="D481" s="254">
        <v>44060</v>
      </c>
      <c r="E481" s="255" t="s">
        <v>433</v>
      </c>
      <c r="F481" s="248"/>
      <c r="G481" s="248">
        <f>Table1[[#This Row],[Start Date]]</f>
        <v>0</v>
      </c>
      <c r="H481" s="257" t="s">
        <v>462</v>
      </c>
      <c r="I481" s="632"/>
      <c r="J481" s="249" t="str">
        <f>Table1[[#This Row],[Routine Activities (PM/ PMCAL, CM, Genba, Isotanker, Material Readiness, Sampling)]]</f>
        <v xml:space="preserve">Waste offloading - Org </v>
      </c>
      <c r="P481" s="1"/>
    </row>
    <row r="482" spans="2:16" ht="130.5" hidden="1" x14ac:dyDescent="0.35">
      <c r="B482" s="124"/>
      <c r="C482" s="644" t="s">
        <v>1518</v>
      </c>
      <c r="D482" s="254">
        <v>44060</v>
      </c>
      <c r="E482" s="255" t="s">
        <v>979</v>
      </c>
      <c r="F482" s="248">
        <v>44066</v>
      </c>
      <c r="G482" s="248">
        <f>Table1[[#This Row],[Start Date]]</f>
        <v>44066</v>
      </c>
      <c r="H482" s="257"/>
      <c r="I482" s="632"/>
      <c r="J482" s="246" t="s">
        <v>1519</v>
      </c>
      <c r="P482" s="1"/>
    </row>
    <row r="483" spans="2:16" ht="14.5" hidden="1" x14ac:dyDescent="0.35">
      <c r="B483" s="124"/>
      <c r="C483" s="633" t="s">
        <v>1520</v>
      </c>
      <c r="D483" s="254">
        <v>44067</v>
      </c>
      <c r="E483" s="255" t="s">
        <v>891</v>
      </c>
      <c r="F483" s="248">
        <v>44067</v>
      </c>
      <c r="G483" s="248">
        <f>Table1[[#This Row],[Start Date]]</f>
        <v>44067</v>
      </c>
      <c r="H483" s="257" t="s">
        <v>340</v>
      </c>
      <c r="I483" s="632"/>
      <c r="J483" s="249" t="str">
        <f>Table1[[#This Row],[Routine Activities (PM/ PMCAL, CM, Genba, Isotanker, Material Readiness, Sampling)]]</f>
        <v>QoP - Cat Prep</v>
      </c>
      <c r="P483" s="1"/>
    </row>
    <row r="484" spans="2:16" ht="14.5" hidden="1" x14ac:dyDescent="0.35">
      <c r="B484" s="124"/>
      <c r="C484" s="633" t="s">
        <v>1438</v>
      </c>
      <c r="D484" s="254">
        <v>44060</v>
      </c>
      <c r="E484" s="255"/>
      <c r="F484" s="248"/>
      <c r="G484" s="248">
        <f>Table1[[#This Row],[Start Date]]</f>
        <v>0</v>
      </c>
      <c r="H484" s="257" t="s">
        <v>462</v>
      </c>
      <c r="I484" s="632"/>
      <c r="J484" s="249" t="str">
        <f>Table1[[#This Row],[Routine Activities (PM/ PMCAL, CM, Genba, Isotanker, Material Readiness, Sampling)]]</f>
        <v xml:space="preserve">Solvent loading </v>
      </c>
      <c r="P484" s="1"/>
    </row>
    <row r="485" spans="2:16" ht="29" hidden="1" x14ac:dyDescent="0.35">
      <c r="B485" s="124"/>
      <c r="C485" s="633" t="s">
        <v>1521</v>
      </c>
      <c r="D485" s="254">
        <v>44053</v>
      </c>
      <c r="E485" s="255" t="s">
        <v>418</v>
      </c>
      <c r="F485" s="248">
        <v>44056</v>
      </c>
      <c r="G485" s="248">
        <f>Table1[[#This Row],[Start Date]]</f>
        <v>44056</v>
      </c>
      <c r="H485" s="257" t="s">
        <v>340</v>
      </c>
      <c r="I485" s="632"/>
      <c r="J485" s="249" t="str">
        <f>Table1[[#This Row],[Routine Activities (PM/ PMCAL, CM, Genba, Isotanker, Material Readiness, Sampling)]]</f>
        <v>Material Readiness (A3-5 and A3-6)</v>
      </c>
      <c r="P485" s="1"/>
    </row>
    <row r="486" spans="2:16" ht="14.5" hidden="1" x14ac:dyDescent="0.35">
      <c r="B486" s="124"/>
      <c r="C486" s="646" t="s">
        <v>1522</v>
      </c>
      <c r="D486" s="254">
        <v>44067</v>
      </c>
      <c r="E486" s="255" t="s">
        <v>1000</v>
      </c>
      <c r="F486" s="248">
        <v>44068</v>
      </c>
      <c r="G486" s="248">
        <f>Table1[[#This Row],[Start Date]]</f>
        <v>44068</v>
      </c>
      <c r="H486" s="257" t="s">
        <v>340</v>
      </c>
      <c r="I486" s="632"/>
      <c r="J486" s="249" t="str">
        <f>Table1[[#This Row],[Routine Activities (PM/ PMCAL, CM, Genba, Isotanker, Material Readiness, Sampling)]]</f>
        <v>HBTU sampling (DI)</v>
      </c>
      <c r="P486" s="1"/>
    </row>
    <row r="487" spans="2:16" ht="29" hidden="1" x14ac:dyDescent="0.35">
      <c r="B487" s="124"/>
      <c r="C487" s="633" t="s">
        <v>1523</v>
      </c>
      <c r="D487" s="254">
        <v>44067</v>
      </c>
      <c r="E487" s="255" t="s">
        <v>1524</v>
      </c>
      <c r="F487" s="248">
        <v>44069</v>
      </c>
      <c r="G487" s="248">
        <f>Table1[[#This Row],[Start Date]]</f>
        <v>44069</v>
      </c>
      <c r="H487" s="257"/>
      <c r="I487" s="632"/>
      <c r="J487" s="249" t="s">
        <v>1525</v>
      </c>
      <c r="P487" s="1"/>
    </row>
    <row r="488" spans="2:16" ht="29" hidden="1" x14ac:dyDescent="0.35">
      <c r="B488" s="124"/>
      <c r="C488" s="633" t="s">
        <v>1526</v>
      </c>
      <c r="D488" s="254">
        <v>44067</v>
      </c>
      <c r="E488" s="255" t="s">
        <v>1524</v>
      </c>
      <c r="F488" s="248">
        <v>44069</v>
      </c>
      <c r="G488" s="248">
        <f>Table1[[#This Row],[Start Date]]</f>
        <v>44069</v>
      </c>
      <c r="H488" s="257"/>
      <c r="I488" s="632"/>
      <c r="J488" s="249" t="s">
        <v>1527</v>
      </c>
      <c r="P488" s="1"/>
    </row>
    <row r="489" spans="2:16" ht="14.5" hidden="1" x14ac:dyDescent="0.35">
      <c r="B489" s="124"/>
      <c r="C489" s="633" t="s">
        <v>777</v>
      </c>
      <c r="D489" s="254">
        <v>44067</v>
      </c>
      <c r="E489" s="255" t="s">
        <v>418</v>
      </c>
      <c r="F489" s="248">
        <v>44069</v>
      </c>
      <c r="G489" s="248">
        <f>Table1[[#This Row],[Start Date]]</f>
        <v>44069</v>
      </c>
      <c r="H489" s="257"/>
      <c r="I489" s="632"/>
      <c r="J489" s="249" t="str">
        <f>Table1[[#This Row],[Routine Activities (PM/ PMCAL, CM, Genba, Isotanker, Material Readiness, Sampling)]]</f>
        <v>Waste offloading - Org</v>
      </c>
      <c r="P489" s="1"/>
    </row>
    <row r="490" spans="2:16" ht="29" hidden="1" x14ac:dyDescent="0.35">
      <c r="B490" s="124"/>
      <c r="C490" s="633" t="s">
        <v>1528</v>
      </c>
      <c r="D490" s="254">
        <v>44067</v>
      </c>
      <c r="E490" s="255" t="s">
        <v>1529</v>
      </c>
      <c r="F490" s="248">
        <v>44070</v>
      </c>
      <c r="G490" s="248">
        <f>Table1[[#This Row],[Start Date]]</f>
        <v>44070</v>
      </c>
      <c r="H490" s="257"/>
      <c r="I490" s="632"/>
      <c r="J490" s="249" t="s">
        <v>1530</v>
      </c>
      <c r="P490" s="1"/>
    </row>
    <row r="491" spans="2:16" ht="14.5" hidden="1" x14ac:dyDescent="0.35">
      <c r="B491" s="124"/>
      <c r="C491" s="633" t="s">
        <v>775</v>
      </c>
      <c r="D491" s="254">
        <v>44067</v>
      </c>
      <c r="E491" s="255" t="s">
        <v>418</v>
      </c>
      <c r="F491" s="248">
        <v>44070</v>
      </c>
      <c r="G491" s="248">
        <f>Table1[[#This Row],[Start Date]]</f>
        <v>44070</v>
      </c>
      <c r="H491" s="257"/>
      <c r="I491" s="632"/>
      <c r="J491" s="249" t="str">
        <f>Table1[[#This Row],[Routine Activities (PM/ PMCAL, CM, Genba, Isotanker, Material Readiness, Sampling)]]</f>
        <v>N2 loading</v>
      </c>
      <c r="P491" s="1"/>
    </row>
    <row r="492" spans="2:16" ht="29" hidden="1" x14ac:dyDescent="0.35">
      <c r="B492" s="124"/>
      <c r="C492" s="646" t="s">
        <v>1002</v>
      </c>
      <c r="D492" s="254">
        <v>44067</v>
      </c>
      <c r="E492" s="255" t="s">
        <v>433</v>
      </c>
      <c r="F492" s="248">
        <v>44070</v>
      </c>
      <c r="G492" s="248">
        <f>Table1[[#This Row],[Start Date]]</f>
        <v>44070</v>
      </c>
      <c r="H492" s="257"/>
      <c r="I492" s="632" t="s">
        <v>1531</v>
      </c>
      <c r="J492" s="249" t="str">
        <f>Table1[[#This Row],[Routine Activities (PM/ PMCAL, CM, Genba, Isotanker, Material Readiness, Sampling)]]</f>
        <v>Catalyst waste drums removal</v>
      </c>
      <c r="P492" s="1"/>
    </row>
    <row r="493" spans="2:16" ht="14.5" hidden="1" x14ac:dyDescent="0.35">
      <c r="B493" s="124"/>
      <c r="C493" s="633" t="s">
        <v>1532</v>
      </c>
      <c r="D493" s="254">
        <v>44067</v>
      </c>
      <c r="E493" s="255" t="s">
        <v>785</v>
      </c>
      <c r="F493" s="248">
        <v>44070</v>
      </c>
      <c r="G493" s="248">
        <f>Table1[[#This Row],[Start Date]]</f>
        <v>44070</v>
      </c>
      <c r="H493" s="257"/>
      <c r="I493" s="632"/>
      <c r="J493" s="249" t="str">
        <f>Table1[[#This Row],[Routine Activities (PM/ PMCAL, CM, Genba, Isotanker, Material Readiness, Sampling)]]</f>
        <v>Genba - End caps</v>
      </c>
      <c r="P493" s="1"/>
    </row>
    <row r="494" spans="2:16" ht="14.5" hidden="1" x14ac:dyDescent="0.35">
      <c r="B494" s="124"/>
      <c r="C494" s="633" t="s">
        <v>792</v>
      </c>
      <c r="D494" s="254">
        <v>44067</v>
      </c>
      <c r="E494" s="255" t="s">
        <v>418</v>
      </c>
      <c r="F494" s="248">
        <v>44071</v>
      </c>
      <c r="G494" s="248">
        <f>Table1[[#This Row],[Start Date]]</f>
        <v>44071</v>
      </c>
      <c r="H494" s="257"/>
      <c r="I494" s="632"/>
      <c r="J494" s="249" t="str">
        <f>Table1[[#This Row],[Routine Activities (PM/ PMCAL, CM, Genba, Isotanker, Material Readiness, Sampling)]]</f>
        <v>Waste offloading - Aq</v>
      </c>
      <c r="P494" s="1"/>
    </row>
    <row r="495" spans="2:16" ht="14.5" hidden="1" x14ac:dyDescent="0.35">
      <c r="B495" s="124"/>
      <c r="C495" s="646" t="s">
        <v>1533</v>
      </c>
      <c r="D495" s="254">
        <v>44067</v>
      </c>
      <c r="E495" s="255" t="s">
        <v>1000</v>
      </c>
      <c r="F495" s="248">
        <v>44071</v>
      </c>
      <c r="G495" s="248">
        <f>Table1[[#This Row],[Start Date]]</f>
        <v>44071</v>
      </c>
      <c r="H495" s="257"/>
      <c r="I495" s="632"/>
      <c r="J495" s="249" t="str">
        <f>Table1[[#This Row],[Routine Activities (PM/ PMCAL, CM, Genba, Isotanker, Material Readiness, Sampling)]]</f>
        <v>DIPEA sampling (CFH)</v>
      </c>
      <c r="P495" s="1"/>
    </row>
    <row r="496" spans="2:16" ht="43.5" hidden="1" x14ac:dyDescent="0.35">
      <c r="B496" s="124"/>
      <c r="C496" s="646" t="s">
        <v>1534</v>
      </c>
      <c r="D496" s="254">
        <v>44074</v>
      </c>
      <c r="E496" s="255" t="s">
        <v>1524</v>
      </c>
      <c r="F496" s="248">
        <v>44074</v>
      </c>
      <c r="G496" s="248">
        <f>Table1[[#This Row],[Start Date]]</f>
        <v>44074</v>
      </c>
      <c r="H496" s="257"/>
      <c r="I496" s="632"/>
      <c r="J496" s="249" t="s">
        <v>1535</v>
      </c>
      <c r="P496" s="1"/>
    </row>
    <row r="497" spans="2:16" ht="14.5" hidden="1" x14ac:dyDescent="0.35">
      <c r="B497" s="124"/>
      <c r="C497" s="633" t="s">
        <v>1536</v>
      </c>
      <c r="D497" s="254">
        <v>44074</v>
      </c>
      <c r="E497" s="255" t="s">
        <v>785</v>
      </c>
      <c r="F497" s="248">
        <v>44074</v>
      </c>
      <c r="G497" s="248">
        <f>Table1[[#This Row],[Start Date]]</f>
        <v>44074</v>
      </c>
      <c r="H497" s="257"/>
      <c r="I497" s="632"/>
      <c r="J497" s="249" t="str">
        <f>Table1[[#This Row],[Routine Activities (PM/ PMCAL, CM, Genba, Isotanker, Material Readiness, Sampling)]]</f>
        <v>Genba - HS-001 walkdown</v>
      </c>
      <c r="P497" s="1"/>
    </row>
    <row r="498" spans="2:16" ht="29" hidden="1" x14ac:dyDescent="0.35">
      <c r="B498" s="124"/>
      <c r="C498" s="646" t="s">
        <v>1537</v>
      </c>
      <c r="D498" s="254">
        <v>44074</v>
      </c>
      <c r="E498" s="255" t="s">
        <v>1538</v>
      </c>
      <c r="F498" s="248">
        <v>44076</v>
      </c>
      <c r="G498" s="248">
        <f>Table1[[#This Row],[Start Date]]</f>
        <v>44076</v>
      </c>
      <c r="H498" s="257"/>
      <c r="I498" s="632"/>
      <c r="J498" s="249" t="s">
        <v>1539</v>
      </c>
      <c r="P498" s="1"/>
    </row>
    <row r="499" spans="2:16" ht="29" hidden="1" x14ac:dyDescent="0.35">
      <c r="B499" s="124"/>
      <c r="C499" s="646" t="s">
        <v>1540</v>
      </c>
      <c r="D499" s="254">
        <v>44074</v>
      </c>
      <c r="E499" s="255" t="s">
        <v>1538</v>
      </c>
      <c r="F499" s="248">
        <v>44076</v>
      </c>
      <c r="G499" s="248">
        <f>Table1[[#This Row],[Start Date]]</f>
        <v>44076</v>
      </c>
      <c r="H499" s="257"/>
      <c r="I499" s="632"/>
      <c r="J499" s="249" t="s">
        <v>1541</v>
      </c>
      <c r="P499" s="1"/>
    </row>
    <row r="500" spans="2:16" ht="14.5" hidden="1" x14ac:dyDescent="0.35">
      <c r="B500" s="124"/>
      <c r="C500" s="633" t="s">
        <v>775</v>
      </c>
      <c r="D500" s="254">
        <v>44074</v>
      </c>
      <c r="E500" s="255" t="s">
        <v>418</v>
      </c>
      <c r="F500" s="248">
        <v>44076</v>
      </c>
      <c r="G500" s="248">
        <f>Table1[[#This Row],[Start Date]]</f>
        <v>44076</v>
      </c>
      <c r="H500" s="257"/>
      <c r="I500" s="632"/>
      <c r="J500" s="249" t="str">
        <f>Table1[[#This Row],[Routine Activities (PM/ PMCAL, CM, Genba, Isotanker, Material Readiness, Sampling)]]</f>
        <v>N2 loading</v>
      </c>
      <c r="P500" s="1"/>
    </row>
    <row r="501" spans="2:16" ht="14.5" hidden="1" x14ac:dyDescent="0.35">
      <c r="B501" s="124"/>
      <c r="C501" s="633" t="s">
        <v>1050</v>
      </c>
      <c r="D501" s="254">
        <v>44074</v>
      </c>
      <c r="E501" s="255" t="s">
        <v>891</v>
      </c>
      <c r="F501" s="248">
        <v>44076</v>
      </c>
      <c r="G501" s="248">
        <f>Table1[[#This Row],[Start Date]]</f>
        <v>44076</v>
      </c>
      <c r="H501" s="257"/>
      <c r="I501" s="632"/>
      <c r="J501" s="249" t="str">
        <f>Table1[[#This Row],[Routine Activities (PM/ PMCAL, CM, Genba, Isotanker, Material Readiness, Sampling)]]</f>
        <v>QoP - Packout</v>
      </c>
      <c r="P501" s="1"/>
    </row>
    <row r="502" spans="2:16" ht="14.5" hidden="1" x14ac:dyDescent="0.35">
      <c r="B502" s="124"/>
      <c r="C502" s="633" t="s">
        <v>1542</v>
      </c>
      <c r="D502" s="254">
        <v>44074</v>
      </c>
      <c r="E502" s="255" t="s">
        <v>418</v>
      </c>
      <c r="F502" s="248">
        <v>44077</v>
      </c>
      <c r="G502" s="248">
        <f>Table1[[#This Row],[Start Date]]</f>
        <v>44077</v>
      </c>
      <c r="H502" s="257"/>
      <c r="I502" s="632"/>
      <c r="J502" s="249" t="str">
        <f>Table1[[#This Row],[Routine Activities (PM/ PMCAL, CM, Genba, Isotanker, Material Readiness, Sampling)]]</f>
        <v>Solvent loading (MeOH)</v>
      </c>
      <c r="P502" s="1"/>
    </row>
    <row r="503" spans="2:16" ht="29" hidden="1" x14ac:dyDescent="0.35">
      <c r="B503" s="124"/>
      <c r="C503" s="633" t="s">
        <v>1002</v>
      </c>
      <c r="D503" s="254">
        <v>44074</v>
      </c>
      <c r="E503" s="255" t="s">
        <v>433</v>
      </c>
      <c r="F503" s="248">
        <v>44077</v>
      </c>
      <c r="G503" s="248">
        <f>Table1[[#This Row],[Start Date]]</f>
        <v>44077</v>
      </c>
      <c r="H503" s="257"/>
      <c r="I503" s="632"/>
      <c r="J503" s="249" t="str">
        <f>Table1[[#This Row],[Routine Activities (PM/ PMCAL, CM, Genba, Isotanker, Material Readiness, Sampling)]]</f>
        <v>Catalyst waste drums removal</v>
      </c>
      <c r="P503" s="1"/>
    </row>
    <row r="504" spans="2:16" ht="29" hidden="1" x14ac:dyDescent="0.35">
      <c r="B504" s="124"/>
      <c r="C504" s="633" t="s">
        <v>1543</v>
      </c>
      <c r="D504" s="254">
        <v>44081</v>
      </c>
      <c r="E504" s="255" t="s">
        <v>1544</v>
      </c>
      <c r="F504" s="248">
        <v>44077</v>
      </c>
      <c r="G504" s="248">
        <f>Table1[[#This Row],[Start Date]]</f>
        <v>44077</v>
      </c>
      <c r="H504" s="257"/>
      <c r="I504" s="632"/>
      <c r="J504" s="249" t="s">
        <v>1545</v>
      </c>
      <c r="P504" s="1"/>
    </row>
    <row r="505" spans="2:16" ht="43.5" hidden="1" x14ac:dyDescent="0.35">
      <c r="B505" s="124"/>
      <c r="C505" s="633" t="s">
        <v>1546</v>
      </c>
      <c r="D505" s="254">
        <v>44067</v>
      </c>
      <c r="E505" s="255" t="s">
        <v>846</v>
      </c>
      <c r="F505" s="248">
        <v>44078</v>
      </c>
      <c r="G505" s="248">
        <f>Table1[[#This Row],[Start Date]]</f>
        <v>44078</v>
      </c>
      <c r="H505" s="257"/>
      <c r="I505" s="645" t="s">
        <v>1547</v>
      </c>
      <c r="J505" s="249" t="str">
        <f>Table1[[#This Row],[Routine Activities (PM/ PMCAL, CM, Genba, Isotanker, Material Readiness, Sampling)]]</f>
        <v>DeltaV Quarterly Patching</v>
      </c>
      <c r="P505" s="1"/>
    </row>
    <row r="506" spans="2:16" ht="14.5" hidden="1" x14ac:dyDescent="0.35">
      <c r="B506" s="124"/>
      <c r="C506" s="646" t="s">
        <v>1548</v>
      </c>
      <c r="D506" s="254">
        <v>44074</v>
      </c>
      <c r="E506" s="255" t="s">
        <v>1000</v>
      </c>
      <c r="F506" s="248">
        <v>44078</v>
      </c>
      <c r="G506" s="248">
        <f>Table1[[#This Row],[Start Date]]</f>
        <v>44078</v>
      </c>
      <c r="H506" s="257"/>
      <c r="I506" s="632"/>
      <c r="J506" s="249" t="str">
        <f>Table1[[#This Row],[Routine Activities (PM/ PMCAL, CM, Genba, Isotanker, Material Readiness, Sampling)]]</f>
        <v>HOBT sampling (DFB)</v>
      </c>
      <c r="P506" s="1"/>
    </row>
    <row r="507" spans="2:16" ht="29" hidden="1" x14ac:dyDescent="0.35">
      <c r="B507" s="124"/>
      <c r="C507" s="646" t="s">
        <v>1549</v>
      </c>
      <c r="D507" s="254">
        <v>44074</v>
      </c>
      <c r="E507" s="255" t="s">
        <v>1550</v>
      </c>
      <c r="F507" s="248">
        <v>44079</v>
      </c>
      <c r="G507" s="248">
        <f>Table1[[#This Row],[Start Date]]</f>
        <v>44079</v>
      </c>
      <c r="H507" s="257"/>
      <c r="I507" s="632"/>
      <c r="J507" s="249" t="s">
        <v>1551</v>
      </c>
      <c r="P507" s="1"/>
    </row>
    <row r="508" spans="2:16" ht="29" hidden="1" x14ac:dyDescent="0.35">
      <c r="B508" s="124"/>
      <c r="C508" s="646" t="s">
        <v>1552</v>
      </c>
      <c r="D508" s="254">
        <v>44074</v>
      </c>
      <c r="E508" s="255" t="s">
        <v>1550</v>
      </c>
      <c r="F508" s="248">
        <v>44079</v>
      </c>
      <c r="G508" s="248">
        <f>Table1[[#This Row],[Start Date]]</f>
        <v>44079</v>
      </c>
      <c r="H508" s="257"/>
      <c r="I508" s="632"/>
      <c r="J508" s="249" t="s">
        <v>1553</v>
      </c>
      <c r="P508" s="1"/>
    </row>
    <row r="509" spans="2:16" ht="87" hidden="1" x14ac:dyDescent="0.35">
      <c r="B509" s="124"/>
      <c r="C509" s="646" t="s">
        <v>1554</v>
      </c>
      <c r="D509" s="254">
        <v>44074</v>
      </c>
      <c r="E509" s="255" t="s">
        <v>1555</v>
      </c>
      <c r="F509" s="248">
        <v>44079</v>
      </c>
      <c r="G509" s="248">
        <f>Table1[[#This Row],[Start Date]]</f>
        <v>44079</v>
      </c>
      <c r="H509" s="257"/>
      <c r="I509" s="632"/>
      <c r="J509" s="249" t="s">
        <v>1399</v>
      </c>
      <c r="P509" s="1"/>
    </row>
    <row r="510" spans="2:16" ht="29" hidden="1" x14ac:dyDescent="0.35">
      <c r="B510" s="124"/>
      <c r="C510" s="646" t="s">
        <v>1556</v>
      </c>
      <c r="D510" s="254">
        <v>44074</v>
      </c>
      <c r="E510" s="255" t="s">
        <v>1555</v>
      </c>
      <c r="F510" s="248">
        <v>44079</v>
      </c>
      <c r="G510" s="248">
        <f>Table1[[#This Row],[Start Date]]</f>
        <v>44079</v>
      </c>
      <c r="H510" s="257"/>
      <c r="I510" s="632"/>
      <c r="J510" s="249" t="s">
        <v>1480</v>
      </c>
      <c r="P510" s="1"/>
    </row>
    <row r="511" spans="2:16" ht="29" hidden="1" x14ac:dyDescent="0.35">
      <c r="B511" s="124"/>
      <c r="C511" s="646" t="s">
        <v>1557</v>
      </c>
      <c r="D511" s="254">
        <v>44074</v>
      </c>
      <c r="E511" s="255" t="s">
        <v>1524</v>
      </c>
      <c r="F511" s="248">
        <v>44080</v>
      </c>
      <c r="G511" s="248">
        <f>Table1[[#This Row],[Start Date]]</f>
        <v>44080</v>
      </c>
      <c r="H511" s="257"/>
      <c r="I511" s="632"/>
      <c r="J511" s="249" t="s">
        <v>1558</v>
      </c>
      <c r="P511" s="1"/>
    </row>
    <row r="512" spans="2:16" ht="29" hidden="1" x14ac:dyDescent="0.35">
      <c r="B512" s="124"/>
      <c r="C512" s="646" t="s">
        <v>1559</v>
      </c>
      <c r="D512" s="254">
        <v>44074</v>
      </c>
      <c r="E512" s="255" t="s">
        <v>1524</v>
      </c>
      <c r="F512" s="248">
        <v>44080</v>
      </c>
      <c r="G512" s="248">
        <f>Table1[[#This Row],[Start Date]]</f>
        <v>44080</v>
      </c>
      <c r="H512" s="257"/>
      <c r="I512" s="632"/>
      <c r="J512" s="249" t="s">
        <v>1560</v>
      </c>
      <c r="P512" s="1"/>
    </row>
    <row r="513" spans="2:16" ht="14.5" hidden="1" x14ac:dyDescent="0.35">
      <c r="B513" s="124"/>
      <c r="C513" s="633" t="s">
        <v>1340</v>
      </c>
      <c r="D513" s="254">
        <v>44067</v>
      </c>
      <c r="E513" s="255" t="s">
        <v>418</v>
      </c>
      <c r="F513" s="248"/>
      <c r="G513" s="248">
        <f>Table1[[#This Row],[Start Date]]</f>
        <v>0</v>
      </c>
      <c r="H513" s="257" t="s">
        <v>462</v>
      </c>
      <c r="I513" s="632"/>
      <c r="J513" s="249" t="str">
        <f>Table1[[#This Row],[Routine Activities (PM/ PMCAL, CM, Genba, Isotanker, Material Readiness, Sampling)]]</f>
        <v>Solvent loading</v>
      </c>
      <c r="P513" s="1"/>
    </row>
    <row r="514" spans="2:16" ht="43.5" hidden="1" x14ac:dyDescent="0.35">
      <c r="B514" s="124"/>
      <c r="C514" s="646" t="s">
        <v>1561</v>
      </c>
      <c r="D514" s="254">
        <v>44074</v>
      </c>
      <c r="E514" s="255" t="s">
        <v>1524</v>
      </c>
      <c r="F514" s="248">
        <v>44080</v>
      </c>
      <c r="G514" s="248">
        <f>Table1[[#This Row],[Start Date]]</f>
        <v>44080</v>
      </c>
      <c r="H514" s="257"/>
      <c r="I514" s="632"/>
      <c r="J514" s="249" t="s">
        <v>1562</v>
      </c>
      <c r="P514" s="1"/>
    </row>
    <row r="515" spans="2:16" ht="43.5" hidden="1" x14ac:dyDescent="0.35">
      <c r="B515" s="124"/>
      <c r="C515" s="646" t="s">
        <v>1563</v>
      </c>
      <c r="D515" s="254">
        <v>44074</v>
      </c>
      <c r="E515" s="255" t="s">
        <v>1524</v>
      </c>
      <c r="F515" s="248">
        <v>44080</v>
      </c>
      <c r="G515" s="248">
        <f>Table1[[#This Row],[Start Date]]</f>
        <v>44080</v>
      </c>
      <c r="H515" s="257"/>
      <c r="I515" s="632"/>
      <c r="J515" s="249" t="s">
        <v>1564</v>
      </c>
      <c r="P515" s="1"/>
    </row>
    <row r="516" spans="2:16" ht="29" hidden="1" x14ac:dyDescent="0.35">
      <c r="B516" s="124"/>
      <c r="C516" s="646" t="s">
        <v>1565</v>
      </c>
      <c r="D516" s="254">
        <v>44074</v>
      </c>
      <c r="E516" s="255" t="s">
        <v>1566</v>
      </c>
      <c r="F516" s="248">
        <v>44080</v>
      </c>
      <c r="G516" s="248">
        <f>Table1[[#This Row],[Start Date]]</f>
        <v>44080</v>
      </c>
      <c r="H516" s="257"/>
      <c r="I516" s="632"/>
      <c r="J516" s="249" t="s">
        <v>1567</v>
      </c>
      <c r="P516" s="1"/>
    </row>
    <row r="517" spans="2:16" ht="29" hidden="1" x14ac:dyDescent="0.35">
      <c r="B517" s="124"/>
      <c r="C517" s="646" t="s">
        <v>1568</v>
      </c>
      <c r="D517" s="254">
        <v>44074</v>
      </c>
      <c r="E517" s="255" t="s">
        <v>1524</v>
      </c>
      <c r="F517" s="248">
        <v>44080</v>
      </c>
      <c r="G517" s="248">
        <f>Table1[[#This Row],[Start Date]]</f>
        <v>44080</v>
      </c>
      <c r="H517" s="257"/>
      <c r="I517" s="632"/>
      <c r="J517" s="249" t="s">
        <v>1569</v>
      </c>
      <c r="P517" s="1"/>
    </row>
    <row r="518" spans="2:16" ht="58" hidden="1" x14ac:dyDescent="0.35">
      <c r="B518" s="124"/>
      <c r="C518" s="647" t="s">
        <v>1570</v>
      </c>
      <c r="D518" s="254">
        <v>44046</v>
      </c>
      <c r="E518" s="255" t="s">
        <v>339</v>
      </c>
      <c r="F518" s="248"/>
      <c r="G518" s="248">
        <f>Table1[[#This Row],[Start Date]]</f>
        <v>0</v>
      </c>
      <c r="H518" s="257" t="s">
        <v>340</v>
      </c>
      <c r="I518" s="632" t="s">
        <v>1571</v>
      </c>
      <c r="J518" s="246" t="str">
        <f>Table1[[#This Row],[Routine Activities (PM/ PMCAL, CM, Genba, Isotanker, Material Readiness, Sampling)]]</f>
        <v>QC Testing Readiness - A3</v>
      </c>
      <c r="P518" s="1"/>
    </row>
    <row r="519" spans="2:16" ht="29" hidden="1" x14ac:dyDescent="0.35">
      <c r="B519" s="124"/>
      <c r="C519" s="633" t="s">
        <v>1409</v>
      </c>
      <c r="D519" s="254">
        <v>44074</v>
      </c>
      <c r="E519" s="255" t="s">
        <v>433</v>
      </c>
      <c r="F519" s="248"/>
      <c r="G519" s="248">
        <f>Table1[[#This Row],[Start Date]]</f>
        <v>0</v>
      </c>
      <c r="H519" s="257" t="s">
        <v>462</v>
      </c>
      <c r="I519" s="632"/>
      <c r="J519" s="249" t="str">
        <f>Table1[[#This Row],[Routine Activities (PM/ PMCAL, CM, Genba, Isotanker, Material Readiness, Sampling)]]</f>
        <v>Waste offloading - Aq (not req)</v>
      </c>
      <c r="P519" s="1"/>
    </row>
    <row r="520" spans="2:16" ht="14.5" hidden="1" x14ac:dyDescent="0.35">
      <c r="B520" s="124"/>
      <c r="C520" s="633" t="s">
        <v>1099</v>
      </c>
      <c r="D520" s="254">
        <v>44081</v>
      </c>
      <c r="E520" s="255" t="s">
        <v>433</v>
      </c>
      <c r="F520" s="248">
        <v>44081</v>
      </c>
      <c r="G520" s="248">
        <f>Table1[[#This Row],[Start Date]]</f>
        <v>44081</v>
      </c>
      <c r="H520" s="257"/>
      <c r="I520" s="632"/>
      <c r="J520" s="249" t="str">
        <f>Table1[[#This Row],[Routine Activities (PM/ PMCAL, CM, Genba, Isotanker, Material Readiness, Sampling)]]</f>
        <v xml:space="preserve">Waste offloading - Org </v>
      </c>
      <c r="P520" s="1"/>
    </row>
    <row r="521" spans="2:16" ht="43.5" hidden="1" x14ac:dyDescent="0.35">
      <c r="B521" s="124"/>
      <c r="C521" s="633" t="s">
        <v>1572</v>
      </c>
      <c r="D521" s="254">
        <v>44081</v>
      </c>
      <c r="E521" s="255" t="s">
        <v>1529</v>
      </c>
      <c r="F521" s="248">
        <v>44081</v>
      </c>
      <c r="G521" s="248">
        <f>Table1[[#This Row],[Start Date]]</f>
        <v>44081</v>
      </c>
      <c r="H521" s="257"/>
      <c r="I521" s="632"/>
      <c r="J521" s="249" t="s">
        <v>1573</v>
      </c>
      <c r="P521" s="1"/>
    </row>
    <row r="522" spans="2:16" ht="174" hidden="1" x14ac:dyDescent="0.35">
      <c r="B522" s="124"/>
      <c r="C522" s="633" t="s">
        <v>1574</v>
      </c>
      <c r="D522" s="254">
        <v>44081</v>
      </c>
      <c r="E522" s="255" t="s">
        <v>1575</v>
      </c>
      <c r="F522" s="248">
        <v>44081</v>
      </c>
      <c r="G522" s="248">
        <f>Table1[[#This Row],[Start Date]]</f>
        <v>44081</v>
      </c>
      <c r="H522" s="257"/>
      <c r="I522" s="632"/>
      <c r="J522" s="249" t="s">
        <v>832</v>
      </c>
      <c r="P522" s="1"/>
    </row>
    <row r="523" spans="2:16" ht="29" hidden="1" x14ac:dyDescent="0.35">
      <c r="B523" s="124"/>
      <c r="C523" s="633" t="s">
        <v>1576</v>
      </c>
      <c r="D523" s="254">
        <v>44081</v>
      </c>
      <c r="E523" s="255" t="s">
        <v>1575</v>
      </c>
      <c r="F523" s="248">
        <v>44081</v>
      </c>
      <c r="G523" s="248">
        <f>Table1[[#This Row],[Start Date]]</f>
        <v>44081</v>
      </c>
      <c r="H523" s="257"/>
      <c r="I523" s="632"/>
      <c r="J523" s="249" t="s">
        <v>1577</v>
      </c>
      <c r="P523" s="1"/>
    </row>
    <row r="524" spans="2:16" ht="29" hidden="1" x14ac:dyDescent="0.35">
      <c r="B524" s="124"/>
      <c r="C524" s="633" t="s">
        <v>1578</v>
      </c>
      <c r="D524" s="254">
        <v>44081</v>
      </c>
      <c r="E524" s="255" t="s">
        <v>1579</v>
      </c>
      <c r="F524" s="248">
        <v>44081</v>
      </c>
      <c r="G524" s="248">
        <f>Table1[[#This Row],[Start Date]]</f>
        <v>44081</v>
      </c>
      <c r="H524" s="257"/>
      <c r="I524" s="632"/>
      <c r="J524" s="249" t="s">
        <v>1580</v>
      </c>
      <c r="P524" s="1"/>
    </row>
    <row r="525" spans="2:16" ht="29" hidden="1" x14ac:dyDescent="0.35">
      <c r="B525" s="124"/>
      <c r="C525" s="633" t="s">
        <v>1581</v>
      </c>
      <c r="D525" s="254">
        <v>44081</v>
      </c>
      <c r="E525" s="255" t="s">
        <v>1575</v>
      </c>
      <c r="F525" s="248">
        <v>44082</v>
      </c>
      <c r="G525" s="248">
        <f>Table1[[#This Row],[Start Date]]</f>
        <v>44082</v>
      </c>
      <c r="H525" s="257"/>
      <c r="I525" s="632"/>
      <c r="J525" s="249" t="s">
        <v>832</v>
      </c>
      <c r="P525" s="1"/>
    </row>
    <row r="526" spans="2:16" ht="29" hidden="1" x14ac:dyDescent="0.35">
      <c r="B526" s="124"/>
      <c r="C526" s="633" t="s">
        <v>1582</v>
      </c>
      <c r="D526" s="254">
        <v>44081</v>
      </c>
      <c r="E526" s="255" t="s">
        <v>1583</v>
      </c>
      <c r="F526" s="248">
        <v>44082</v>
      </c>
      <c r="G526" s="248">
        <f>Table1[[#This Row],[Start Date]]</f>
        <v>44082</v>
      </c>
      <c r="H526" s="257"/>
      <c r="I526" s="632"/>
      <c r="J526" s="249" t="s">
        <v>1584</v>
      </c>
      <c r="P526" s="1"/>
    </row>
    <row r="527" spans="2:16" ht="14.5" hidden="1" x14ac:dyDescent="0.35">
      <c r="B527" s="124"/>
      <c r="C527" s="646" t="s">
        <v>1362</v>
      </c>
      <c r="D527" s="254">
        <v>44081</v>
      </c>
      <c r="E527" s="255" t="s">
        <v>418</v>
      </c>
      <c r="F527" s="248">
        <v>44083</v>
      </c>
      <c r="G527" s="248">
        <f>Table1[[#This Row],[Start Date]]</f>
        <v>44083</v>
      </c>
      <c r="H527" s="257"/>
      <c r="I527" s="632"/>
      <c r="J527" s="249" t="str">
        <f>Table1[[#This Row],[Routine Activities (PM/ PMCAL, CM, Genba, Isotanker, Material Readiness, Sampling)]]</f>
        <v>Methanol top up</v>
      </c>
      <c r="P527" s="1"/>
    </row>
    <row r="528" spans="2:16" ht="29" hidden="1" x14ac:dyDescent="0.35">
      <c r="B528" s="124"/>
      <c r="C528" s="633" t="s">
        <v>1585</v>
      </c>
      <c r="D528" s="254">
        <v>44081</v>
      </c>
      <c r="E528" s="255" t="s">
        <v>1529</v>
      </c>
      <c r="F528" s="248">
        <v>44083</v>
      </c>
      <c r="G528" s="248">
        <f>Table1[[#This Row],[Start Date]]</f>
        <v>44083</v>
      </c>
      <c r="H528" s="257"/>
      <c r="I528" s="632"/>
      <c r="J528" s="249" t="s">
        <v>1586</v>
      </c>
      <c r="P528" s="1"/>
    </row>
    <row r="529" spans="2:16" ht="29" hidden="1" x14ac:dyDescent="0.35">
      <c r="B529" s="124"/>
      <c r="C529" s="633" t="s">
        <v>1587</v>
      </c>
      <c r="D529" s="254">
        <v>44081</v>
      </c>
      <c r="E529" s="255" t="s">
        <v>1579</v>
      </c>
      <c r="F529" s="248">
        <v>44083</v>
      </c>
      <c r="G529" s="248">
        <f>Table1[[#This Row],[Start Date]]</f>
        <v>44083</v>
      </c>
      <c r="H529" s="257"/>
      <c r="I529" s="632"/>
      <c r="J529" s="249" t="s">
        <v>1580</v>
      </c>
      <c r="P529" s="1"/>
    </row>
    <row r="530" spans="2:16" ht="29" hidden="1" x14ac:dyDescent="0.35">
      <c r="B530" s="124"/>
      <c r="C530" s="633" t="s">
        <v>1588</v>
      </c>
      <c r="D530" s="254">
        <v>44081</v>
      </c>
      <c r="E530" s="255" t="s">
        <v>1583</v>
      </c>
      <c r="F530" s="248">
        <v>44083</v>
      </c>
      <c r="G530" s="248">
        <f>Table1[[#This Row],[Start Date]]</f>
        <v>44083</v>
      </c>
      <c r="H530" s="257"/>
      <c r="I530" s="632"/>
      <c r="J530" s="249" t="s">
        <v>1589</v>
      </c>
      <c r="P530" s="1"/>
    </row>
    <row r="531" spans="2:16" ht="58" hidden="1" x14ac:dyDescent="0.35">
      <c r="B531" s="124"/>
      <c r="C531" s="633" t="s">
        <v>1590</v>
      </c>
      <c r="D531" s="254">
        <v>44081</v>
      </c>
      <c r="E531" s="255" t="s">
        <v>1583</v>
      </c>
      <c r="F531" s="248">
        <v>44083</v>
      </c>
      <c r="G531" s="248">
        <f>Table1[[#This Row],[Start Date]]</f>
        <v>44083</v>
      </c>
      <c r="H531" s="257"/>
      <c r="I531" s="632"/>
      <c r="J531" s="249" t="s">
        <v>1591</v>
      </c>
      <c r="P531" s="1"/>
    </row>
    <row r="532" spans="2:16" ht="29" hidden="1" x14ac:dyDescent="0.35">
      <c r="B532" s="124"/>
      <c r="C532" s="633" t="s">
        <v>1592</v>
      </c>
      <c r="D532" s="254">
        <v>44081</v>
      </c>
      <c r="E532" s="255" t="s">
        <v>1583</v>
      </c>
      <c r="F532" s="248">
        <v>44083</v>
      </c>
      <c r="G532" s="248">
        <f>Table1[[#This Row],[Start Date]]</f>
        <v>44083</v>
      </c>
      <c r="H532" s="257"/>
      <c r="I532" s="632"/>
      <c r="J532" s="249" t="s">
        <v>1593</v>
      </c>
      <c r="P532" s="1"/>
    </row>
    <row r="533" spans="2:16" ht="58" hidden="1" x14ac:dyDescent="0.35">
      <c r="B533" s="124"/>
      <c r="C533" s="633" t="s">
        <v>1594</v>
      </c>
      <c r="D533" s="254">
        <v>44081</v>
      </c>
      <c r="E533" s="255" t="s">
        <v>1583</v>
      </c>
      <c r="F533" s="248">
        <v>44084</v>
      </c>
      <c r="G533" s="248">
        <f>Table1[[#This Row],[Start Date]]</f>
        <v>44084</v>
      </c>
      <c r="H533" s="257"/>
      <c r="I533" s="632"/>
      <c r="J533" s="249" t="s">
        <v>1595</v>
      </c>
      <c r="P533" s="1"/>
    </row>
    <row r="534" spans="2:16" ht="43.5" hidden="1" x14ac:dyDescent="0.35">
      <c r="B534" s="124"/>
      <c r="C534" s="646" t="s">
        <v>1596</v>
      </c>
      <c r="D534" s="254">
        <v>44081</v>
      </c>
      <c r="E534" s="255" t="s">
        <v>1000</v>
      </c>
      <c r="F534" s="248">
        <v>44084</v>
      </c>
      <c r="G534" s="248">
        <f>Table1[[#This Row],[Start Date]]</f>
        <v>44084</v>
      </c>
      <c r="H534" s="257"/>
      <c r="I534" s="632"/>
      <c r="J534" s="249" t="str">
        <f>Table1[[#This Row],[Routine Activities (PM/ PMCAL, CM, Genba, Isotanker, Material Readiness, Sampling)]]</f>
        <v>Genba - HOBT sampling feedback, storage conditions and reserve sampling</v>
      </c>
      <c r="P534" s="1"/>
    </row>
    <row r="535" spans="2:16" ht="14.5" hidden="1" x14ac:dyDescent="0.35">
      <c r="B535" s="124"/>
      <c r="C535" s="646" t="s">
        <v>775</v>
      </c>
      <c r="D535" s="254">
        <v>44081</v>
      </c>
      <c r="E535" s="255" t="s">
        <v>418</v>
      </c>
      <c r="F535" s="248">
        <v>44084</v>
      </c>
      <c r="G535" s="248">
        <f>Table1[[#This Row],[Start Date]]</f>
        <v>44084</v>
      </c>
      <c r="H535" s="257"/>
      <c r="I535" s="632"/>
      <c r="J535" s="249" t="str">
        <f>Table1[[#This Row],[Routine Activities (PM/ PMCAL, CM, Genba, Isotanker, Material Readiness, Sampling)]]</f>
        <v>N2 loading</v>
      </c>
      <c r="P535" s="1"/>
    </row>
    <row r="536" spans="2:16" ht="14.5" hidden="1" x14ac:dyDescent="0.35">
      <c r="B536" s="124"/>
      <c r="C536" s="633" t="s">
        <v>777</v>
      </c>
      <c r="D536" s="254">
        <v>44081</v>
      </c>
      <c r="E536" s="255" t="s">
        <v>433</v>
      </c>
      <c r="F536" s="248">
        <v>44085</v>
      </c>
      <c r="G536" s="248">
        <f>Table1[[#This Row],[Start Date]]</f>
        <v>44085</v>
      </c>
      <c r="H536" s="257"/>
      <c r="I536" s="632"/>
      <c r="J536" s="249" t="str">
        <f>Table1[[#This Row],[Routine Activities (PM/ PMCAL, CM, Genba, Isotanker, Material Readiness, Sampling)]]</f>
        <v>Waste offloading - Org</v>
      </c>
      <c r="P536" s="1"/>
    </row>
    <row r="537" spans="2:16" ht="29" hidden="1" x14ac:dyDescent="0.35">
      <c r="B537" s="124"/>
      <c r="C537" s="633" t="s">
        <v>1597</v>
      </c>
      <c r="D537" s="254">
        <v>44081</v>
      </c>
      <c r="E537" s="255" t="s">
        <v>1598</v>
      </c>
      <c r="F537" s="248">
        <v>44085</v>
      </c>
      <c r="G537" s="248">
        <v>44088</v>
      </c>
      <c r="H537" s="257"/>
      <c r="I537" s="632"/>
      <c r="J537" s="249" t="str">
        <f>Table1[[#This Row],[Routine Activities (PM/ PMCAL, CM, Genba, Isotanker, Material Readiness, Sampling)]]</f>
        <v>22kV Switchgear &amp; Transformer PM</v>
      </c>
      <c r="P537" s="1"/>
    </row>
    <row r="538" spans="2:16" ht="29" hidden="1" x14ac:dyDescent="0.35">
      <c r="B538" s="124"/>
      <c r="C538" s="646" t="s">
        <v>1599</v>
      </c>
      <c r="D538" s="254">
        <v>44081</v>
      </c>
      <c r="E538" s="255" t="s">
        <v>1579</v>
      </c>
      <c r="F538" s="248">
        <v>44085</v>
      </c>
      <c r="G538" s="248">
        <f>Table1[[#This Row],[Start Date]]</f>
        <v>44085</v>
      </c>
      <c r="H538" s="257"/>
      <c r="I538" s="632"/>
      <c r="J538" s="249" t="s">
        <v>1580</v>
      </c>
      <c r="P538" s="1"/>
    </row>
    <row r="539" spans="2:16" ht="29" hidden="1" x14ac:dyDescent="0.35">
      <c r="B539" s="124"/>
      <c r="C539" s="646" t="s">
        <v>1600</v>
      </c>
      <c r="D539" s="254">
        <v>44081</v>
      </c>
      <c r="E539" s="255" t="s">
        <v>1601</v>
      </c>
      <c r="F539" s="248">
        <v>44086</v>
      </c>
      <c r="G539" s="248">
        <f>Table1[[#This Row],[Start Date]]</f>
        <v>44086</v>
      </c>
      <c r="H539" s="257"/>
      <c r="I539" s="632"/>
      <c r="J539" s="249" t="s">
        <v>1602</v>
      </c>
      <c r="P539" s="1"/>
    </row>
    <row r="540" spans="2:16" ht="29" hidden="1" x14ac:dyDescent="0.35">
      <c r="B540" s="124"/>
      <c r="C540" s="646" t="s">
        <v>1603</v>
      </c>
      <c r="D540" s="254">
        <v>44088</v>
      </c>
      <c r="E540" s="255" t="s">
        <v>1579</v>
      </c>
      <c r="F540" s="248">
        <v>44088</v>
      </c>
      <c r="G540" s="248">
        <f>Table1[[#This Row],[Start Date]]</f>
        <v>44088</v>
      </c>
      <c r="H540" s="257"/>
      <c r="I540" s="632"/>
      <c r="J540" s="249" t="s">
        <v>1580</v>
      </c>
      <c r="P540" s="1"/>
    </row>
    <row r="541" spans="2:16" ht="29" hidden="1" x14ac:dyDescent="0.35">
      <c r="B541" s="124"/>
      <c r="C541" s="646" t="s">
        <v>1604</v>
      </c>
      <c r="D541" s="254">
        <v>44088</v>
      </c>
      <c r="E541" s="255" t="s">
        <v>785</v>
      </c>
      <c r="F541" s="248">
        <v>44088</v>
      </c>
      <c r="G541" s="248">
        <f>Table1[[#This Row],[Start Date]]</f>
        <v>44088</v>
      </c>
      <c r="H541" s="257"/>
      <c r="I541" s="632"/>
      <c r="J541" s="249" t="str">
        <f>Table1[[#This Row],[Routine Activities (PM/ PMCAL, CM, Genba, Isotanker, Material Readiness, Sampling)]]</f>
        <v>Genba - Kanban improvement</v>
      </c>
      <c r="P541" s="1"/>
    </row>
    <row r="542" spans="2:16" ht="29" hidden="1" x14ac:dyDescent="0.35">
      <c r="B542" s="124"/>
      <c r="C542" s="646" t="s">
        <v>1605</v>
      </c>
      <c r="D542" s="254">
        <v>44088</v>
      </c>
      <c r="E542" s="255" t="s">
        <v>891</v>
      </c>
      <c r="F542" s="248">
        <v>44088</v>
      </c>
      <c r="G542" s="248">
        <f>Table1[[#This Row],[Start Date]]</f>
        <v>44088</v>
      </c>
      <c r="H542" s="257"/>
      <c r="I542" s="632"/>
      <c r="J542" s="249" t="str">
        <f>Table1[[#This Row],[Routine Activities (PM/ PMCAL, CM, Genba, Isotanker, Material Readiness, Sampling)]]</f>
        <v>QoP - TFA dispensing (by 730PM)</v>
      </c>
      <c r="P542" s="1"/>
    </row>
    <row r="543" spans="2:16" ht="29" hidden="1" x14ac:dyDescent="0.35">
      <c r="B543" s="124"/>
      <c r="C543" s="646" t="s">
        <v>1606</v>
      </c>
      <c r="D543" s="254">
        <v>44088</v>
      </c>
      <c r="E543" s="255" t="s">
        <v>418</v>
      </c>
      <c r="F543" s="248">
        <v>44088</v>
      </c>
      <c r="G543" s="248">
        <f>Table1[[#This Row],[Start Date]]</f>
        <v>44088</v>
      </c>
      <c r="H543" s="257"/>
      <c r="I543" s="632"/>
      <c r="J543" s="249" t="str">
        <f>Table1[[#This Row],[Routine Activities (PM/ PMCAL, CM, Genba, Isotanker, Material Readiness, Sampling)]]</f>
        <v>Material Readiness for next batch (14Sep2020 4PM)</v>
      </c>
      <c r="P543" s="1"/>
    </row>
    <row r="544" spans="2:16" ht="29" hidden="1" x14ac:dyDescent="0.35">
      <c r="B544" s="124"/>
      <c r="C544" s="646" t="s">
        <v>1607</v>
      </c>
      <c r="D544" s="254">
        <v>44088</v>
      </c>
      <c r="E544" s="255" t="s">
        <v>1544</v>
      </c>
      <c r="F544" s="248">
        <v>44089</v>
      </c>
      <c r="G544" s="248">
        <f>Table1[[#This Row],[Start Date]]</f>
        <v>44089</v>
      </c>
      <c r="H544" s="257"/>
      <c r="I544" s="632"/>
      <c r="J544" s="249" t="s">
        <v>1608</v>
      </c>
      <c r="P544" s="1"/>
    </row>
    <row r="545" spans="2:16" ht="130.5" hidden="1" x14ac:dyDescent="0.35">
      <c r="B545" s="124"/>
      <c r="C545" s="646" t="s">
        <v>1609</v>
      </c>
      <c r="D545" s="254">
        <v>44088</v>
      </c>
      <c r="E545" s="255" t="s">
        <v>1544</v>
      </c>
      <c r="F545" s="248">
        <v>44089</v>
      </c>
      <c r="G545" s="248">
        <f>Table1[[#This Row],[Start Date]]</f>
        <v>44089</v>
      </c>
      <c r="H545" s="257"/>
      <c r="I545" s="632"/>
      <c r="J545" s="249" t="s">
        <v>1610</v>
      </c>
      <c r="P545" s="1"/>
    </row>
    <row r="546" spans="2:16" ht="29" hidden="1" x14ac:dyDescent="0.35">
      <c r="B546" s="124"/>
      <c r="C546" s="646" t="s">
        <v>1611</v>
      </c>
      <c r="D546" s="254">
        <v>44088</v>
      </c>
      <c r="E546" s="255" t="s">
        <v>1550</v>
      </c>
      <c r="F546" s="248">
        <v>44090</v>
      </c>
      <c r="G546" s="248">
        <f>Table1[[#This Row],[Start Date]]</f>
        <v>44090</v>
      </c>
      <c r="H546" s="257"/>
      <c r="I546" s="632"/>
      <c r="J546" s="249" t="s">
        <v>1074</v>
      </c>
      <c r="P546" s="1"/>
    </row>
    <row r="547" spans="2:16" ht="29" hidden="1" x14ac:dyDescent="0.35">
      <c r="B547" s="124"/>
      <c r="C547" s="646" t="s">
        <v>1612</v>
      </c>
      <c r="D547" s="254">
        <v>44088</v>
      </c>
      <c r="E547" s="255" t="s">
        <v>1550</v>
      </c>
      <c r="F547" s="248">
        <v>44090</v>
      </c>
      <c r="G547" s="248">
        <f>Table1[[#This Row],[Start Date]]</f>
        <v>44090</v>
      </c>
      <c r="H547" s="257"/>
      <c r="I547" s="632"/>
      <c r="J547" s="249" t="s">
        <v>1068</v>
      </c>
      <c r="P547" s="1"/>
    </row>
    <row r="548" spans="2:16" ht="29" hidden="1" x14ac:dyDescent="0.35">
      <c r="B548" s="124"/>
      <c r="C548" s="646" t="s">
        <v>1599</v>
      </c>
      <c r="D548" s="254">
        <v>44088</v>
      </c>
      <c r="E548" s="255" t="s">
        <v>1579</v>
      </c>
      <c r="F548" s="248">
        <v>44090</v>
      </c>
      <c r="G548" s="248">
        <f>Table1[[#This Row],[Start Date]]</f>
        <v>44090</v>
      </c>
      <c r="H548" s="257"/>
      <c r="I548" s="632"/>
      <c r="J548" s="249" t="s">
        <v>1580</v>
      </c>
      <c r="P548" s="1"/>
    </row>
    <row r="549" spans="2:16" ht="29" hidden="1" x14ac:dyDescent="0.35">
      <c r="B549" s="124"/>
      <c r="C549" s="646" t="s">
        <v>1587</v>
      </c>
      <c r="D549" s="254">
        <v>44088</v>
      </c>
      <c r="E549" s="255" t="s">
        <v>1579</v>
      </c>
      <c r="F549" s="248">
        <v>44091</v>
      </c>
      <c r="G549" s="248">
        <f>Table1[[#This Row],[Start Date]]</f>
        <v>44091</v>
      </c>
      <c r="H549" s="257"/>
      <c r="I549" s="632"/>
      <c r="J549" s="249" t="s">
        <v>1580</v>
      </c>
      <c r="P549" s="1"/>
    </row>
    <row r="550" spans="2:16" ht="29" hidden="1" x14ac:dyDescent="0.35">
      <c r="B550" s="124"/>
      <c r="C550" s="646" t="s">
        <v>1613</v>
      </c>
      <c r="D550" s="254">
        <v>44088</v>
      </c>
      <c r="E550" s="255" t="s">
        <v>1614</v>
      </c>
      <c r="F550" s="248">
        <v>44091</v>
      </c>
      <c r="G550" s="248">
        <f>Table1[[#This Row],[Start Date]]</f>
        <v>44091</v>
      </c>
      <c r="H550" s="257"/>
      <c r="I550" s="632"/>
      <c r="J550" s="249" t="s">
        <v>1615</v>
      </c>
      <c r="P550" s="1"/>
    </row>
    <row r="551" spans="2:16" ht="14.5" hidden="1" x14ac:dyDescent="0.35">
      <c r="B551" s="124"/>
      <c r="C551" s="646" t="s">
        <v>775</v>
      </c>
      <c r="D551" s="254">
        <v>44088</v>
      </c>
      <c r="E551" s="255" t="s">
        <v>377</v>
      </c>
      <c r="F551" s="248">
        <v>44091</v>
      </c>
      <c r="G551" s="248">
        <f>Table1[[#This Row],[Start Date]]</f>
        <v>44091</v>
      </c>
      <c r="H551" s="257"/>
      <c r="I551" s="632"/>
      <c r="J551" s="249" t="str">
        <f>Table1[[#This Row],[Routine Activities (PM/ PMCAL, CM, Genba, Isotanker, Material Readiness, Sampling)]]</f>
        <v>N2 loading</v>
      </c>
      <c r="P551" s="1"/>
    </row>
    <row r="552" spans="2:16" ht="58" hidden="1" x14ac:dyDescent="0.35">
      <c r="B552" s="124"/>
      <c r="C552" s="646" t="s">
        <v>1616</v>
      </c>
      <c r="D552" s="254">
        <v>44088</v>
      </c>
      <c r="E552" s="255" t="s">
        <v>1583</v>
      </c>
      <c r="F552" s="248">
        <v>44091</v>
      </c>
      <c r="G552" s="248">
        <f>Table1[[#This Row],[Start Date]]</f>
        <v>44091</v>
      </c>
      <c r="H552" s="257"/>
      <c r="I552" s="632"/>
      <c r="J552" s="249" t="s">
        <v>1617</v>
      </c>
      <c r="P552" s="1"/>
    </row>
    <row r="553" spans="2:16" ht="29" hidden="1" x14ac:dyDescent="0.35">
      <c r="B553" s="124"/>
      <c r="C553" s="646" t="s">
        <v>1618</v>
      </c>
      <c r="D553" s="254">
        <v>44088</v>
      </c>
      <c r="E553" s="255" t="s">
        <v>846</v>
      </c>
      <c r="F553" s="248">
        <v>44091</v>
      </c>
      <c r="G553" s="248">
        <f>Table1[[#This Row],[Start Date]]</f>
        <v>44091</v>
      </c>
      <c r="H553" s="257" t="s">
        <v>340</v>
      </c>
      <c r="I553" s="632"/>
      <c r="J553" s="249" t="str">
        <f>Table1[[#This Row],[Routine Activities (PM/ PMCAL, CM, Genba, Isotanker, Material Readiness, Sampling)]]</f>
        <v>PLC password (FD/ DI/ purified water skid)</v>
      </c>
      <c r="P553" s="1"/>
    </row>
    <row r="554" spans="2:16" ht="43.5" hidden="1" x14ac:dyDescent="0.35">
      <c r="B554" s="124"/>
      <c r="C554" s="646" t="s">
        <v>1619</v>
      </c>
      <c r="D554" s="254">
        <v>44088</v>
      </c>
      <c r="E554" s="255" t="s">
        <v>1583</v>
      </c>
      <c r="F554" s="248">
        <v>44092</v>
      </c>
      <c r="G554" s="248">
        <f>Table1[[#This Row],[Start Date]]</f>
        <v>44092</v>
      </c>
      <c r="H554" s="257"/>
      <c r="I554" s="632"/>
      <c r="J554" s="249" t="s">
        <v>1620</v>
      </c>
      <c r="P554" s="1"/>
    </row>
    <row r="555" spans="2:16" ht="29" hidden="1" x14ac:dyDescent="0.35">
      <c r="B555" s="124"/>
      <c r="C555" s="646" t="s">
        <v>1621</v>
      </c>
      <c r="D555" s="254">
        <v>44088</v>
      </c>
      <c r="E555" s="255" t="s">
        <v>1583</v>
      </c>
      <c r="F555" s="248">
        <v>44092</v>
      </c>
      <c r="G555" s="248">
        <f>Table1[[#This Row],[Start Date]]</f>
        <v>44092</v>
      </c>
      <c r="H555" s="257"/>
      <c r="I555" s="632"/>
      <c r="J555" s="249" t="s">
        <v>1622</v>
      </c>
      <c r="P555" s="1"/>
    </row>
    <row r="556" spans="2:16" ht="43.5" hidden="1" x14ac:dyDescent="0.35">
      <c r="B556" s="124"/>
      <c r="C556" s="646" t="s">
        <v>1623</v>
      </c>
      <c r="D556" s="254">
        <v>44088</v>
      </c>
      <c r="E556" s="255" t="s">
        <v>1544</v>
      </c>
      <c r="F556" s="248">
        <v>44092</v>
      </c>
      <c r="G556" s="248">
        <f>Table1[[#This Row],[Start Date]]</f>
        <v>44092</v>
      </c>
      <c r="H556" s="257"/>
      <c r="I556" s="632"/>
      <c r="J556" s="249" t="s">
        <v>1624</v>
      </c>
      <c r="P556" s="1"/>
    </row>
    <row r="557" spans="2:16" ht="14.5" hidden="1" x14ac:dyDescent="0.35">
      <c r="B557" s="124"/>
      <c r="C557" s="646" t="s">
        <v>792</v>
      </c>
      <c r="D557" s="254">
        <v>44081</v>
      </c>
      <c r="E557" s="255" t="s">
        <v>433</v>
      </c>
      <c r="F557" s="248"/>
      <c r="G557" s="248">
        <f>Table1[[#This Row],[Start Date]]</f>
        <v>0</v>
      </c>
      <c r="H557" s="257" t="s">
        <v>462</v>
      </c>
      <c r="I557" s="632"/>
      <c r="J557" s="249" t="str">
        <f>Table1[[#This Row],[Routine Activities (PM/ PMCAL, CM, Genba, Isotanker, Material Readiness, Sampling)]]</f>
        <v>Waste offloading - Aq</v>
      </c>
      <c r="P557" s="1"/>
    </row>
    <row r="558" spans="2:16" ht="14.5" hidden="1" x14ac:dyDescent="0.35">
      <c r="B558" s="124"/>
      <c r="C558" s="646" t="s">
        <v>1625</v>
      </c>
      <c r="D558" s="254">
        <v>44081</v>
      </c>
      <c r="E558" s="255" t="s">
        <v>891</v>
      </c>
      <c r="F558" s="248"/>
      <c r="G558" s="248">
        <f>Table1[[#This Row],[Start Date]]</f>
        <v>0</v>
      </c>
      <c r="H558" s="257" t="s">
        <v>340</v>
      </c>
      <c r="I558" s="632"/>
      <c r="J558" s="249" t="str">
        <f>Table1[[#This Row],[Routine Activities (PM/ PMCAL, CM, Genba, Isotanker, Material Readiness, Sampling)]]</f>
        <v>QoP - TBC</v>
      </c>
      <c r="P558" s="1"/>
    </row>
    <row r="559" spans="2:16" ht="29" hidden="1" x14ac:dyDescent="0.35">
      <c r="B559" s="124"/>
      <c r="C559" s="646" t="s">
        <v>1626</v>
      </c>
      <c r="D559" s="254">
        <v>44081</v>
      </c>
      <c r="E559" s="255" t="s">
        <v>418</v>
      </c>
      <c r="F559" s="248"/>
      <c r="G559" s="248">
        <f>Table1[[#This Row],[Start Date]]</f>
        <v>0</v>
      </c>
      <c r="H559" s="257" t="s">
        <v>340</v>
      </c>
      <c r="I559" s="632"/>
      <c r="J559" s="249" t="str">
        <f>Table1[[#This Row],[Routine Activities (PM/ PMCAL, CM, Genba, Isotanker, Material Readiness, Sampling)]]</f>
        <v xml:space="preserve">Material Readiness for A3 cleaning </v>
      </c>
      <c r="P559" s="1"/>
    </row>
    <row r="560" spans="2:16" ht="29" hidden="1" x14ac:dyDescent="0.35">
      <c r="B560" s="124"/>
      <c r="C560" s="646" t="s">
        <v>1627</v>
      </c>
      <c r="D560" s="254">
        <v>44095</v>
      </c>
      <c r="E560" s="255" t="s">
        <v>433</v>
      </c>
      <c r="F560" s="248">
        <v>44095</v>
      </c>
      <c r="G560" s="248">
        <f>Table1[[#This Row],[Start Date]]</f>
        <v>44095</v>
      </c>
      <c r="H560" s="257" t="s">
        <v>340</v>
      </c>
      <c r="I560" s="632"/>
      <c r="J560" s="249" t="str">
        <f>Table1[[#This Row],[Routine Activities (PM/ PMCAL, CM, Genba, Isotanker, Material Readiness, Sampling)]]</f>
        <v>Waste offloading - Org (Mon)</v>
      </c>
      <c r="P560" s="1"/>
    </row>
    <row r="561" spans="2:16" ht="14.5" hidden="1" x14ac:dyDescent="0.35">
      <c r="B561" s="124"/>
      <c r="C561" s="646" t="s">
        <v>792</v>
      </c>
      <c r="D561" s="254">
        <v>44088</v>
      </c>
      <c r="E561" s="255" t="s">
        <v>433</v>
      </c>
      <c r="F561" s="248"/>
      <c r="G561" s="248">
        <f>Table1[[#This Row],[Start Date]]</f>
        <v>0</v>
      </c>
      <c r="H561" s="257" t="s">
        <v>462</v>
      </c>
      <c r="I561" s="632"/>
      <c r="J561" s="249" t="str">
        <f>Table1[[#This Row],[Routine Activities (PM/ PMCAL, CM, Genba, Isotanker, Material Readiness, Sampling)]]</f>
        <v>Waste offloading - Aq</v>
      </c>
      <c r="P561" s="1"/>
    </row>
    <row r="562" spans="2:16" ht="14.5" hidden="1" x14ac:dyDescent="0.35">
      <c r="B562" s="124"/>
      <c r="C562" s="646" t="s">
        <v>777</v>
      </c>
      <c r="D562" s="254">
        <v>44088</v>
      </c>
      <c r="E562" s="255" t="s">
        <v>433</v>
      </c>
      <c r="F562" s="248"/>
      <c r="G562" s="248">
        <f>Table1[[#This Row],[Start Date]]</f>
        <v>0</v>
      </c>
      <c r="H562" s="257" t="s">
        <v>462</v>
      </c>
      <c r="I562" s="632"/>
      <c r="J562" s="249" t="str">
        <f>Table1[[#This Row],[Routine Activities (PM/ PMCAL, CM, Genba, Isotanker, Material Readiness, Sampling)]]</f>
        <v>Waste offloading - Org</v>
      </c>
      <c r="P562" s="1"/>
    </row>
    <row r="563" spans="2:16" ht="29" hidden="1" x14ac:dyDescent="0.35">
      <c r="B563" s="124"/>
      <c r="C563" s="646" t="s">
        <v>1628</v>
      </c>
      <c r="D563" s="254">
        <v>44095</v>
      </c>
      <c r="E563" s="255" t="s">
        <v>418</v>
      </c>
      <c r="F563" s="248">
        <v>44096</v>
      </c>
      <c r="G563" s="248">
        <f>Table1[[#This Row],[Start Date]]</f>
        <v>44096</v>
      </c>
      <c r="H563" s="257" t="s">
        <v>340</v>
      </c>
      <c r="I563" s="632"/>
      <c r="J563" s="249" t="str">
        <f>Table1[[#This Row],[Routine Activities (PM/ PMCAL, CM, Genba, Isotanker, Material Readiness, Sampling)]]</f>
        <v>Solvent loading - Methanol (Tues)</v>
      </c>
      <c r="P563" s="1"/>
    </row>
    <row r="564" spans="2:16" ht="14.5" hidden="1" x14ac:dyDescent="0.35">
      <c r="B564" s="124"/>
      <c r="C564" s="646" t="s">
        <v>837</v>
      </c>
      <c r="D564" s="254">
        <v>44088</v>
      </c>
      <c r="E564" s="255" t="s">
        <v>339</v>
      </c>
      <c r="F564" s="248"/>
      <c r="G564" s="248">
        <f>Table1[[#This Row],[Start Date]]</f>
        <v>0</v>
      </c>
      <c r="H564" s="257" t="s">
        <v>340</v>
      </c>
      <c r="I564" s="632"/>
      <c r="J564" s="249" t="str">
        <f>Table1[[#This Row],[Routine Activities (PM/ PMCAL, CM, Genba, Isotanker, Material Readiness, Sampling)]]</f>
        <v>QC Testing Readiness</v>
      </c>
      <c r="P564" s="1"/>
    </row>
    <row r="565" spans="2:16" ht="14.5" hidden="1" x14ac:dyDescent="0.35">
      <c r="B565" s="124"/>
      <c r="C565" s="646" t="s">
        <v>792</v>
      </c>
      <c r="D565" s="254">
        <v>44095</v>
      </c>
      <c r="E565" s="255" t="s">
        <v>433</v>
      </c>
      <c r="F565" s="248">
        <v>44097</v>
      </c>
      <c r="G565" s="248">
        <f>Table1[[#This Row],[Start Date]]</f>
        <v>44097</v>
      </c>
      <c r="H565" s="257"/>
      <c r="I565" s="632"/>
      <c r="J565" s="249" t="str">
        <f>Table1[[#This Row],[Routine Activities (PM/ PMCAL, CM, Genba, Isotanker, Material Readiness, Sampling)]]</f>
        <v>Waste offloading - Aq</v>
      </c>
      <c r="P565" s="1"/>
    </row>
    <row r="566" spans="2:16" ht="14.5" hidden="1" x14ac:dyDescent="0.35">
      <c r="B566" s="124"/>
      <c r="C566" s="646" t="s">
        <v>775</v>
      </c>
      <c r="D566" s="254">
        <v>44095</v>
      </c>
      <c r="E566" s="255" t="s">
        <v>418</v>
      </c>
      <c r="F566" s="248">
        <v>44098</v>
      </c>
      <c r="G566" s="248">
        <f>Table1[[#This Row],[Start Date]]</f>
        <v>44098</v>
      </c>
      <c r="H566" s="257"/>
      <c r="I566" s="632"/>
      <c r="J566" s="249" t="str">
        <f>Table1[[#This Row],[Routine Activities (PM/ PMCAL, CM, Genba, Isotanker, Material Readiness, Sampling)]]</f>
        <v>N2 loading</v>
      </c>
      <c r="P566" s="1"/>
    </row>
    <row r="567" spans="2:16" ht="29" hidden="1" x14ac:dyDescent="0.35">
      <c r="B567" s="124"/>
      <c r="C567" s="646" t="s">
        <v>1629</v>
      </c>
      <c r="D567" s="254">
        <v>44102</v>
      </c>
      <c r="E567" s="255" t="s">
        <v>418</v>
      </c>
      <c r="F567" s="248">
        <v>44098</v>
      </c>
      <c r="G567" s="248">
        <f>Table1[[#This Row],[Start Date]]</f>
        <v>44098</v>
      </c>
      <c r="H567" s="257"/>
      <c r="I567" s="632"/>
      <c r="J567" s="249" t="str">
        <f>Table1[[#This Row],[Routine Activities (PM/ PMCAL, CM, Genba, Isotanker, Material Readiness, Sampling)]]</f>
        <v>Material Readiness for Step C</v>
      </c>
      <c r="P567" s="1"/>
    </row>
    <row r="568" spans="2:16" ht="29" hidden="1" x14ac:dyDescent="0.35">
      <c r="B568" s="124"/>
      <c r="C568" s="646" t="s">
        <v>1543</v>
      </c>
      <c r="D568" s="254">
        <v>44095</v>
      </c>
      <c r="E568" s="255" t="s">
        <v>1544</v>
      </c>
      <c r="F568" s="248">
        <v>44099</v>
      </c>
      <c r="G568" s="248">
        <f>Table1[[#This Row],[Start Date]]</f>
        <v>44099</v>
      </c>
      <c r="H568" s="257"/>
      <c r="I568" s="632"/>
      <c r="J568" s="249" t="s">
        <v>1630</v>
      </c>
      <c r="P568" s="1"/>
    </row>
    <row r="569" spans="2:16" ht="14.5" hidden="1" x14ac:dyDescent="0.35">
      <c r="B569" s="124"/>
      <c r="C569" s="646" t="s">
        <v>777</v>
      </c>
      <c r="D569" s="254">
        <v>44095</v>
      </c>
      <c r="E569" s="255"/>
      <c r="F569" s="248">
        <v>44099</v>
      </c>
      <c r="G569" s="248">
        <f>Table1[[#This Row],[Start Date]]</f>
        <v>44099</v>
      </c>
      <c r="H569" s="257"/>
      <c r="I569" s="632"/>
      <c r="J569" s="249" t="str">
        <f>Table1[[#This Row],[Routine Activities (PM/ PMCAL, CM, Genba, Isotanker, Material Readiness, Sampling)]]</f>
        <v>Waste offloading - Org</v>
      </c>
      <c r="P569" s="1"/>
    </row>
    <row r="570" spans="2:16" ht="43.5" hidden="1" x14ac:dyDescent="0.35">
      <c r="B570" s="124"/>
      <c r="C570" s="646" t="s">
        <v>1631</v>
      </c>
      <c r="D570" s="254">
        <v>44095</v>
      </c>
      <c r="E570" s="255" t="s">
        <v>1524</v>
      </c>
      <c r="F570" s="248">
        <v>44100</v>
      </c>
      <c r="G570" s="248">
        <f>Table1[[#This Row],[Start Date]]</f>
        <v>44100</v>
      </c>
      <c r="H570" s="257"/>
      <c r="I570" s="632"/>
      <c r="J570" s="249" t="s">
        <v>1632</v>
      </c>
      <c r="P570" s="1"/>
    </row>
    <row r="571" spans="2:16" ht="14.5" hidden="1" x14ac:dyDescent="0.35">
      <c r="B571" s="124"/>
      <c r="C571" s="646" t="s">
        <v>1633</v>
      </c>
      <c r="D571" s="254">
        <v>44102</v>
      </c>
      <c r="E571" s="255" t="s">
        <v>891</v>
      </c>
      <c r="F571" s="248">
        <v>44102</v>
      </c>
      <c r="G571" s="248">
        <f>Table1[[#This Row],[Start Date]]</f>
        <v>44102</v>
      </c>
      <c r="H571" s="257"/>
      <c r="I571" s="632"/>
      <c r="J571" s="249" t="str">
        <f>Table1[[#This Row],[Routine Activities (PM/ PMCAL, CM, Genba, Isotanker, Material Readiness, Sampling)]]</f>
        <v>QoP - Solid charging</v>
      </c>
      <c r="P571" s="1"/>
    </row>
    <row r="572" spans="2:16" ht="14.15" hidden="1" customHeight="1" x14ac:dyDescent="0.35">
      <c r="B572" s="124"/>
      <c r="C572" s="646" t="s">
        <v>1634</v>
      </c>
      <c r="D572" s="254">
        <v>44102</v>
      </c>
      <c r="E572" s="255" t="s">
        <v>1544</v>
      </c>
      <c r="F572" s="248">
        <v>44103</v>
      </c>
      <c r="G572" s="248">
        <f>Table1[[#This Row],[Start Date]]</f>
        <v>44103</v>
      </c>
      <c r="H572" s="257"/>
      <c r="I572" s="632"/>
      <c r="J572" s="249" t="s">
        <v>1635</v>
      </c>
      <c r="P572" s="1"/>
    </row>
    <row r="573" spans="2:16" ht="29" hidden="1" x14ac:dyDescent="0.35">
      <c r="B573" s="124"/>
      <c r="C573" s="646" t="s">
        <v>1636</v>
      </c>
      <c r="D573" s="254">
        <v>44102</v>
      </c>
      <c r="E573" s="255" t="s">
        <v>1637</v>
      </c>
      <c r="F573" s="248">
        <v>44103</v>
      </c>
      <c r="G573" s="248">
        <f>Table1[[#This Row],[Start Date]]</f>
        <v>44103</v>
      </c>
      <c r="H573" s="257"/>
      <c r="I573" s="632"/>
      <c r="J573" s="249" t="str">
        <f>Table1[[#This Row],[Routine Activities (PM/ PMCAL, CM, Genba, Isotanker, Material Readiness, Sampling)]]</f>
        <v xml:space="preserve">Genba - Lab cylinder expansion </v>
      </c>
      <c r="P573" s="1"/>
    </row>
    <row r="574" spans="2:16" ht="14.5" hidden="1" x14ac:dyDescent="0.35">
      <c r="B574" s="124"/>
      <c r="C574" s="646" t="s">
        <v>775</v>
      </c>
      <c r="D574" s="254">
        <v>44102</v>
      </c>
      <c r="E574" s="255" t="s">
        <v>418</v>
      </c>
      <c r="F574" s="248">
        <v>44105</v>
      </c>
      <c r="G574" s="248">
        <f>Table1[[#This Row],[Start Date]]</f>
        <v>44105</v>
      </c>
      <c r="H574" s="257"/>
      <c r="I574" s="632"/>
      <c r="J574" s="249" t="str">
        <f>Table1[[#This Row],[Routine Activities (PM/ PMCAL, CM, Genba, Isotanker, Material Readiness, Sampling)]]</f>
        <v>N2 loading</v>
      </c>
      <c r="P574" s="1"/>
    </row>
    <row r="575" spans="2:16" ht="29" hidden="1" x14ac:dyDescent="0.35">
      <c r="B575" s="124"/>
      <c r="C575" s="646" t="s">
        <v>1638</v>
      </c>
      <c r="D575" s="254">
        <v>44095</v>
      </c>
      <c r="E575" s="255" t="s">
        <v>418</v>
      </c>
      <c r="F575" s="248"/>
      <c r="G575" s="248">
        <f>Table1[[#This Row],[Start Date]]</f>
        <v>0</v>
      </c>
      <c r="H575" s="257" t="s">
        <v>340</v>
      </c>
      <c r="I575" s="632"/>
      <c r="J575" s="249" t="str">
        <f>Table1[[#This Row],[Routine Activities (PM/ PMCAL, CM, Genba, Isotanker, Material Readiness, Sampling)]]</f>
        <v>Material Readiness for cleaning (acetone/ EA drum)</v>
      </c>
      <c r="P575" s="1"/>
    </row>
    <row r="576" spans="2:16" ht="14.5" hidden="1" x14ac:dyDescent="0.35">
      <c r="B576" s="124"/>
      <c r="C576" s="646" t="s">
        <v>1639</v>
      </c>
      <c r="D576" s="254">
        <v>44095</v>
      </c>
      <c r="E576" s="255" t="s">
        <v>785</v>
      </c>
      <c r="F576" s="248"/>
      <c r="G576" s="248">
        <f>Table1[[#This Row],[Start Date]]</f>
        <v>0</v>
      </c>
      <c r="H576" s="257" t="s">
        <v>340</v>
      </c>
      <c r="I576" s="632"/>
      <c r="J576" s="249" t="str">
        <f>Table1[[#This Row],[Routine Activities (PM/ PMCAL, CM, Genba, Isotanker, Material Readiness, Sampling)]]</f>
        <v xml:space="preserve">Genba - TBC </v>
      </c>
      <c r="P576" s="1"/>
    </row>
    <row r="577" spans="2:16" ht="29" hidden="1" x14ac:dyDescent="0.35">
      <c r="B577" s="124"/>
      <c r="C577" s="646" t="s">
        <v>1089</v>
      </c>
      <c r="D577" s="254">
        <v>44095</v>
      </c>
      <c r="E577" s="255" t="s">
        <v>891</v>
      </c>
      <c r="F577" s="248"/>
      <c r="G577" s="248">
        <f>Table1[[#This Row],[Start Date]]</f>
        <v>0</v>
      </c>
      <c r="H577" s="257" t="s">
        <v>340</v>
      </c>
      <c r="I577" s="632"/>
      <c r="J577" s="249" t="str">
        <f>Table1[[#This Row],[Routine Activities (PM/ PMCAL, CM, Genba, Isotanker, Material Readiness, Sampling)]]</f>
        <v>QoP - Area Walkdown (Open dates)</v>
      </c>
      <c r="P577" s="1"/>
    </row>
    <row r="578" spans="2:16" ht="14.5" hidden="1" x14ac:dyDescent="0.35">
      <c r="B578" s="124"/>
      <c r="C578" s="646" t="s">
        <v>1383</v>
      </c>
      <c r="D578" s="254">
        <v>44102</v>
      </c>
      <c r="E578" s="255" t="s">
        <v>433</v>
      </c>
      <c r="F578" s="248"/>
      <c r="G578" s="248">
        <f>Table1[[#This Row],[Start Date]]</f>
        <v>0</v>
      </c>
      <c r="H578" s="257" t="s">
        <v>462</v>
      </c>
      <c r="I578" s="632"/>
      <c r="J578" s="249" t="str">
        <f>Table1[[#This Row],[Routine Activities (PM/ PMCAL, CM, Genba, Isotanker, Material Readiness, Sampling)]]</f>
        <v xml:space="preserve">Waste offloading - Aq </v>
      </c>
      <c r="P578" s="1"/>
    </row>
    <row r="579" spans="2:16" ht="14.5" hidden="1" x14ac:dyDescent="0.35">
      <c r="B579" s="124"/>
      <c r="C579" s="646" t="s">
        <v>1099</v>
      </c>
      <c r="D579" s="254">
        <v>44102</v>
      </c>
      <c r="E579" s="255" t="s">
        <v>433</v>
      </c>
      <c r="F579" s="248"/>
      <c r="G579" s="248">
        <f>Table1[[#This Row],[Start Date]]</f>
        <v>0</v>
      </c>
      <c r="H579" s="257" t="s">
        <v>462</v>
      </c>
      <c r="I579" s="632"/>
      <c r="J579" s="249" t="str">
        <f>Table1[[#This Row],[Routine Activities (PM/ PMCAL, CM, Genba, Isotanker, Material Readiness, Sampling)]]</f>
        <v xml:space="preserve">Waste offloading - Org </v>
      </c>
      <c r="P579" s="1"/>
    </row>
    <row r="580" spans="2:16" ht="14.5" hidden="1" x14ac:dyDescent="0.35">
      <c r="B580" s="124"/>
      <c r="C580" s="646" t="s">
        <v>1640</v>
      </c>
      <c r="D580" s="254">
        <v>44109</v>
      </c>
      <c r="E580" s="255" t="s">
        <v>377</v>
      </c>
      <c r="F580" s="248">
        <v>44111</v>
      </c>
      <c r="G580" s="248">
        <f>Table1[[#This Row],[Start Date]]</f>
        <v>44111</v>
      </c>
      <c r="H580" s="257"/>
      <c r="I580" s="632"/>
      <c r="J580" s="249" t="str">
        <f>Table1[[#This Row],[Routine Activities (PM/ PMCAL, CM, Genba, Isotanker, Material Readiness, Sampling)]]</f>
        <v xml:space="preserve">Solvent loading - EA </v>
      </c>
      <c r="P580" s="1"/>
    </row>
    <row r="581" spans="2:16" ht="14.5" hidden="1" x14ac:dyDescent="0.35">
      <c r="B581" s="124"/>
      <c r="C581" s="646" t="s">
        <v>1340</v>
      </c>
      <c r="D581" s="254">
        <v>44102</v>
      </c>
      <c r="E581" s="255" t="s">
        <v>418</v>
      </c>
      <c r="F581" s="248"/>
      <c r="G581" s="248">
        <f>Table1[[#This Row],[Start Date]]</f>
        <v>0</v>
      </c>
      <c r="H581" s="257" t="s">
        <v>462</v>
      </c>
      <c r="I581" s="632"/>
      <c r="J581" s="249" t="str">
        <f>Table1[[#This Row],[Routine Activities (PM/ PMCAL, CM, Genba, Isotanker, Material Readiness, Sampling)]]</f>
        <v>Solvent loading</v>
      </c>
      <c r="P581" s="1"/>
    </row>
    <row r="582" spans="2:16" ht="14.5" hidden="1" x14ac:dyDescent="0.35">
      <c r="B582" s="124"/>
      <c r="C582" s="646" t="s">
        <v>775</v>
      </c>
      <c r="D582" s="254">
        <v>44109</v>
      </c>
      <c r="E582" s="255" t="s">
        <v>377</v>
      </c>
      <c r="F582" s="248">
        <v>44112</v>
      </c>
      <c r="G582" s="248">
        <f>Table1[[#This Row],[Start Date]]</f>
        <v>44112</v>
      </c>
      <c r="H582" s="257"/>
      <c r="I582" s="632"/>
      <c r="J582" s="249" t="str">
        <f>Table1[[#This Row],[Routine Activities (PM/ PMCAL, CM, Genba, Isotanker, Material Readiness, Sampling)]]</f>
        <v>N2 loading</v>
      </c>
      <c r="P582" s="1"/>
    </row>
    <row r="583" spans="2:16" ht="14.5" hidden="1" x14ac:dyDescent="0.35">
      <c r="B583" s="124"/>
      <c r="C583" s="646" t="s">
        <v>837</v>
      </c>
      <c r="D583" s="254">
        <v>44102</v>
      </c>
      <c r="E583" s="255"/>
      <c r="F583" s="248"/>
      <c r="G583" s="248">
        <f>Table1[[#This Row],[Start Date]]</f>
        <v>0</v>
      </c>
      <c r="H583" s="257" t="s">
        <v>340</v>
      </c>
      <c r="I583" s="632"/>
      <c r="J583" s="249" t="str">
        <f>Table1[[#This Row],[Routine Activities (PM/ PMCAL, CM, Genba, Isotanker, Material Readiness, Sampling)]]</f>
        <v>QC Testing Readiness</v>
      </c>
      <c r="P583" s="1"/>
    </row>
    <row r="584" spans="2:16" ht="29" hidden="1" x14ac:dyDescent="0.35">
      <c r="B584" s="124"/>
      <c r="C584" s="646" t="s">
        <v>1641</v>
      </c>
      <c r="D584" s="254">
        <v>44109</v>
      </c>
      <c r="E584" s="255" t="s">
        <v>1544</v>
      </c>
      <c r="F584" s="248">
        <v>44113</v>
      </c>
      <c r="G584" s="248">
        <f>Table1[[#This Row],[Start Date]]</f>
        <v>44113</v>
      </c>
      <c r="H584" s="257"/>
      <c r="I584" s="632"/>
      <c r="J584" s="249" t="s">
        <v>1642</v>
      </c>
      <c r="P584" s="1"/>
    </row>
    <row r="585" spans="2:16" ht="58" hidden="1" x14ac:dyDescent="0.35">
      <c r="B585" s="124"/>
      <c r="C585" s="646" t="s">
        <v>1643</v>
      </c>
      <c r="D585" s="254">
        <v>44109</v>
      </c>
      <c r="E585" s="255" t="s">
        <v>1644</v>
      </c>
      <c r="F585" s="248">
        <v>44114</v>
      </c>
      <c r="G585" s="248">
        <f>Table1[[#This Row],[Start Date]]</f>
        <v>44114</v>
      </c>
      <c r="H585" s="257"/>
      <c r="I585" s="632"/>
      <c r="J585" s="249" t="s">
        <v>1645</v>
      </c>
      <c r="P585" s="1"/>
    </row>
    <row r="586" spans="2:16" ht="87" hidden="1" x14ac:dyDescent="0.35">
      <c r="B586" s="124"/>
      <c r="C586" s="646" t="s">
        <v>1646</v>
      </c>
      <c r="D586" s="254">
        <v>44109</v>
      </c>
      <c r="E586" s="255" t="s">
        <v>1538</v>
      </c>
      <c r="F586" s="248">
        <v>44115</v>
      </c>
      <c r="G586" s="248">
        <f>Table1[[#This Row],[Start Date]]</f>
        <v>44115</v>
      </c>
      <c r="H586" s="257"/>
      <c r="I586" s="632"/>
      <c r="J586" s="249" t="s">
        <v>1647</v>
      </c>
      <c r="P586" s="1"/>
    </row>
    <row r="587" spans="2:16" ht="87" hidden="1" x14ac:dyDescent="0.35">
      <c r="B587" s="124"/>
      <c r="C587" s="646" t="s">
        <v>1648</v>
      </c>
      <c r="D587" s="254">
        <v>44109</v>
      </c>
      <c r="E587" s="255" t="s">
        <v>1538</v>
      </c>
      <c r="F587" s="248">
        <v>44115</v>
      </c>
      <c r="G587" s="248">
        <f>Table1[[#This Row],[Start Date]]</f>
        <v>44115</v>
      </c>
      <c r="H587" s="257"/>
      <c r="I587" s="632"/>
      <c r="J587" s="249" t="s">
        <v>1649</v>
      </c>
      <c r="P587" s="1"/>
    </row>
    <row r="588" spans="2:16" ht="58" hidden="1" x14ac:dyDescent="0.35">
      <c r="B588" s="124"/>
      <c r="C588" s="646" t="s">
        <v>1650</v>
      </c>
      <c r="D588" s="254">
        <v>44109</v>
      </c>
      <c r="E588" s="255" t="s">
        <v>1538</v>
      </c>
      <c r="F588" s="248">
        <v>44115</v>
      </c>
      <c r="G588" s="248">
        <f>Table1[[#This Row],[Start Date]]</f>
        <v>44115</v>
      </c>
      <c r="H588" s="257"/>
      <c r="I588" s="632"/>
      <c r="J588" s="249" t="s">
        <v>1651</v>
      </c>
      <c r="P588" s="1"/>
    </row>
    <row r="589" spans="2:16" ht="72.5" hidden="1" x14ac:dyDescent="0.35">
      <c r="B589" s="124"/>
      <c r="C589" s="646" t="s">
        <v>1652</v>
      </c>
      <c r="D589" s="254">
        <v>44116</v>
      </c>
      <c r="E589" s="255" t="s">
        <v>1544</v>
      </c>
      <c r="F589" s="248">
        <v>44116</v>
      </c>
      <c r="G589" s="248">
        <f>Table1[[#This Row],[Start Date]]</f>
        <v>44116</v>
      </c>
      <c r="H589" s="257"/>
      <c r="I589" s="632"/>
      <c r="J589" s="249" t="s">
        <v>1653</v>
      </c>
      <c r="P589" s="1"/>
    </row>
    <row r="590" spans="2:16" ht="29" hidden="1" x14ac:dyDescent="0.35">
      <c r="B590" s="124"/>
      <c r="C590" s="646" t="s">
        <v>1654</v>
      </c>
      <c r="D590" s="254">
        <v>44116</v>
      </c>
      <c r="E590" s="255" t="s">
        <v>1655</v>
      </c>
      <c r="F590" s="248">
        <v>44116</v>
      </c>
      <c r="G590" s="248">
        <f>Table1[[#This Row],[Start Date]]</f>
        <v>44116</v>
      </c>
      <c r="H590" s="257"/>
      <c r="I590" s="632"/>
      <c r="J590" s="249" t="s">
        <v>1370</v>
      </c>
      <c r="P590" s="1"/>
    </row>
    <row r="591" spans="2:16" ht="29" hidden="1" x14ac:dyDescent="0.35">
      <c r="B591" s="124"/>
      <c r="C591" s="646" t="s">
        <v>1656</v>
      </c>
      <c r="D591" s="254">
        <v>44116</v>
      </c>
      <c r="E591" s="255" t="s">
        <v>1538</v>
      </c>
      <c r="F591" s="248">
        <v>44116</v>
      </c>
      <c r="G591" s="248">
        <f>Table1[[#This Row],[Start Date]]</f>
        <v>44116</v>
      </c>
      <c r="H591" s="257"/>
      <c r="I591" s="632"/>
      <c r="J591" s="249" t="s">
        <v>1657</v>
      </c>
      <c r="P591" s="1"/>
    </row>
    <row r="592" spans="2:16" ht="29" hidden="1" x14ac:dyDescent="0.35">
      <c r="B592" s="124"/>
      <c r="C592" s="646" t="s">
        <v>1409</v>
      </c>
      <c r="D592" s="254">
        <v>44109</v>
      </c>
      <c r="E592" s="255" t="s">
        <v>433</v>
      </c>
      <c r="F592" s="248"/>
      <c r="G592" s="248">
        <f>Table1[[#This Row],[Start Date]]</f>
        <v>0</v>
      </c>
      <c r="H592" s="257" t="s">
        <v>462</v>
      </c>
      <c r="I592" s="632"/>
      <c r="J592" s="249" t="str">
        <f>Table1[[#This Row],[Routine Activities (PM/ PMCAL, CM, Genba, Isotanker, Material Readiness, Sampling)]]</f>
        <v>Waste offloading - Aq (not req)</v>
      </c>
      <c r="P592" s="1"/>
    </row>
    <row r="593" spans="2:16" ht="29" hidden="1" x14ac:dyDescent="0.35">
      <c r="B593" s="124"/>
      <c r="C593" s="646" t="s">
        <v>1658</v>
      </c>
      <c r="D593" s="254">
        <v>44109</v>
      </c>
      <c r="E593" s="255" t="s">
        <v>433</v>
      </c>
      <c r="F593" s="248"/>
      <c r="G593" s="248">
        <f>Table1[[#This Row],[Start Date]]</f>
        <v>0</v>
      </c>
      <c r="H593" s="257" t="s">
        <v>462</v>
      </c>
      <c r="I593" s="632"/>
      <c r="J593" s="249" t="str">
        <f>Table1[[#This Row],[Routine Activities (PM/ PMCAL, CM, Genba, Isotanker, Material Readiness, Sampling)]]</f>
        <v>Waste offloading - Org (not req)</v>
      </c>
      <c r="P593" s="1"/>
    </row>
    <row r="594" spans="2:16" ht="29" hidden="1" x14ac:dyDescent="0.35">
      <c r="B594" s="124"/>
      <c r="C594" s="646" t="s">
        <v>1659</v>
      </c>
      <c r="D594" s="254">
        <v>44116</v>
      </c>
      <c r="E594" s="255" t="s">
        <v>1529</v>
      </c>
      <c r="F594" s="248">
        <v>44118</v>
      </c>
      <c r="G594" s="248">
        <f>Table1[[#This Row],[Start Date]]</f>
        <v>44118</v>
      </c>
      <c r="H594" s="257"/>
      <c r="I594" s="632"/>
      <c r="J594" s="249" t="s">
        <v>1660</v>
      </c>
      <c r="P594" s="1"/>
    </row>
    <row r="595" spans="2:16" ht="130.5" hidden="1" x14ac:dyDescent="0.35">
      <c r="B595" s="124"/>
      <c r="C595" s="646" t="s">
        <v>1661</v>
      </c>
      <c r="D595" s="254">
        <v>44116</v>
      </c>
      <c r="E595" s="255" t="s">
        <v>1575</v>
      </c>
      <c r="F595" s="248">
        <v>44118</v>
      </c>
      <c r="G595" s="248">
        <f>Table1[[#This Row],[Start Date]]</f>
        <v>44118</v>
      </c>
      <c r="H595" s="257"/>
      <c r="I595" s="632"/>
      <c r="J595" s="249" t="s">
        <v>1662</v>
      </c>
      <c r="P595" s="1"/>
    </row>
    <row r="596" spans="2:16" ht="14.5" hidden="1" x14ac:dyDescent="0.35">
      <c r="B596" s="124"/>
      <c r="C596" s="646" t="s">
        <v>1663</v>
      </c>
      <c r="D596" s="254">
        <v>44116</v>
      </c>
      <c r="E596" s="255" t="s">
        <v>377</v>
      </c>
      <c r="F596" s="248">
        <v>44118</v>
      </c>
      <c r="G596" s="248">
        <f>Table1[[#This Row],[Start Date]]</f>
        <v>44118</v>
      </c>
      <c r="H596" s="257"/>
      <c r="I596" s="632"/>
      <c r="J596" s="249" t="str">
        <f>Table1[[#This Row],[Routine Activities (PM/ PMCAL, CM, Genba, Isotanker, Material Readiness, Sampling)]]</f>
        <v>N2 loading (Wed)</v>
      </c>
      <c r="P596" s="1"/>
    </row>
    <row r="597" spans="2:16" ht="58" hidden="1" x14ac:dyDescent="0.35">
      <c r="B597" s="124"/>
      <c r="C597" s="646" t="s">
        <v>1664</v>
      </c>
      <c r="D597" s="254">
        <v>44116</v>
      </c>
      <c r="E597" s="255" t="s">
        <v>1655</v>
      </c>
      <c r="F597" s="248">
        <v>44119</v>
      </c>
      <c r="G597" s="248">
        <f>Table1[[#This Row],[Start Date]]</f>
        <v>44119</v>
      </c>
      <c r="H597" s="257"/>
      <c r="I597" s="632"/>
      <c r="J597" s="249" t="s">
        <v>1665</v>
      </c>
      <c r="P597" s="1"/>
    </row>
    <row r="598" spans="2:16" ht="43.5" hidden="1" x14ac:dyDescent="0.35">
      <c r="B598" s="124"/>
      <c r="C598" s="646" t="s">
        <v>1666</v>
      </c>
      <c r="D598" s="254">
        <v>44116</v>
      </c>
      <c r="E598" s="255" t="s">
        <v>1667</v>
      </c>
      <c r="F598" s="248">
        <v>44119</v>
      </c>
      <c r="G598" s="248">
        <f>Table1[[#This Row],[Start Date]]</f>
        <v>44119</v>
      </c>
      <c r="H598" s="257"/>
      <c r="I598" s="632"/>
      <c r="J598" s="249" t="s">
        <v>1246</v>
      </c>
      <c r="P598" s="1"/>
    </row>
    <row r="599" spans="2:16" ht="14.5" hidden="1" x14ac:dyDescent="0.35">
      <c r="B599" s="124"/>
      <c r="C599" s="646" t="s">
        <v>1542</v>
      </c>
      <c r="D599" s="254">
        <v>44116</v>
      </c>
      <c r="E599" s="255" t="s">
        <v>377</v>
      </c>
      <c r="F599" s="248">
        <v>44119</v>
      </c>
      <c r="G599" s="248">
        <f>Table1[[#This Row],[Start Date]]</f>
        <v>44119</v>
      </c>
      <c r="H599" s="257"/>
      <c r="I599" s="632"/>
      <c r="J599" s="249" t="str">
        <f>Table1[[#This Row],[Routine Activities (PM/ PMCAL, CM, Genba, Isotanker, Material Readiness, Sampling)]]</f>
        <v>Solvent loading (MeOH)</v>
      </c>
      <c r="P599" s="1"/>
    </row>
    <row r="600" spans="2:16" ht="58" hidden="1" x14ac:dyDescent="0.35">
      <c r="B600" s="124"/>
      <c r="C600" s="646" t="s">
        <v>1668</v>
      </c>
      <c r="D600" s="254">
        <v>44116</v>
      </c>
      <c r="E600" s="255" t="s">
        <v>1524</v>
      </c>
      <c r="F600" s="248">
        <v>44120</v>
      </c>
      <c r="G600" s="248">
        <f>Table1[[#This Row],[Start Date]]</f>
        <v>44120</v>
      </c>
      <c r="H600" s="257"/>
      <c r="I600" s="632"/>
      <c r="J600" s="249" t="s">
        <v>1669</v>
      </c>
      <c r="P600" s="1"/>
    </row>
    <row r="601" spans="2:16" ht="14.5" hidden="1" x14ac:dyDescent="0.35">
      <c r="B601" s="124"/>
      <c r="C601" s="646" t="s">
        <v>1099</v>
      </c>
      <c r="D601" s="254">
        <v>44116</v>
      </c>
      <c r="E601" s="255" t="s">
        <v>433</v>
      </c>
      <c r="F601" s="248">
        <v>44120</v>
      </c>
      <c r="G601" s="248">
        <f>Table1[[#This Row],[Start Date]]</f>
        <v>44120</v>
      </c>
      <c r="H601" s="257"/>
      <c r="I601" s="632"/>
      <c r="J601" s="249" t="str">
        <f>Table1[[#This Row],[Routine Activities (PM/ PMCAL, CM, Genba, Isotanker, Material Readiness, Sampling)]]</f>
        <v xml:space="preserve">Waste offloading - Org </v>
      </c>
      <c r="P601" s="1"/>
    </row>
    <row r="602" spans="2:16" ht="43.5" hidden="1" x14ac:dyDescent="0.35">
      <c r="B602" s="124"/>
      <c r="C602" s="646" t="s">
        <v>1670</v>
      </c>
      <c r="D602" s="254">
        <v>44123</v>
      </c>
      <c r="E602" s="255" t="s">
        <v>1544</v>
      </c>
      <c r="F602" s="248">
        <v>44123</v>
      </c>
      <c r="G602" s="248">
        <f>Table1[[#This Row],[Start Date]]</f>
        <v>44123</v>
      </c>
      <c r="H602" s="257"/>
      <c r="I602" s="632"/>
      <c r="J602" s="249" t="s">
        <v>1671</v>
      </c>
      <c r="P602" s="1"/>
    </row>
    <row r="603" spans="2:16" ht="43.5" hidden="1" x14ac:dyDescent="0.35">
      <c r="B603" s="124"/>
      <c r="C603" s="646" t="s">
        <v>1666</v>
      </c>
      <c r="D603" s="254">
        <v>44123</v>
      </c>
      <c r="E603" s="255" t="s">
        <v>1667</v>
      </c>
      <c r="F603" s="248">
        <v>44123</v>
      </c>
      <c r="G603" s="248">
        <f>Table1[[#This Row],[Start Date]]</f>
        <v>44123</v>
      </c>
      <c r="H603" s="257"/>
      <c r="I603" s="632"/>
      <c r="J603" s="249" t="s">
        <v>1246</v>
      </c>
      <c r="P603" s="1"/>
    </row>
    <row r="604" spans="2:16" ht="14.5" hidden="1" x14ac:dyDescent="0.35">
      <c r="B604" s="124"/>
      <c r="C604" s="646" t="s">
        <v>1672</v>
      </c>
      <c r="D604" s="254">
        <v>44123</v>
      </c>
      <c r="E604" s="255" t="s">
        <v>891</v>
      </c>
      <c r="F604" s="248">
        <v>44123</v>
      </c>
      <c r="G604" s="248">
        <f>Table1[[#This Row],[Start Date]]</f>
        <v>44123</v>
      </c>
      <c r="H604" s="257"/>
      <c r="I604" s="632"/>
      <c r="J604" s="249" t="str">
        <f>Table1[[#This Row],[Routine Activities (PM/ PMCAL, CM, Genba, Isotanker, Material Readiness, Sampling)]]</f>
        <v>QoP - VI</v>
      </c>
      <c r="P604" s="1"/>
    </row>
    <row r="605" spans="2:16" ht="29" hidden="1" x14ac:dyDescent="0.35">
      <c r="B605" s="124"/>
      <c r="C605" s="646" t="s">
        <v>1673</v>
      </c>
      <c r="D605" s="254">
        <v>44123</v>
      </c>
      <c r="E605" s="255" t="s">
        <v>1538</v>
      </c>
      <c r="F605" s="248">
        <v>44125</v>
      </c>
      <c r="G605" s="248">
        <f>Table1[[#This Row],[Start Date]]</f>
        <v>44125</v>
      </c>
      <c r="H605" s="257"/>
      <c r="I605" s="632"/>
      <c r="J605" s="249" t="s">
        <v>1674</v>
      </c>
      <c r="P605" s="1"/>
    </row>
    <row r="606" spans="2:16" ht="26.15" hidden="1" customHeight="1" x14ac:dyDescent="0.35">
      <c r="B606" s="124"/>
      <c r="C606" s="646" t="s">
        <v>792</v>
      </c>
      <c r="D606" s="254">
        <v>44123</v>
      </c>
      <c r="E606" s="255" t="s">
        <v>433</v>
      </c>
      <c r="F606" s="248">
        <v>44125</v>
      </c>
      <c r="G606" s="248">
        <f>Table1[[#This Row],[Start Date]]</f>
        <v>44125</v>
      </c>
      <c r="H606" s="257"/>
      <c r="I606" s="632"/>
      <c r="J606" s="249" t="str">
        <f>Table1[[#This Row],[Routine Activities (PM/ PMCAL, CM, Genba, Isotanker, Material Readiness, Sampling)]]</f>
        <v>Waste offloading - Aq</v>
      </c>
      <c r="P606" s="1"/>
    </row>
    <row r="607" spans="2:16" ht="29" hidden="1" x14ac:dyDescent="0.35">
      <c r="B607" s="124"/>
      <c r="C607" s="646" t="s">
        <v>1675</v>
      </c>
      <c r="D607" s="254">
        <v>44109</v>
      </c>
      <c r="E607" s="255" t="s">
        <v>846</v>
      </c>
      <c r="F607" s="248">
        <v>44112</v>
      </c>
      <c r="G607" s="248">
        <f>Table1[[#This Row],[Start Date]]</f>
        <v>44112</v>
      </c>
      <c r="H607" s="257" t="s">
        <v>340</v>
      </c>
      <c r="I607" s="632"/>
      <c r="J607" s="249" t="str">
        <f>Table1[[#This Row],[Routine Activities (PM/ PMCAL, CM, Genba, Isotanker, Material Readiness, Sampling)]]</f>
        <v xml:space="preserve">Annual PM on Disp. Isolator Controller </v>
      </c>
      <c r="P607" s="1"/>
    </row>
    <row r="608" spans="2:16" ht="29" hidden="1" x14ac:dyDescent="0.35">
      <c r="B608" s="124"/>
      <c r="C608" s="646" t="s">
        <v>1409</v>
      </c>
      <c r="D608" s="254">
        <v>44116</v>
      </c>
      <c r="E608" s="255" t="s">
        <v>1676</v>
      </c>
      <c r="F608" s="248"/>
      <c r="G608" s="248">
        <f>Table1[[#This Row],[Start Date]]</f>
        <v>0</v>
      </c>
      <c r="H608" s="257" t="s">
        <v>462</v>
      </c>
      <c r="I608" s="632"/>
      <c r="J608" s="249" t="str">
        <f>Table1[[#This Row],[Routine Activities (PM/ PMCAL, CM, Genba, Isotanker, Material Readiness, Sampling)]]</f>
        <v>Waste offloading - Aq (not req)</v>
      </c>
      <c r="P608" s="1"/>
    </row>
    <row r="609" spans="2:16" ht="29" hidden="1" x14ac:dyDescent="0.35">
      <c r="B609" s="124"/>
      <c r="C609" s="646" t="s">
        <v>1677</v>
      </c>
      <c r="D609" s="254">
        <v>44123</v>
      </c>
      <c r="E609" s="255" t="s">
        <v>1529</v>
      </c>
      <c r="F609" s="248">
        <v>44126</v>
      </c>
      <c r="G609" s="248">
        <f>Table1[[#This Row],[Start Date]]</f>
        <v>44126</v>
      </c>
      <c r="H609" s="257"/>
      <c r="I609" s="632"/>
      <c r="J609" s="249" t="s">
        <v>1678</v>
      </c>
      <c r="P609" s="1"/>
    </row>
    <row r="610" spans="2:16" ht="14.5" hidden="1" x14ac:dyDescent="0.35">
      <c r="B610" s="124"/>
      <c r="C610" s="646" t="s">
        <v>775</v>
      </c>
      <c r="D610" s="254">
        <v>44123</v>
      </c>
      <c r="E610" s="255" t="s">
        <v>418</v>
      </c>
      <c r="F610" s="248">
        <v>44126</v>
      </c>
      <c r="G610" s="248">
        <f>Table1[[#This Row],[Start Date]]</f>
        <v>44126</v>
      </c>
      <c r="H610" s="257"/>
      <c r="I610" s="632"/>
      <c r="J610" s="249" t="str">
        <f>Table1[[#This Row],[Routine Activities (PM/ PMCAL, CM, Genba, Isotanker, Material Readiness, Sampling)]]</f>
        <v>N2 loading</v>
      </c>
      <c r="P610" s="1"/>
    </row>
    <row r="611" spans="2:16" ht="29" hidden="1" x14ac:dyDescent="0.35">
      <c r="B611" s="124"/>
      <c r="C611" s="646" t="s">
        <v>1679</v>
      </c>
      <c r="D611" s="254">
        <v>44123</v>
      </c>
      <c r="E611" s="255" t="s">
        <v>785</v>
      </c>
      <c r="F611" s="248">
        <v>44126</v>
      </c>
      <c r="G611" s="248">
        <f>Table1[[#This Row],[Start Date]]</f>
        <v>44126</v>
      </c>
      <c r="H611" s="257"/>
      <c r="I611" s="632"/>
      <c r="J611" s="249" t="str">
        <f>Table1[[#This Row],[Routine Activities (PM/ PMCAL, CM, Genba, Isotanker, Material Readiness, Sampling)]]</f>
        <v xml:space="preserve">Genba - Dispensing with new hopper </v>
      </c>
      <c r="P611" s="1"/>
    </row>
    <row r="612" spans="2:16" ht="14.5" hidden="1" x14ac:dyDescent="0.35">
      <c r="B612" s="124"/>
      <c r="C612" s="646" t="s">
        <v>1680</v>
      </c>
      <c r="D612" s="254">
        <v>44123</v>
      </c>
      <c r="E612" s="255" t="s">
        <v>418</v>
      </c>
      <c r="F612" s="248">
        <v>44126</v>
      </c>
      <c r="G612" s="248">
        <f>Table1[[#This Row],[Start Date]]</f>
        <v>44126</v>
      </c>
      <c r="H612" s="257"/>
      <c r="I612" s="632"/>
      <c r="J612" s="249" t="str">
        <f>Table1[[#This Row],[Routine Activities (PM/ PMCAL, CM, Genba, Isotanker, Material Readiness, Sampling)]]</f>
        <v>A2 Material Readiness</v>
      </c>
      <c r="P612" s="1"/>
    </row>
    <row r="613" spans="2:16" ht="29" hidden="1" x14ac:dyDescent="0.35">
      <c r="B613" s="124"/>
      <c r="C613" s="646" t="s">
        <v>1681</v>
      </c>
      <c r="D613" s="254">
        <v>44123</v>
      </c>
      <c r="E613" s="255" t="s">
        <v>1655</v>
      </c>
      <c r="F613" s="248">
        <v>44127</v>
      </c>
      <c r="G613" s="248">
        <f>Table1[[#This Row],[Start Date]]</f>
        <v>44127</v>
      </c>
      <c r="H613" s="257"/>
      <c r="I613" s="632"/>
      <c r="J613" s="249" t="s">
        <v>1682</v>
      </c>
      <c r="P613" s="1"/>
    </row>
    <row r="614" spans="2:16" ht="87" hidden="1" x14ac:dyDescent="0.35">
      <c r="B614" s="124"/>
      <c r="C614" s="646" t="s">
        <v>1683</v>
      </c>
      <c r="D614" s="254">
        <v>44123</v>
      </c>
      <c r="E614" s="255" t="s">
        <v>1544</v>
      </c>
      <c r="F614" s="248">
        <v>44127</v>
      </c>
      <c r="G614" s="248">
        <f>Table1[[#This Row],[Start Date]]</f>
        <v>44127</v>
      </c>
      <c r="H614" s="257"/>
      <c r="I614" s="632"/>
      <c r="J614" s="249" t="s">
        <v>1684</v>
      </c>
      <c r="P614" s="1"/>
    </row>
    <row r="615" spans="2:16" ht="14.5" hidden="1" x14ac:dyDescent="0.35">
      <c r="B615" s="124"/>
      <c r="C615" s="646" t="s">
        <v>1099</v>
      </c>
      <c r="D615" s="254">
        <v>44123</v>
      </c>
      <c r="E615" s="255" t="s">
        <v>433</v>
      </c>
      <c r="F615" s="248">
        <v>44127</v>
      </c>
      <c r="G615" s="248">
        <f>Table1[[#This Row],[Start Date]]</f>
        <v>44127</v>
      </c>
      <c r="H615" s="257"/>
      <c r="I615" s="632"/>
      <c r="J615" s="249" t="str">
        <f>Table1[[#This Row],[Routine Activities (PM/ PMCAL, CM, Genba, Isotanker, Material Readiness, Sampling)]]</f>
        <v xml:space="preserve">Waste offloading - Org </v>
      </c>
      <c r="P615" s="1"/>
    </row>
    <row r="616" spans="2:16" ht="14.5" hidden="1" x14ac:dyDescent="0.35">
      <c r="B616" s="124"/>
      <c r="C616" s="646" t="s">
        <v>1685</v>
      </c>
      <c r="D616" s="254">
        <v>44123</v>
      </c>
      <c r="E616" s="255" t="s">
        <v>846</v>
      </c>
      <c r="F616" s="248">
        <v>44127</v>
      </c>
      <c r="G616" s="248">
        <f>Table1[[#This Row],[Start Date]]</f>
        <v>44127</v>
      </c>
      <c r="H616" s="257"/>
      <c r="I616" s="632"/>
      <c r="J616" s="249" t="str">
        <f>Table1[[#This Row],[Routine Activities (PM/ PMCAL, CM, Genba, Isotanker, Material Readiness, Sampling)]]</f>
        <v>A2 cleaning recipe download</v>
      </c>
      <c r="P616" s="1"/>
    </row>
    <row r="617" spans="2:16" ht="58" hidden="1" x14ac:dyDescent="0.35">
      <c r="B617" s="124"/>
      <c r="C617" s="646" t="s">
        <v>1686</v>
      </c>
      <c r="D617" s="254">
        <v>44123</v>
      </c>
      <c r="E617" s="255" t="s">
        <v>1524</v>
      </c>
      <c r="F617" s="248">
        <v>44129</v>
      </c>
      <c r="G617" s="248">
        <f>Table1[[#This Row],[Start Date]]</f>
        <v>44129</v>
      </c>
      <c r="H617" s="257"/>
      <c r="I617" s="632"/>
      <c r="J617" s="249" t="s">
        <v>1687</v>
      </c>
      <c r="P617" s="1"/>
    </row>
    <row r="618" spans="2:16" ht="130.5" hidden="1" x14ac:dyDescent="0.35">
      <c r="B618" s="124"/>
      <c r="C618" s="646" t="s">
        <v>1688</v>
      </c>
      <c r="D618" s="254">
        <v>44130</v>
      </c>
      <c r="E618" s="255" t="s">
        <v>1655</v>
      </c>
      <c r="F618" s="248">
        <v>44130</v>
      </c>
      <c r="G618" s="248">
        <f>Table1[[#This Row],[Start Date]]</f>
        <v>44130</v>
      </c>
      <c r="H618" s="257"/>
      <c r="I618" s="632"/>
      <c r="J618" s="249" t="s">
        <v>1200</v>
      </c>
      <c r="P618" s="1"/>
    </row>
    <row r="619" spans="2:16" ht="29" hidden="1" x14ac:dyDescent="0.35">
      <c r="B619" s="124"/>
      <c r="C619" s="646" t="s">
        <v>1654</v>
      </c>
      <c r="D619" s="254">
        <v>44130</v>
      </c>
      <c r="E619" s="255" t="s">
        <v>1655</v>
      </c>
      <c r="F619" s="248">
        <v>44133</v>
      </c>
      <c r="G619" s="248">
        <f>Table1[[#This Row],[Start Date]]</f>
        <v>44133</v>
      </c>
      <c r="H619" s="257"/>
      <c r="I619" s="632"/>
      <c r="J619" s="249" t="s">
        <v>1370</v>
      </c>
      <c r="P619" s="1"/>
    </row>
    <row r="620" spans="2:16" ht="14.5" hidden="1" x14ac:dyDescent="0.35">
      <c r="B620" s="124"/>
      <c r="C620" s="646" t="s">
        <v>775</v>
      </c>
      <c r="D620" s="254">
        <v>44130</v>
      </c>
      <c r="E620" s="255" t="s">
        <v>377</v>
      </c>
      <c r="F620" s="248">
        <v>44133</v>
      </c>
      <c r="G620" s="248">
        <f>Table1[[#This Row],[Start Date]]</f>
        <v>44133</v>
      </c>
      <c r="H620" s="257"/>
      <c r="I620" s="632"/>
      <c r="J620" s="249" t="str">
        <f>Table1[[#This Row],[Routine Activities (PM/ PMCAL, CM, Genba, Isotanker, Material Readiness, Sampling)]]</f>
        <v>N2 loading</v>
      </c>
      <c r="P620" s="1"/>
    </row>
    <row r="621" spans="2:16" ht="14.5" hidden="1" x14ac:dyDescent="0.35">
      <c r="B621" s="124"/>
      <c r="C621" s="646" t="s">
        <v>1689</v>
      </c>
      <c r="D621" s="254">
        <v>44130</v>
      </c>
      <c r="E621" s="255" t="s">
        <v>891</v>
      </c>
      <c r="F621" s="248">
        <v>44134</v>
      </c>
      <c r="G621" s="248">
        <f>Table1[[#This Row],[Start Date]]</f>
        <v>44134</v>
      </c>
      <c r="H621" s="257"/>
      <c r="I621" s="632"/>
      <c r="J621" s="249" t="str">
        <f>Table1[[#This Row],[Routine Activities (PM/ PMCAL, CM, Genba, Isotanker, Material Readiness, Sampling)]]</f>
        <v>QoP - A2 PPQ</v>
      </c>
      <c r="P621" s="1"/>
    </row>
    <row r="622" spans="2:16" ht="14.5" hidden="1" x14ac:dyDescent="0.35">
      <c r="B622" s="124"/>
      <c r="C622" s="646" t="s">
        <v>1690</v>
      </c>
      <c r="D622" s="254">
        <v>44130</v>
      </c>
      <c r="E622" s="255" t="s">
        <v>377</v>
      </c>
      <c r="F622" s="248">
        <v>44134</v>
      </c>
      <c r="G622" s="248">
        <f>Table1[[#This Row],[Start Date]]</f>
        <v>44134</v>
      </c>
      <c r="H622" s="257"/>
      <c r="I622" s="632"/>
      <c r="J622" s="249" t="str">
        <f>Table1[[#This Row],[Routine Activities (PM/ PMCAL, CM, Genba, Isotanker, Material Readiness, Sampling)]]</f>
        <v>Solvent loading (EA)</v>
      </c>
      <c r="P622" s="1"/>
    </row>
    <row r="623" spans="2:16" ht="43.5" hidden="1" x14ac:dyDescent="0.35">
      <c r="B623" s="124"/>
      <c r="C623" s="646" t="s">
        <v>1691</v>
      </c>
      <c r="D623" s="254">
        <v>44137</v>
      </c>
      <c r="E623" s="255" t="s">
        <v>1655</v>
      </c>
      <c r="F623" s="248">
        <v>44137</v>
      </c>
      <c r="G623" s="248">
        <f>Table1[[#This Row],[Start Date]]</f>
        <v>44137</v>
      </c>
      <c r="H623" s="257"/>
      <c r="I623" s="632"/>
      <c r="J623" s="249" t="s">
        <v>1692</v>
      </c>
      <c r="P623" s="1"/>
    </row>
    <row r="624" spans="2:16" ht="14.5" hidden="1" x14ac:dyDescent="0.35">
      <c r="B624" s="124"/>
      <c r="C624" s="646" t="s">
        <v>1693</v>
      </c>
      <c r="D624" s="254">
        <v>44137</v>
      </c>
      <c r="E624" s="255" t="s">
        <v>377</v>
      </c>
      <c r="F624" s="248">
        <v>44140</v>
      </c>
      <c r="G624" s="248">
        <f>Table1[[#This Row],[Start Date]]</f>
        <v>44140</v>
      </c>
      <c r="H624" s="257"/>
      <c r="I624" s="632"/>
      <c r="J624" s="249" t="str">
        <f>Table1[[#This Row],[Routine Activities (PM/ PMCAL, CM, Genba, Isotanker, Material Readiness, Sampling)]]</f>
        <v>N2 loading (Thurs)</v>
      </c>
      <c r="P624" s="1"/>
    </row>
    <row r="625" spans="2:16" ht="29" hidden="1" x14ac:dyDescent="0.35">
      <c r="B625" s="124"/>
      <c r="C625" s="646" t="s">
        <v>1694</v>
      </c>
      <c r="D625" s="254">
        <v>44151</v>
      </c>
      <c r="E625" s="255" t="s">
        <v>785</v>
      </c>
      <c r="F625" s="248">
        <v>44151</v>
      </c>
      <c r="G625" s="248">
        <f>Table1[[#This Row],[Start Date]]</f>
        <v>44151</v>
      </c>
      <c r="H625" s="257"/>
      <c r="I625" s="632" t="s">
        <v>1695</v>
      </c>
      <c r="J625" s="249" t="str">
        <f>Table1[[#This Row],[Routine Activities (PM/ PMCAL, CM, Genba, Isotanker, Material Readiness, Sampling)]]</f>
        <v>Genba - Hydrogen cylinder removal (16Nov)</v>
      </c>
      <c r="P625" s="1"/>
    </row>
    <row r="626" spans="2:16" ht="43.5" hidden="1" x14ac:dyDescent="0.35">
      <c r="B626" s="124"/>
      <c r="C626" s="646" t="s">
        <v>1696</v>
      </c>
      <c r="D626" s="254">
        <v>44137</v>
      </c>
      <c r="E626" s="255" t="s">
        <v>1655</v>
      </c>
      <c r="F626" s="248">
        <v>44141</v>
      </c>
      <c r="G626" s="248">
        <f>Table1[[#This Row],[Start Date]]</f>
        <v>44141</v>
      </c>
      <c r="H626" s="257"/>
      <c r="I626" s="632"/>
      <c r="J626" s="249" t="s">
        <v>1697</v>
      </c>
      <c r="P626" s="1"/>
    </row>
    <row r="627" spans="2:16" ht="29" hidden="1" x14ac:dyDescent="0.35">
      <c r="B627" s="124"/>
      <c r="C627" s="646" t="s">
        <v>1698</v>
      </c>
      <c r="D627" s="254">
        <v>44137</v>
      </c>
      <c r="E627" s="255" t="s">
        <v>1544</v>
      </c>
      <c r="F627" s="248">
        <v>44141</v>
      </c>
      <c r="G627" s="248">
        <f>Table1[[#This Row],[Start Date]]</f>
        <v>44141</v>
      </c>
      <c r="H627" s="257"/>
      <c r="I627" s="632"/>
      <c r="J627" s="249" t="s">
        <v>1699</v>
      </c>
      <c r="P627" s="1"/>
    </row>
    <row r="628" spans="2:16" ht="29" hidden="1" x14ac:dyDescent="0.35">
      <c r="B628" s="124"/>
      <c r="C628" s="646" t="s">
        <v>1700</v>
      </c>
      <c r="D628" s="254">
        <v>44137</v>
      </c>
      <c r="E628" s="255" t="s">
        <v>1544</v>
      </c>
      <c r="F628" s="248">
        <v>44141</v>
      </c>
      <c r="G628" s="248">
        <f>Table1[[#This Row],[Start Date]]</f>
        <v>44141</v>
      </c>
      <c r="H628" s="257"/>
      <c r="I628" s="632"/>
      <c r="J628" s="249" t="s">
        <v>1699</v>
      </c>
      <c r="P628" s="1"/>
    </row>
    <row r="629" spans="2:16" ht="14.5" hidden="1" x14ac:dyDescent="0.35">
      <c r="B629" s="124"/>
      <c r="C629" s="646" t="s">
        <v>1701</v>
      </c>
      <c r="D629" s="254">
        <v>44137</v>
      </c>
      <c r="E629" s="255" t="s">
        <v>418</v>
      </c>
      <c r="F629" s="248">
        <v>44141</v>
      </c>
      <c r="G629" s="248">
        <f>Table1[[#This Row],[Start Date]]</f>
        <v>44141</v>
      </c>
      <c r="H629" s="257" t="s">
        <v>340</v>
      </c>
      <c r="I629" s="632"/>
      <c r="J629" s="249" t="str">
        <f>Table1[[#This Row],[Routine Activities (PM/ PMCAL, CM, Genba, Isotanker, Material Readiness, Sampling)]]</f>
        <v>A3 Material Readiness</v>
      </c>
      <c r="P629" s="1"/>
    </row>
    <row r="630" spans="2:16" ht="29" hidden="1" x14ac:dyDescent="0.35">
      <c r="B630" s="124"/>
      <c r="C630" s="646" t="s">
        <v>1702</v>
      </c>
      <c r="D630" s="254">
        <v>44137</v>
      </c>
      <c r="E630" s="255" t="s">
        <v>785</v>
      </c>
      <c r="F630" s="248">
        <v>44141</v>
      </c>
      <c r="G630" s="248">
        <f>Table1[[#This Row],[Start Date]]</f>
        <v>44141</v>
      </c>
      <c r="H630" s="257" t="s">
        <v>340</v>
      </c>
      <c r="I630" s="632"/>
      <c r="J630" s="249" t="str">
        <f>Table1[[#This Row],[Routine Activities (PM/ PMCAL, CM, Genba, Isotanker, Material Readiness, Sampling)]]</f>
        <v xml:space="preserve">Genba - H2 cylinder, manifold &amp; hose </v>
      </c>
      <c r="P630" s="1"/>
    </row>
    <row r="631" spans="2:16" ht="14.5" hidden="1" x14ac:dyDescent="0.35">
      <c r="B631" s="124"/>
      <c r="C631" s="646" t="s">
        <v>1542</v>
      </c>
      <c r="D631" s="254">
        <v>44137</v>
      </c>
      <c r="E631" s="255" t="s">
        <v>377</v>
      </c>
      <c r="F631" s="248">
        <v>44141</v>
      </c>
      <c r="G631" s="248">
        <f>Table1[[#This Row],[Start Date]]</f>
        <v>44141</v>
      </c>
      <c r="H631" s="257" t="s">
        <v>340</v>
      </c>
      <c r="I631" s="632"/>
      <c r="J631" s="249" t="str">
        <f>Table1[[#This Row],[Routine Activities (PM/ PMCAL, CM, Genba, Isotanker, Material Readiness, Sampling)]]</f>
        <v>Solvent loading (MeOH)</v>
      </c>
      <c r="P631" s="1"/>
    </row>
    <row r="632" spans="2:16" ht="14.5" hidden="1" x14ac:dyDescent="0.35">
      <c r="B632" s="124"/>
      <c r="C632" s="646" t="s">
        <v>1703</v>
      </c>
      <c r="D632" s="254">
        <v>44137</v>
      </c>
      <c r="E632" s="121"/>
      <c r="F632" s="248">
        <v>44141</v>
      </c>
      <c r="G632" s="248">
        <f>Table1[[#This Row],[Start Date]]</f>
        <v>44141</v>
      </c>
      <c r="H632" s="257" t="s">
        <v>340</v>
      </c>
      <c r="I632" s="632"/>
      <c r="J632" s="249" t="str">
        <f>Table1[[#This Row],[Routine Activities (PM/ PMCAL, CM, Genba, Isotanker, Material Readiness, Sampling)]]</f>
        <v>Polishing filter removal</v>
      </c>
      <c r="P632" s="1"/>
    </row>
    <row r="633" spans="2:16" ht="14.5" hidden="1" x14ac:dyDescent="0.35">
      <c r="B633" s="124"/>
      <c r="C633" s="646" t="s">
        <v>777</v>
      </c>
      <c r="D633" s="254">
        <v>44137</v>
      </c>
      <c r="E633" s="255" t="s">
        <v>433</v>
      </c>
      <c r="F633" s="248">
        <v>44142</v>
      </c>
      <c r="G633" s="248">
        <f>Table1[[#This Row],[Start Date]]</f>
        <v>44142</v>
      </c>
      <c r="H633" s="257" t="s">
        <v>340</v>
      </c>
      <c r="I633" s="632"/>
      <c r="J633" s="249" t="str">
        <f>Table1[[#This Row],[Routine Activities (PM/ PMCAL, CM, Genba, Isotanker, Material Readiness, Sampling)]]</f>
        <v>Waste offloading - Org</v>
      </c>
      <c r="P633" s="1"/>
    </row>
    <row r="634" spans="2:16" ht="29" hidden="1" x14ac:dyDescent="0.35">
      <c r="B634" s="124"/>
      <c r="C634" s="646" t="s">
        <v>1704</v>
      </c>
      <c r="D634" s="254">
        <v>44137</v>
      </c>
      <c r="E634" s="255" t="s">
        <v>1544</v>
      </c>
      <c r="F634" s="248">
        <v>44143</v>
      </c>
      <c r="G634" s="248">
        <f>Table1[[#This Row],[Start Date]]</f>
        <v>44143</v>
      </c>
      <c r="H634" s="257"/>
      <c r="I634" s="632"/>
      <c r="J634" s="249" t="s">
        <v>1705</v>
      </c>
      <c r="P634" s="1"/>
    </row>
    <row r="635" spans="2:16" ht="58" hidden="1" x14ac:dyDescent="0.35">
      <c r="B635" s="124"/>
      <c r="C635" s="646" t="s">
        <v>1706</v>
      </c>
      <c r="D635" s="254">
        <v>44137</v>
      </c>
      <c r="E635" s="255" t="s">
        <v>1538</v>
      </c>
      <c r="F635" s="248">
        <v>44143</v>
      </c>
      <c r="G635" s="248">
        <f>Table1[[#This Row],[Start Date]]</f>
        <v>44143</v>
      </c>
      <c r="H635" s="257"/>
      <c r="I635" s="632"/>
      <c r="J635" s="249" t="s">
        <v>1505</v>
      </c>
      <c r="P635" s="1"/>
    </row>
    <row r="636" spans="2:16" ht="377" hidden="1" x14ac:dyDescent="0.35">
      <c r="B636" s="124"/>
      <c r="C636" s="646" t="s">
        <v>1707</v>
      </c>
      <c r="D636" s="254">
        <v>44137</v>
      </c>
      <c r="E636" s="255" t="s">
        <v>1538</v>
      </c>
      <c r="F636" s="248">
        <v>44143</v>
      </c>
      <c r="G636" s="248">
        <f>Table1[[#This Row],[Start Date]]</f>
        <v>44143</v>
      </c>
      <c r="H636" s="257"/>
      <c r="I636" s="632"/>
      <c r="J636" s="249" t="s">
        <v>1150</v>
      </c>
      <c r="P636" s="1"/>
    </row>
    <row r="637" spans="2:16" ht="29" hidden="1" x14ac:dyDescent="0.35">
      <c r="B637" s="124"/>
      <c r="C637" s="646" t="s">
        <v>1708</v>
      </c>
      <c r="D637" s="254">
        <v>44137</v>
      </c>
      <c r="E637" s="255" t="s">
        <v>1524</v>
      </c>
      <c r="F637" s="248">
        <v>44143</v>
      </c>
      <c r="G637" s="248">
        <f>Table1[[#This Row],[Start Date]]</f>
        <v>44143</v>
      </c>
      <c r="H637" s="257"/>
      <c r="I637" s="632"/>
      <c r="J637" s="249" t="s">
        <v>1709</v>
      </c>
      <c r="P637" s="1"/>
    </row>
    <row r="638" spans="2:16" ht="217.5" hidden="1" x14ac:dyDescent="0.35">
      <c r="B638" s="124"/>
      <c r="C638" s="646" t="s">
        <v>1710</v>
      </c>
      <c r="D638" s="254">
        <v>44137</v>
      </c>
      <c r="E638" s="255" t="s">
        <v>1524</v>
      </c>
      <c r="F638" s="248">
        <v>44143</v>
      </c>
      <c r="G638" s="248">
        <f>Table1[[#This Row],[Start Date]]</f>
        <v>44143</v>
      </c>
      <c r="H638" s="257"/>
      <c r="I638" s="632"/>
      <c r="J638" s="249" t="str">
        <f>Table1[[#This Row],[Routine Activities (PM/ PMCAL, CM, Genba, Isotanker, Material Readiness, Sampling)]]</f>
        <v>57803092 - SG00270011FA03 - SCRUBBER SYSTEM FLAME ARRESTOR FA-03 - PM FLAME ARRESTER INSPECTION (CCD) - YARD_1091682_PM
57803075 - SG00270011FA02 - SCRUBBER SYSTEM FLAME ARRESTOR FA-02 - PM FLAME ARRESTER INSPECTION (CCD) - YARD_1091684_PM
57803058 - SG00270011FA01 - SCRUBBER SYSTEM FLAME ARRESTOR FA-01 - PM FLAME ARRESTER INSPECTION (CCD) - YARD_1091683_PM</v>
      </c>
      <c r="P638" s="1"/>
    </row>
    <row r="639" spans="2:16" ht="14.5" hidden="1" x14ac:dyDescent="0.35">
      <c r="B639" s="124"/>
      <c r="C639" s="646" t="s">
        <v>1711</v>
      </c>
      <c r="D639" s="254">
        <v>44151</v>
      </c>
      <c r="E639" s="255" t="s">
        <v>377</v>
      </c>
      <c r="F639" s="248">
        <v>44151</v>
      </c>
      <c r="G639" s="248">
        <f>Table1[[#This Row],[Start Date]]</f>
        <v>44151</v>
      </c>
      <c r="H639" s="257"/>
      <c r="I639" s="632"/>
      <c r="J639" s="249" t="str">
        <f>Table1[[#This Row],[Routine Activities (PM/ PMCAL, CM, Genba, Isotanker, Material Readiness, Sampling)]]</f>
        <v>MeOH loading (Mon and Fri)</v>
      </c>
      <c r="P639" s="1"/>
    </row>
    <row r="640" spans="2:16" ht="29" hidden="1" x14ac:dyDescent="0.35">
      <c r="B640" s="124"/>
      <c r="C640" s="646" t="s">
        <v>1712</v>
      </c>
      <c r="D640" s="254">
        <v>44144</v>
      </c>
      <c r="E640" s="255" t="s">
        <v>1544</v>
      </c>
      <c r="F640" s="248">
        <v>44144</v>
      </c>
      <c r="G640" s="248">
        <f>Table1[[#This Row],[Start Date]]</f>
        <v>44144</v>
      </c>
      <c r="H640" s="257"/>
      <c r="I640" s="632"/>
      <c r="J640" s="249" t="s">
        <v>1713</v>
      </c>
      <c r="P640" s="1"/>
    </row>
    <row r="641" spans="2:16" ht="43.5" hidden="1" x14ac:dyDescent="0.35">
      <c r="B641" s="124"/>
      <c r="C641" s="646" t="s">
        <v>1714</v>
      </c>
      <c r="D641" s="254">
        <v>44144</v>
      </c>
      <c r="E641" s="255" t="s">
        <v>1544</v>
      </c>
      <c r="F641" s="248">
        <v>44145</v>
      </c>
      <c r="G641" s="248">
        <f>Table1[[#This Row],[Start Date]]</f>
        <v>44145</v>
      </c>
      <c r="H641" s="257"/>
      <c r="I641" s="632"/>
      <c r="J641" s="249" t="s">
        <v>1715</v>
      </c>
      <c r="P641" s="1"/>
    </row>
    <row r="642" spans="2:16" ht="29" hidden="1" x14ac:dyDescent="0.35">
      <c r="B642" s="124"/>
      <c r="C642" s="633" t="s">
        <v>1716</v>
      </c>
      <c r="D642" s="254">
        <v>44151</v>
      </c>
      <c r="E642" s="255" t="s">
        <v>377</v>
      </c>
      <c r="F642" s="248">
        <v>44151</v>
      </c>
      <c r="G642" s="248">
        <f>Table1[[#This Row],[Start Date]]</f>
        <v>44151</v>
      </c>
      <c r="H642" s="248"/>
      <c r="I642" s="632" t="s">
        <v>1717</v>
      </c>
      <c r="J642" s="363" t="str">
        <f>Table1[[#This Row],[Routine Activities (PM/ PMCAL, CM, Genba, Isotanker, Material Readiness, Sampling)]]</f>
        <v>Hydrogen cylinder removal (16Nov)</v>
      </c>
      <c r="P642" s="1"/>
    </row>
    <row r="643" spans="2:16" ht="43.5" hidden="1" x14ac:dyDescent="0.35">
      <c r="B643" s="124"/>
      <c r="C643" s="646" t="s">
        <v>1718</v>
      </c>
      <c r="D643" s="254">
        <v>44144</v>
      </c>
      <c r="E643" s="255" t="s">
        <v>1655</v>
      </c>
      <c r="F643" s="248">
        <v>44146</v>
      </c>
      <c r="G643" s="248">
        <f>Table1[[#This Row],[Start Date]]</f>
        <v>44146</v>
      </c>
      <c r="H643" s="257"/>
      <c r="I643" s="632"/>
      <c r="J643" s="249" t="s">
        <v>1719</v>
      </c>
      <c r="P643" s="1"/>
    </row>
    <row r="644" spans="2:16" ht="174" hidden="1" x14ac:dyDescent="0.35">
      <c r="B644" s="124"/>
      <c r="C644" s="643" t="s">
        <v>1720</v>
      </c>
      <c r="D644" s="254">
        <v>44144</v>
      </c>
      <c r="E644" s="255" t="s">
        <v>1575</v>
      </c>
      <c r="F644" s="248">
        <v>44146</v>
      </c>
      <c r="G644" s="248">
        <f>Table1[[#This Row],[Start Date]]</f>
        <v>44146</v>
      </c>
      <c r="H644" s="257"/>
      <c r="I644" s="632"/>
      <c r="J644" s="249" t="s">
        <v>1662</v>
      </c>
      <c r="P644" s="1"/>
    </row>
    <row r="645" spans="2:16" ht="58" hidden="1" x14ac:dyDescent="0.35">
      <c r="B645" s="124"/>
      <c r="C645" s="646" t="s">
        <v>1721</v>
      </c>
      <c r="D645" s="254">
        <v>44144</v>
      </c>
      <c r="E645" s="255" t="s">
        <v>1655</v>
      </c>
      <c r="F645" s="248">
        <v>44146</v>
      </c>
      <c r="G645" s="248">
        <f>Table1[[#This Row],[Start Date]]</f>
        <v>44146</v>
      </c>
      <c r="H645" s="257"/>
      <c r="I645" s="632"/>
      <c r="J645" s="249" t="s">
        <v>1722</v>
      </c>
      <c r="P645" s="1"/>
    </row>
    <row r="646" spans="2:16" ht="14.5" hidden="1" x14ac:dyDescent="0.35">
      <c r="B646" s="124"/>
      <c r="C646" s="646" t="s">
        <v>792</v>
      </c>
      <c r="D646" s="254">
        <v>44144</v>
      </c>
      <c r="E646" s="255" t="s">
        <v>433</v>
      </c>
      <c r="F646" s="248">
        <v>44146</v>
      </c>
      <c r="G646" s="248">
        <f>Table1[[#This Row],[Start Date]]</f>
        <v>44146</v>
      </c>
      <c r="H646" s="257"/>
      <c r="I646" s="632"/>
      <c r="J646" s="249" t="str">
        <f>Table1[[#This Row],[Routine Activities (PM/ PMCAL, CM, Genba, Isotanker, Material Readiness, Sampling)]]</f>
        <v>Waste offloading - Aq</v>
      </c>
      <c r="P646" s="1"/>
    </row>
    <row r="647" spans="2:16" ht="14.5" hidden="1" x14ac:dyDescent="0.35">
      <c r="B647" s="124"/>
      <c r="C647" s="646" t="s">
        <v>775</v>
      </c>
      <c r="D647" s="254">
        <v>44144</v>
      </c>
      <c r="E647" s="255"/>
      <c r="F647" s="248">
        <v>44147</v>
      </c>
      <c r="G647" s="248">
        <f>Table1[[#This Row],[Start Date]]</f>
        <v>44147</v>
      </c>
      <c r="H647" s="257"/>
      <c r="I647" s="632"/>
      <c r="J647" s="245" t="str">
        <f>Table1[[#This Row],[Routine Activities (PM/ PMCAL, CM, Genba, Isotanker, Material Readiness, Sampling)]]</f>
        <v>N2 loading</v>
      </c>
      <c r="P647" s="1"/>
    </row>
    <row r="648" spans="2:16" ht="29" hidden="1" x14ac:dyDescent="0.35">
      <c r="B648" s="124"/>
      <c r="C648" s="646" t="s">
        <v>1723</v>
      </c>
      <c r="D648" s="254">
        <v>44144</v>
      </c>
      <c r="E648" s="255" t="s">
        <v>433</v>
      </c>
      <c r="F648" s="248">
        <v>44151</v>
      </c>
      <c r="G648" s="248">
        <f>Table1[[#This Row],[Start Date]]</f>
        <v>44151</v>
      </c>
      <c r="H648" s="257"/>
      <c r="I648" s="632" t="s">
        <v>1724</v>
      </c>
      <c r="J648" s="249" t="str">
        <f>Table1[[#This Row],[Routine Activities (PM/ PMCAL, CM, Genba, Isotanker, Material Readiness, Sampling)]]</f>
        <v xml:space="preserve">Catalyst waste drums removal </v>
      </c>
      <c r="P648" s="1"/>
    </row>
    <row r="649" spans="2:16" ht="14.5" hidden="1" x14ac:dyDescent="0.35">
      <c r="B649" s="124"/>
      <c r="C649" s="646" t="s">
        <v>1725</v>
      </c>
      <c r="D649" s="254">
        <v>44151</v>
      </c>
      <c r="E649" s="255" t="s">
        <v>377</v>
      </c>
      <c r="F649" s="248">
        <v>44152</v>
      </c>
      <c r="G649" s="248">
        <v>44152</v>
      </c>
      <c r="H649" s="257"/>
      <c r="I649" s="632" t="s">
        <v>1726</v>
      </c>
      <c r="J649" s="249" t="str">
        <f>Table1[[#This Row],[Routine Activities (PM/ PMCAL, CM, Genba, Isotanker, Material Readiness, Sampling)]]</f>
        <v>Solvent loading (Heptane)</v>
      </c>
      <c r="P649" s="1"/>
    </row>
    <row r="650" spans="2:16" ht="14.5" hidden="1" x14ac:dyDescent="0.35">
      <c r="B650" s="124"/>
      <c r="C650" s="646" t="s">
        <v>837</v>
      </c>
      <c r="D650" s="254">
        <v>44123</v>
      </c>
      <c r="E650" s="255" t="s">
        <v>339</v>
      </c>
      <c r="F650" s="248"/>
      <c r="G650" s="248">
        <f>Table1[[#This Row],[Start Date]]</f>
        <v>0</v>
      </c>
      <c r="H650" s="257" t="s">
        <v>340</v>
      </c>
      <c r="I650" s="632"/>
      <c r="J650" s="249" t="str">
        <f>Table1[[#This Row],[Routine Activities (PM/ PMCAL, CM, Genba, Isotanker, Material Readiness, Sampling)]]</f>
        <v>QC Testing Readiness</v>
      </c>
      <c r="P650" s="1"/>
    </row>
    <row r="651" spans="2:16" ht="29" hidden="1" x14ac:dyDescent="0.35">
      <c r="B651" s="124"/>
      <c r="C651" s="646" t="s">
        <v>1727</v>
      </c>
      <c r="D651" s="254">
        <v>44151</v>
      </c>
      <c r="E651" s="255" t="s">
        <v>1728</v>
      </c>
      <c r="F651" s="248">
        <v>44152</v>
      </c>
      <c r="G651" s="248">
        <f>Table1[[#This Row],[Start Date]]</f>
        <v>44152</v>
      </c>
      <c r="H651" s="257"/>
      <c r="I651" s="632"/>
      <c r="J651" s="249" t="s">
        <v>1729</v>
      </c>
      <c r="P651" s="1"/>
    </row>
    <row r="652" spans="2:16" ht="43.5" hidden="1" x14ac:dyDescent="0.35">
      <c r="B652" s="124"/>
      <c r="C652" s="646" t="s">
        <v>1730</v>
      </c>
      <c r="D652" s="254">
        <v>44151</v>
      </c>
      <c r="E652" s="255" t="s">
        <v>1524</v>
      </c>
      <c r="F652" s="248">
        <v>44152</v>
      </c>
      <c r="G652" s="248">
        <f>Table1[[#This Row],[Start Date]]</f>
        <v>44152</v>
      </c>
      <c r="H652" s="257"/>
      <c r="I652" s="632"/>
      <c r="J652" s="249" t="s">
        <v>1731</v>
      </c>
      <c r="P652" s="1"/>
    </row>
    <row r="653" spans="2:16" ht="29" hidden="1" x14ac:dyDescent="0.35">
      <c r="B653" s="124"/>
      <c r="C653" s="646" t="s">
        <v>1732</v>
      </c>
      <c r="D653" s="254">
        <v>44151</v>
      </c>
      <c r="E653" s="255" t="s">
        <v>1529</v>
      </c>
      <c r="F653" s="248">
        <v>44153</v>
      </c>
      <c r="G653" s="248">
        <f>Table1[[#This Row],[Start Date]]</f>
        <v>44153</v>
      </c>
      <c r="H653" s="257"/>
      <c r="I653" s="632"/>
      <c r="J653" s="249" t="s">
        <v>913</v>
      </c>
      <c r="P653" s="1"/>
    </row>
    <row r="654" spans="2:16" ht="14.5" hidden="1" x14ac:dyDescent="0.35">
      <c r="B654" s="124"/>
      <c r="C654" s="646" t="s">
        <v>1663</v>
      </c>
      <c r="D654" s="254">
        <v>44151</v>
      </c>
      <c r="E654" s="255" t="s">
        <v>377</v>
      </c>
      <c r="F654" s="248">
        <v>44153</v>
      </c>
      <c r="G654" s="248">
        <f>Table1[[#This Row],[Start Date]]</f>
        <v>44153</v>
      </c>
      <c r="H654" s="257"/>
      <c r="I654" s="632"/>
      <c r="J654" s="249" t="str">
        <f>Table1[[#This Row],[Routine Activities (PM/ PMCAL, CM, Genba, Isotanker, Material Readiness, Sampling)]]</f>
        <v>N2 loading (Wed)</v>
      </c>
      <c r="P654" s="1"/>
    </row>
    <row r="655" spans="2:16" ht="14.5" hidden="1" x14ac:dyDescent="0.35">
      <c r="B655" s="124"/>
      <c r="C655" s="646" t="s">
        <v>1099</v>
      </c>
      <c r="D655" s="254">
        <v>44158</v>
      </c>
      <c r="E655" s="255" t="s">
        <v>433</v>
      </c>
      <c r="F655" s="248">
        <v>44154</v>
      </c>
      <c r="G655" s="248">
        <f>Table1[[#This Row],[Start Date]]</f>
        <v>44154</v>
      </c>
      <c r="H655" s="257"/>
      <c r="I655" s="632"/>
      <c r="J655" s="249" t="str">
        <f>Table1[[#This Row],[Routine Activities (PM/ PMCAL, CM, Genba, Isotanker, Material Readiness, Sampling)]]</f>
        <v xml:space="preserve">Waste offloading - Org </v>
      </c>
      <c r="P655" s="1"/>
    </row>
    <row r="656" spans="2:16" ht="14.5" hidden="1" x14ac:dyDescent="0.35">
      <c r="B656" s="124"/>
      <c r="C656" s="646" t="s">
        <v>1711</v>
      </c>
      <c r="D656" s="254">
        <v>44151</v>
      </c>
      <c r="E656" s="255" t="s">
        <v>377</v>
      </c>
      <c r="F656" s="248">
        <v>44155</v>
      </c>
      <c r="G656" s="248">
        <f>Table1[[#This Row],[Start Date]]</f>
        <v>44155</v>
      </c>
      <c r="H656" s="257"/>
      <c r="I656" s="632"/>
      <c r="J656" s="245" t="str">
        <f>Table1[[#This Row],[Routine Activities (PM/ PMCAL, CM, Genba, Isotanker, Material Readiness, Sampling)]]</f>
        <v>MeOH loading (Mon and Fri)</v>
      </c>
      <c r="P656" s="1"/>
    </row>
    <row r="657" spans="1:16" ht="29" hidden="1" x14ac:dyDescent="0.35">
      <c r="B657" s="124"/>
      <c r="C657" s="646" t="s">
        <v>1733</v>
      </c>
      <c r="D657" s="254">
        <v>44151</v>
      </c>
      <c r="E657" s="255" t="s">
        <v>433</v>
      </c>
      <c r="F657" s="248">
        <v>44155</v>
      </c>
      <c r="G657" s="248">
        <f>Table1[[#This Row],[Start Date]]</f>
        <v>44155</v>
      </c>
      <c r="H657" s="257"/>
      <c r="I657" s="632"/>
      <c r="J657" s="249" t="str">
        <f>Table1[[#This Row],[Routine Activities (PM/ PMCAL, CM, Genba, Isotanker, Material Readiness, Sampling)]]</f>
        <v xml:space="preserve">Collection of filled DCM waste drums </v>
      </c>
      <c r="P657" s="1"/>
    </row>
    <row r="658" spans="1:16" ht="58" hidden="1" x14ac:dyDescent="0.35">
      <c r="B658" s="124"/>
      <c r="C658" s="646" t="s">
        <v>1734</v>
      </c>
      <c r="D658" s="254">
        <v>44158</v>
      </c>
      <c r="E658" s="255" t="s">
        <v>785</v>
      </c>
      <c r="F658" s="248">
        <v>44158</v>
      </c>
      <c r="G658" s="248">
        <f>Table1[[#This Row],[Start Date]]</f>
        <v>44158</v>
      </c>
      <c r="H658" s="257"/>
      <c r="I658" s="632"/>
      <c r="J658" s="249" t="str">
        <f>Table1[[#This Row],[Routine Activities (PM/ PMCAL, CM, Genba, Isotanker, Material Readiness, Sampling)]]</f>
        <v>Genba - H2 cylinder bank improvement (Mon)/ DCM drumming from ML sump (Fri afternoon)</v>
      </c>
      <c r="P658" s="1"/>
    </row>
    <row r="659" spans="1:16" ht="14.5" hidden="1" x14ac:dyDescent="0.35">
      <c r="B659" s="124"/>
      <c r="C659" s="646" t="s">
        <v>1099</v>
      </c>
      <c r="D659" s="254">
        <v>44151</v>
      </c>
      <c r="E659" s="255" t="s">
        <v>433</v>
      </c>
      <c r="F659" s="248">
        <v>44159</v>
      </c>
      <c r="G659" s="248">
        <f>Table1[[#This Row],[Start Date]]</f>
        <v>44159</v>
      </c>
      <c r="H659" s="257"/>
      <c r="I659" s="632"/>
      <c r="J659" s="245" t="str">
        <f>Table1[[#This Row],[Routine Activities (PM/ PMCAL, CM, Genba, Isotanker, Material Readiness, Sampling)]]</f>
        <v xml:space="preserve">Waste offloading - Org </v>
      </c>
      <c r="P659" s="1"/>
    </row>
    <row r="660" spans="1:16" ht="29" hidden="1" x14ac:dyDescent="0.35">
      <c r="B660" s="124"/>
      <c r="C660" s="633" t="s">
        <v>1735</v>
      </c>
      <c r="D660" s="254">
        <v>44158</v>
      </c>
      <c r="E660" s="255" t="s">
        <v>846</v>
      </c>
      <c r="F660" s="248">
        <v>44160</v>
      </c>
      <c r="G660" s="248">
        <f>Table1[[#This Row],[Start Date]]</f>
        <v>44160</v>
      </c>
      <c r="H660" s="257"/>
      <c r="I660" s="632"/>
      <c r="J660" s="249" t="str">
        <f>Table1[[#This Row],[Routine Activities (PM/ PMCAL, CM, Genba, Isotanker, Material Readiness, Sampling)]]</f>
        <v>ECR Migration &amp; Q4 Patching (DeltaV)</v>
      </c>
      <c r="P660" s="1"/>
    </row>
    <row r="661" spans="1:16" ht="43.5" hidden="1" x14ac:dyDescent="0.35">
      <c r="B661" s="124"/>
      <c r="C661" s="646" t="s">
        <v>1696</v>
      </c>
      <c r="D661" s="254">
        <v>44158</v>
      </c>
      <c r="E661" s="255" t="s">
        <v>1655</v>
      </c>
      <c r="F661" s="248">
        <v>44160</v>
      </c>
      <c r="G661" s="248">
        <f>Table1[[#This Row],[Start Date]]</f>
        <v>44160</v>
      </c>
      <c r="H661" s="257"/>
      <c r="I661" s="632"/>
      <c r="J661" s="249" t="s">
        <v>1736</v>
      </c>
      <c r="P661" s="1"/>
    </row>
    <row r="662" spans="1:16" ht="29" hidden="1" x14ac:dyDescent="0.35">
      <c r="B662" s="124"/>
      <c r="C662" s="646" t="s">
        <v>1737</v>
      </c>
      <c r="D662" s="254">
        <v>44158</v>
      </c>
      <c r="E662" s="255" t="s">
        <v>418</v>
      </c>
      <c r="F662" s="248">
        <v>44160</v>
      </c>
      <c r="G662" s="248">
        <f>Table1[[#This Row],[Start Date]]</f>
        <v>44160</v>
      </c>
      <c r="H662" s="257"/>
      <c r="I662" s="632"/>
      <c r="J662" s="249" t="str">
        <f>Table1[[#This Row],[Routine Activities (PM/ PMCAL, CM, Genba, Isotanker, Material Readiness, Sampling)]]</f>
        <v>Step B Material Readiness (Wed)</v>
      </c>
      <c r="P662" s="1"/>
    </row>
    <row r="663" spans="1:16" ht="43.5" hidden="1" x14ac:dyDescent="0.35">
      <c r="B663" s="124"/>
      <c r="C663" s="646" t="s">
        <v>1718</v>
      </c>
      <c r="D663" s="254">
        <v>44158</v>
      </c>
      <c r="E663" s="255" t="s">
        <v>1655</v>
      </c>
      <c r="F663" s="248">
        <v>44161</v>
      </c>
      <c r="G663" s="248">
        <f>Table1[[#This Row],[Start Date]]</f>
        <v>44161</v>
      </c>
      <c r="H663" s="257"/>
      <c r="I663" s="632"/>
      <c r="J663" s="249" t="s">
        <v>1738</v>
      </c>
      <c r="P663" s="1"/>
    </row>
    <row r="664" spans="1:16" ht="14.5" hidden="1" x14ac:dyDescent="0.35">
      <c r="B664" s="124"/>
      <c r="C664" s="640" t="s">
        <v>792</v>
      </c>
      <c r="D664" s="254">
        <v>43920</v>
      </c>
      <c r="E664" s="255" t="s">
        <v>433</v>
      </c>
      <c r="F664" s="248">
        <v>43918</v>
      </c>
      <c r="G664" s="248">
        <f>Table1[[#This Row],[Start Date]]</f>
        <v>43918</v>
      </c>
      <c r="H664" s="257" t="s">
        <v>340</v>
      </c>
      <c r="I664" s="632"/>
      <c r="J664" s="363" t="str">
        <f>Table1[[#This Row],[Routine Activities (PM/ PMCAL, CM, Genba, Isotanker, Material Readiness, Sampling)]]</f>
        <v>Waste offloading - Aq</v>
      </c>
      <c r="P664" s="1"/>
    </row>
    <row r="665" spans="1:16" ht="14.5" hidden="1" x14ac:dyDescent="0.35">
      <c r="B665" s="124"/>
      <c r="C665" s="633" t="s">
        <v>776</v>
      </c>
      <c r="D665" s="254">
        <v>43920</v>
      </c>
      <c r="E665" s="255" t="s">
        <v>433</v>
      </c>
      <c r="F665" s="248"/>
      <c r="G665" s="248">
        <f>Table1[[#This Row],[Start Date]]</f>
        <v>0</v>
      </c>
      <c r="H665" s="257" t="s">
        <v>462</v>
      </c>
      <c r="I665" s="632"/>
      <c r="J665" s="363" t="str">
        <f>Table1[[#This Row],[Routine Activities (PM/ PMCAL, CM, Genba, Isotanker, Material Readiness, Sampling)]]</f>
        <v>Waste offloading - Organic</v>
      </c>
      <c r="P665" s="1"/>
    </row>
    <row r="666" spans="1:16" ht="14.5" hidden="1" x14ac:dyDescent="0.35">
      <c r="B666" s="124"/>
      <c r="C666" s="633" t="s">
        <v>1298</v>
      </c>
      <c r="D666" s="254">
        <v>43920</v>
      </c>
      <c r="E666" s="255" t="s">
        <v>785</v>
      </c>
      <c r="F666" s="248"/>
      <c r="G666" s="248">
        <f>Table1[[#This Row],[Start Date]]</f>
        <v>0</v>
      </c>
      <c r="H666" s="257" t="s">
        <v>462</v>
      </c>
      <c r="I666" s="632"/>
      <c r="J666" s="363" t="str">
        <f>Table1[[#This Row],[Routine Activities (PM/ PMCAL, CM, Genba, Isotanker, Material Readiness, Sampling)]]</f>
        <v>Genba - Cancelled</v>
      </c>
      <c r="P666" s="1"/>
    </row>
    <row r="667" spans="1:16" ht="14.5" hidden="1" x14ac:dyDescent="0.35">
      <c r="B667" s="124"/>
      <c r="C667" s="640" t="s">
        <v>945</v>
      </c>
      <c r="D667" s="254">
        <v>43920</v>
      </c>
      <c r="E667" s="255" t="s">
        <v>891</v>
      </c>
      <c r="F667" s="248"/>
      <c r="G667" s="248">
        <f>Table1[[#This Row],[Start Date]]</f>
        <v>0</v>
      </c>
      <c r="H667" s="257" t="s">
        <v>340</v>
      </c>
      <c r="I667" s="632"/>
      <c r="J667" s="363" t="str">
        <f>Table1[[#This Row],[Routine Activities (PM/ PMCAL, CM, Genba, Isotanker, Material Readiness, Sampling)]]</f>
        <v>QoP</v>
      </c>
      <c r="P667" s="1"/>
    </row>
    <row r="668" spans="1:16" ht="14.5" hidden="1" x14ac:dyDescent="0.35">
      <c r="B668" s="124"/>
      <c r="C668" s="633" t="s">
        <v>1739</v>
      </c>
      <c r="D668" s="254">
        <v>43920</v>
      </c>
      <c r="E668" s="255" t="s">
        <v>418</v>
      </c>
      <c r="F668" s="248"/>
      <c r="G668" s="248">
        <f>Table1[[#This Row],[Start Date]]</f>
        <v>0</v>
      </c>
      <c r="H668" s="257" t="s">
        <v>340</v>
      </c>
      <c r="I668" s="632"/>
      <c r="J668" s="363" t="str">
        <f>Table1[[#This Row],[Routine Activities (PM/ PMCAL, CM, Genba, Isotanker, Material Readiness, Sampling)]]</f>
        <v>Material Readiness for C-1</v>
      </c>
      <c r="P668" s="1"/>
    </row>
    <row r="669" spans="1:16" ht="15" hidden="1" customHeight="1" x14ac:dyDescent="0.35">
      <c r="A669" s="18"/>
      <c r="B669" s="124"/>
      <c r="C669" s="633" t="s">
        <v>1740</v>
      </c>
      <c r="D669" s="344">
        <v>43857</v>
      </c>
      <c r="E669" s="255" t="s">
        <v>789</v>
      </c>
      <c r="F669" s="248"/>
      <c r="G669" s="248"/>
      <c r="H669" s="248" t="s">
        <v>340</v>
      </c>
      <c r="I669" s="632" t="s">
        <v>1741</v>
      </c>
      <c r="J669" s="245" t="s">
        <v>1742</v>
      </c>
      <c r="P669" s="1"/>
    </row>
    <row r="670" spans="1:16" ht="14.5" hidden="1" x14ac:dyDescent="0.35">
      <c r="A670" s="18"/>
      <c r="B670" s="124"/>
      <c r="C670" s="633" t="s">
        <v>792</v>
      </c>
      <c r="D670" s="345">
        <v>43850</v>
      </c>
      <c r="E670" s="346" t="s">
        <v>433</v>
      </c>
      <c r="F670" s="248"/>
      <c r="G670" s="347"/>
      <c r="H670" s="348" t="s">
        <v>462</v>
      </c>
      <c r="I670" s="633"/>
      <c r="J670" s="247" t="str">
        <f>Table1[[#This Row],[Routine Activities (PM/ PMCAL, CM, Genba, Isotanker, Material Readiness, Sampling)]]</f>
        <v>Waste offloading - Aq</v>
      </c>
      <c r="P670" s="1"/>
    </row>
    <row r="671" spans="1:16" ht="14.5" hidden="1" x14ac:dyDescent="0.35">
      <c r="A671" s="18"/>
      <c r="B671" s="124"/>
      <c r="C671" s="633" t="s">
        <v>777</v>
      </c>
      <c r="D671" s="344">
        <v>43850</v>
      </c>
      <c r="E671" s="346" t="s">
        <v>433</v>
      </c>
      <c r="F671" s="248"/>
      <c r="G671" s="347"/>
      <c r="H671" s="348" t="s">
        <v>462</v>
      </c>
      <c r="I671" s="633"/>
      <c r="J671" s="247" t="str">
        <f>Table1[[#This Row],[Routine Activities (PM/ PMCAL, CM, Genba, Isotanker, Material Readiness, Sampling)]]</f>
        <v>Waste offloading - Org</v>
      </c>
      <c r="P671" s="1"/>
    </row>
    <row r="672" spans="1:16" ht="15" hidden="1" customHeight="1" x14ac:dyDescent="0.35">
      <c r="A672" s="18"/>
      <c r="B672" s="124"/>
      <c r="C672" s="633" t="s">
        <v>1340</v>
      </c>
      <c r="D672" s="254">
        <v>43843</v>
      </c>
      <c r="E672" s="255" t="s">
        <v>418</v>
      </c>
      <c r="F672" s="248"/>
      <c r="G672" s="248"/>
      <c r="H672" s="257" t="s">
        <v>462</v>
      </c>
      <c r="I672" s="632"/>
      <c r="J672" s="245" t="str">
        <f>Table1[[#This Row],[Routine Activities (PM/ PMCAL, CM, Genba, Isotanker, Material Readiness, Sampling)]]</f>
        <v>Solvent loading</v>
      </c>
      <c r="P672" s="1"/>
    </row>
    <row r="673" spans="1:16" ht="14.5" hidden="1" x14ac:dyDescent="0.35">
      <c r="A673" s="18"/>
      <c r="B673" s="124"/>
      <c r="C673" s="633" t="s">
        <v>792</v>
      </c>
      <c r="D673" s="254">
        <v>43843</v>
      </c>
      <c r="E673" s="255" t="s">
        <v>433</v>
      </c>
      <c r="F673" s="248"/>
      <c r="G673" s="248"/>
      <c r="H673" s="257" t="s">
        <v>462</v>
      </c>
      <c r="I673" s="632"/>
      <c r="J673" s="245" t="str">
        <f>Table1[[#This Row],[Routine Activities (PM/ PMCAL, CM, Genba, Isotanker, Material Readiness, Sampling)]]</f>
        <v>Waste offloading - Aq</v>
      </c>
      <c r="P673" s="1"/>
    </row>
    <row r="674" spans="1:16" ht="29" hidden="1" x14ac:dyDescent="0.35">
      <c r="A674" s="18"/>
      <c r="B674" s="124"/>
      <c r="C674" s="633" t="s">
        <v>1743</v>
      </c>
      <c r="D674" s="254">
        <v>43857</v>
      </c>
      <c r="E674" s="255" t="s">
        <v>418</v>
      </c>
      <c r="F674" s="248"/>
      <c r="G674" s="248"/>
      <c r="H674" s="257" t="s">
        <v>340</v>
      </c>
      <c r="I674" s="632"/>
      <c r="J674" s="245" t="str">
        <f>Table1[[#This Row],[Routine Activities (PM/ PMCAL, CM, Genba, Isotanker, Material Readiness, Sampling)]]</f>
        <v>Material Readiness for post A2 cleaning</v>
      </c>
      <c r="P674" s="1"/>
    </row>
    <row r="675" spans="1:16" ht="14.5" hidden="1" x14ac:dyDescent="0.35">
      <c r="A675" s="18"/>
      <c r="B675" s="124"/>
      <c r="C675" s="633" t="s">
        <v>792</v>
      </c>
      <c r="D675" s="254">
        <v>43864</v>
      </c>
      <c r="E675" s="299" t="s">
        <v>433</v>
      </c>
      <c r="F675" s="248"/>
      <c r="G675" s="248">
        <f>Table1[[#This Row],[Start Date]]</f>
        <v>0</v>
      </c>
      <c r="H675" s="257" t="s">
        <v>462</v>
      </c>
      <c r="I675" s="632"/>
      <c r="J675" s="245" t="str">
        <f>Table1[[#This Row],[Routine Activities (PM/ PMCAL, CM, Genba, Isotanker, Material Readiness, Sampling)]]</f>
        <v>Waste offloading - Aq</v>
      </c>
      <c r="P675" s="1"/>
    </row>
    <row r="676" spans="1:16" ht="14.5" hidden="1" x14ac:dyDescent="0.35">
      <c r="A676" s="18"/>
      <c r="B676" s="124"/>
      <c r="C676" s="633" t="s">
        <v>1340</v>
      </c>
      <c r="D676" s="254">
        <v>43864</v>
      </c>
      <c r="E676" s="255" t="s">
        <v>418</v>
      </c>
      <c r="F676" s="248"/>
      <c r="G676" s="248">
        <f>Table1[[#This Row],[Start Date]]</f>
        <v>0</v>
      </c>
      <c r="H676" s="257" t="s">
        <v>462</v>
      </c>
      <c r="I676" s="632"/>
      <c r="J676" s="245" t="str">
        <f>Table1[[#This Row],[Routine Activities (PM/ PMCAL, CM, Genba, Isotanker, Material Readiness, Sampling)]]</f>
        <v>Solvent loading</v>
      </c>
      <c r="P676" s="1"/>
    </row>
    <row r="677" spans="1:16" ht="29" hidden="1" x14ac:dyDescent="0.35">
      <c r="A677" s="18"/>
      <c r="B677" s="124"/>
      <c r="C677" s="633" t="s">
        <v>1744</v>
      </c>
      <c r="D677" s="254">
        <v>43864</v>
      </c>
      <c r="E677" s="255" t="s">
        <v>418</v>
      </c>
      <c r="F677" s="248"/>
      <c r="G677" s="248">
        <f>Table1[[#This Row],[Start Date]]</f>
        <v>0</v>
      </c>
      <c r="H677" s="257" t="s">
        <v>340</v>
      </c>
      <c r="I677" s="632"/>
      <c r="J677" s="245" t="str">
        <f>Table1[[#This Row],[Routine Activities (PM/ PMCAL, CM, Genba, Isotanker, Material Readiness, Sampling)]]</f>
        <v>Material Readiness - Cleaning</v>
      </c>
      <c r="P677" s="1"/>
    </row>
    <row r="678" spans="1:16" ht="14.5" hidden="1" x14ac:dyDescent="0.35">
      <c r="A678" s="18"/>
      <c r="B678" s="124"/>
      <c r="C678" s="633" t="s">
        <v>777</v>
      </c>
      <c r="D678" s="254">
        <v>43871</v>
      </c>
      <c r="E678" s="255" t="s">
        <v>433</v>
      </c>
      <c r="F678" s="248"/>
      <c r="G678" s="248">
        <f>Table1[[#This Row],[Start Date]]</f>
        <v>0</v>
      </c>
      <c r="H678" s="257" t="s">
        <v>462</v>
      </c>
      <c r="I678" s="632"/>
      <c r="J678" s="245" t="str">
        <f>Table1[[#This Row],[Routine Activities (PM/ PMCAL, CM, Genba, Isotanker, Material Readiness, Sampling)]]</f>
        <v>Waste offloading - Org</v>
      </c>
      <c r="P678" s="1"/>
    </row>
    <row r="679" spans="1:16" ht="14.5" hidden="1" x14ac:dyDescent="0.35">
      <c r="A679" s="18"/>
      <c r="B679" s="124"/>
      <c r="C679" s="633" t="s">
        <v>837</v>
      </c>
      <c r="D679" s="254">
        <v>43871</v>
      </c>
      <c r="E679" s="255" t="s">
        <v>339</v>
      </c>
      <c r="F679" s="248"/>
      <c r="G679" s="248">
        <f>Table1[[#This Row],[Start Date]]</f>
        <v>0</v>
      </c>
      <c r="H679" s="257" t="s">
        <v>340</v>
      </c>
      <c r="I679" s="632"/>
      <c r="J679" s="245" t="str">
        <f>Table1[[#This Row],[Routine Activities (PM/ PMCAL, CM, Genba, Isotanker, Material Readiness, Sampling)]]</f>
        <v>QC Testing Readiness</v>
      </c>
      <c r="P679" s="1"/>
    </row>
    <row r="680" spans="1:16" ht="14.5" hidden="1" x14ac:dyDescent="0.35">
      <c r="A680" s="18"/>
      <c r="B680" s="124"/>
      <c r="C680" s="631" t="s">
        <v>792</v>
      </c>
      <c r="D680" s="254">
        <v>43878</v>
      </c>
      <c r="E680" s="255" t="s">
        <v>433</v>
      </c>
      <c r="F680" s="248"/>
      <c r="G680" s="248">
        <f>Table1[[#This Row],[Start Date]]</f>
        <v>0</v>
      </c>
      <c r="H680" s="257" t="s">
        <v>462</v>
      </c>
      <c r="I680" s="632"/>
      <c r="J680" s="249" t="str">
        <f>Table1[[#This Row],[Routine Activities (PM/ PMCAL, CM, Genba, Isotanker, Material Readiness, Sampling)]]</f>
        <v>Waste offloading - Aq</v>
      </c>
      <c r="P680" s="1"/>
    </row>
    <row r="681" spans="1:16" ht="14.5" hidden="1" x14ac:dyDescent="0.35">
      <c r="A681" s="18"/>
      <c r="B681" s="124"/>
      <c r="C681" s="633" t="s">
        <v>776</v>
      </c>
      <c r="D681" s="254">
        <v>43857</v>
      </c>
      <c r="E681" s="255" t="s">
        <v>433</v>
      </c>
      <c r="F681" s="248"/>
      <c r="G681" s="248"/>
      <c r="H681" s="257" t="s">
        <v>462</v>
      </c>
      <c r="I681" s="632"/>
      <c r="J681" s="245" t="str">
        <f>Table1[[#This Row],[Routine Activities (PM/ PMCAL, CM, Genba, Isotanker, Material Readiness, Sampling)]]</f>
        <v>Waste offloading - Organic</v>
      </c>
      <c r="P681" s="1"/>
    </row>
    <row r="682" spans="1:16" ht="14.5" hidden="1" x14ac:dyDescent="0.35">
      <c r="B682" s="124"/>
      <c r="C682" s="633" t="s">
        <v>792</v>
      </c>
      <c r="D682" s="254">
        <v>43885</v>
      </c>
      <c r="E682" s="255" t="s">
        <v>433</v>
      </c>
      <c r="F682" s="248"/>
      <c r="G682" s="248">
        <f>Table1[[#This Row],[Start Date]]</f>
        <v>0</v>
      </c>
      <c r="H682" s="257" t="s">
        <v>462</v>
      </c>
      <c r="I682" s="632"/>
      <c r="J682" s="245" t="str">
        <f>Table1[[#This Row],[Routine Activities (PM/ PMCAL, CM, Genba, Isotanker, Material Readiness, Sampling)]]</f>
        <v>Waste offloading - Aq</v>
      </c>
      <c r="P682" s="1"/>
    </row>
    <row r="683" spans="1:16" ht="14.5" hidden="1" x14ac:dyDescent="0.35">
      <c r="B683" s="124"/>
      <c r="C683" s="633" t="s">
        <v>792</v>
      </c>
      <c r="D683" s="254">
        <v>43857</v>
      </c>
      <c r="E683" s="255" t="s">
        <v>433</v>
      </c>
      <c r="F683" s="248"/>
      <c r="G683" s="248"/>
      <c r="H683" s="257" t="s">
        <v>462</v>
      </c>
      <c r="I683" s="632"/>
      <c r="J683" s="245" t="s">
        <v>796</v>
      </c>
      <c r="P683" s="1"/>
    </row>
    <row r="684" spans="1:16" ht="24.65" hidden="1" customHeight="1" x14ac:dyDescent="0.35">
      <c r="B684" s="124"/>
      <c r="C684" s="633" t="s">
        <v>1298</v>
      </c>
      <c r="D684" s="254">
        <v>43885</v>
      </c>
      <c r="E684" s="255" t="s">
        <v>785</v>
      </c>
      <c r="F684" s="248"/>
      <c r="G684" s="248">
        <f>Table1[[#This Row],[Start Date]]</f>
        <v>0</v>
      </c>
      <c r="H684" s="257" t="s">
        <v>462</v>
      </c>
      <c r="I684" s="632"/>
      <c r="J684" s="245" t="str">
        <f>Table1[[#This Row],[Routine Activities (PM/ PMCAL, CM, Genba, Isotanker, Material Readiness, Sampling)]]</f>
        <v>Genba - Cancelled</v>
      </c>
      <c r="P684" s="1"/>
    </row>
    <row r="685" spans="1:16" ht="15" hidden="1" customHeight="1" x14ac:dyDescent="0.35">
      <c r="B685" s="124"/>
      <c r="C685" s="631" t="s">
        <v>792</v>
      </c>
      <c r="D685" s="254">
        <v>43885</v>
      </c>
      <c r="E685" s="255" t="s">
        <v>433</v>
      </c>
      <c r="F685" s="248"/>
      <c r="G685" s="248">
        <f>Table1[[#This Row],[Start Date]]</f>
        <v>0</v>
      </c>
      <c r="H685" s="257" t="s">
        <v>462</v>
      </c>
      <c r="I685" s="632"/>
      <c r="J685" s="245" t="str">
        <f>Table1[[#This Row],[Routine Activities (PM/ PMCAL, CM, Genba, Isotanker, Material Readiness, Sampling)]]</f>
        <v>Waste offloading - Aq</v>
      </c>
      <c r="P685" s="1"/>
    </row>
    <row r="686" spans="1:16" ht="15" hidden="1" customHeight="1" x14ac:dyDescent="0.35">
      <c r="B686" s="124"/>
      <c r="C686" s="631" t="s">
        <v>777</v>
      </c>
      <c r="D686" s="254">
        <v>43885</v>
      </c>
      <c r="E686" s="255" t="s">
        <v>433</v>
      </c>
      <c r="F686" s="248"/>
      <c r="G686" s="248">
        <f>Table1[[#This Row],[Start Date]]</f>
        <v>0</v>
      </c>
      <c r="H686" s="257" t="s">
        <v>462</v>
      </c>
      <c r="I686" s="632"/>
      <c r="J686" s="245" t="str">
        <f>Table1[[#This Row],[Routine Activities (PM/ PMCAL, CM, Genba, Isotanker, Material Readiness, Sampling)]]</f>
        <v>Waste offloading - Org</v>
      </c>
      <c r="P686" s="1"/>
    </row>
    <row r="687" spans="1:16" ht="15" hidden="1" customHeight="1" x14ac:dyDescent="0.35">
      <c r="B687" s="124"/>
      <c r="C687" s="631" t="s">
        <v>1438</v>
      </c>
      <c r="D687" s="254">
        <v>43885</v>
      </c>
      <c r="E687" s="255" t="s">
        <v>418</v>
      </c>
      <c r="F687" s="248"/>
      <c r="G687" s="248">
        <f>Table1[[#This Row],[Start Date]]</f>
        <v>0</v>
      </c>
      <c r="H687" s="257" t="s">
        <v>462</v>
      </c>
      <c r="I687" s="632"/>
      <c r="J687" s="245" t="str">
        <f>Table1[[#This Row],[Routine Activities (PM/ PMCAL, CM, Genba, Isotanker, Material Readiness, Sampling)]]</f>
        <v xml:space="preserve">Solvent loading </v>
      </c>
      <c r="P687" s="1"/>
    </row>
    <row r="688" spans="1:16" ht="15" hidden="1" customHeight="1" x14ac:dyDescent="0.35">
      <c r="B688" s="124"/>
      <c r="C688" s="631" t="s">
        <v>1745</v>
      </c>
      <c r="D688" s="254">
        <v>43885</v>
      </c>
      <c r="E688" s="255" t="s">
        <v>339</v>
      </c>
      <c r="F688" s="248"/>
      <c r="G688" s="248">
        <f>Table1[[#This Row],[Start Date]]</f>
        <v>0</v>
      </c>
      <c r="H688" s="257" t="s">
        <v>340</v>
      </c>
      <c r="I688" s="632"/>
      <c r="J688" s="245" t="str">
        <f>Table1[[#This Row],[Routine Activities (PM/ PMCAL, CM, Genba, Isotanker, Material Readiness, Sampling)]]</f>
        <v>QC Testing Readiness for A3</v>
      </c>
      <c r="P688" s="1"/>
    </row>
    <row r="689" spans="2:16" ht="15" hidden="1" customHeight="1" x14ac:dyDescent="0.35">
      <c r="B689" s="124"/>
      <c r="C689" s="631" t="s">
        <v>1298</v>
      </c>
      <c r="D689" s="254">
        <v>43899</v>
      </c>
      <c r="E689" s="255" t="s">
        <v>785</v>
      </c>
      <c r="F689" s="248"/>
      <c r="G689" s="248">
        <f>Table1[[#This Row],[Start Date]]</f>
        <v>0</v>
      </c>
      <c r="H689" s="257" t="s">
        <v>462</v>
      </c>
      <c r="I689" s="632"/>
      <c r="J689" s="245" t="str">
        <f>Table1[[#This Row],[Routine Activities (PM/ PMCAL, CM, Genba, Isotanker, Material Readiness, Sampling)]]</f>
        <v>Genba - Cancelled</v>
      </c>
      <c r="P689" s="1"/>
    </row>
    <row r="690" spans="2:16" ht="15" hidden="1" customHeight="1" x14ac:dyDescent="0.35">
      <c r="B690" s="124"/>
      <c r="C690" s="631" t="s">
        <v>837</v>
      </c>
      <c r="D690" s="254">
        <v>43899</v>
      </c>
      <c r="E690" s="255" t="s">
        <v>737</v>
      </c>
      <c r="F690" s="248"/>
      <c r="G690" s="248">
        <f>Table1[[#This Row],[Start Date]]</f>
        <v>0</v>
      </c>
      <c r="H690" s="257" t="s">
        <v>462</v>
      </c>
      <c r="I690" s="632"/>
      <c r="J690" s="245" t="str">
        <f>Table1[[#This Row],[Routine Activities (PM/ PMCAL, CM, Genba, Isotanker, Material Readiness, Sampling)]]</f>
        <v>QC Testing Readiness</v>
      </c>
      <c r="P690" s="1"/>
    </row>
    <row r="691" spans="2:16" ht="15" hidden="1" customHeight="1" x14ac:dyDescent="0.35">
      <c r="B691" s="124"/>
      <c r="C691" s="631" t="s">
        <v>792</v>
      </c>
      <c r="D691" s="254">
        <v>43906</v>
      </c>
      <c r="E691" s="255" t="s">
        <v>433</v>
      </c>
      <c r="F691" s="248"/>
      <c r="G691" s="248">
        <f>Table1[[#This Row],[Start Date]]</f>
        <v>0</v>
      </c>
      <c r="H691" s="257" t="s">
        <v>462</v>
      </c>
      <c r="I691" s="632"/>
      <c r="J691" s="245" t="str">
        <f>Table1[[#This Row],[Routine Activities (PM/ PMCAL, CM, Genba, Isotanker, Material Readiness, Sampling)]]</f>
        <v>Waste offloading - Aq</v>
      </c>
      <c r="P691" s="1"/>
    </row>
    <row r="692" spans="2:16" ht="14.5" hidden="1" x14ac:dyDescent="0.35">
      <c r="B692" s="124"/>
      <c r="C692" s="631" t="s">
        <v>1298</v>
      </c>
      <c r="D692" s="254">
        <v>43906</v>
      </c>
      <c r="E692" s="255" t="s">
        <v>785</v>
      </c>
      <c r="F692" s="248"/>
      <c r="G692" s="248">
        <f>Table1[[#This Row],[Start Date]]</f>
        <v>0</v>
      </c>
      <c r="H692" s="257" t="s">
        <v>462</v>
      </c>
      <c r="I692" s="632"/>
      <c r="J692" s="245" t="str">
        <f>Table1[[#This Row],[Routine Activities (PM/ PMCAL, CM, Genba, Isotanker, Material Readiness, Sampling)]]</f>
        <v>Genba - Cancelled</v>
      </c>
      <c r="P692" s="1"/>
    </row>
    <row r="693" spans="2:16" ht="14.5" hidden="1" x14ac:dyDescent="0.35">
      <c r="B693" s="124"/>
      <c r="C693" s="631" t="s">
        <v>1438</v>
      </c>
      <c r="D693" s="254">
        <v>43906</v>
      </c>
      <c r="E693" s="255" t="s">
        <v>418</v>
      </c>
      <c r="F693" s="248"/>
      <c r="G693" s="248">
        <f>Table1[[#This Row],[Start Date]]</f>
        <v>0</v>
      </c>
      <c r="H693" s="257" t="s">
        <v>462</v>
      </c>
      <c r="I693" s="632"/>
      <c r="J693" s="245" t="str">
        <f>Table1[[#This Row],[Routine Activities (PM/ PMCAL, CM, Genba, Isotanker, Material Readiness, Sampling)]]</f>
        <v xml:space="preserve">Solvent loading </v>
      </c>
      <c r="P693" s="1"/>
    </row>
    <row r="694" spans="2:16" ht="15" hidden="1" customHeight="1" x14ac:dyDescent="0.35">
      <c r="B694" s="124"/>
      <c r="C694" s="631" t="s">
        <v>837</v>
      </c>
      <c r="D694" s="254">
        <v>43906</v>
      </c>
      <c r="E694" s="255" t="s">
        <v>339</v>
      </c>
      <c r="F694" s="248"/>
      <c r="G694" s="248">
        <f>Table1[[#This Row],[Start Date]]</f>
        <v>0</v>
      </c>
      <c r="H694" s="257" t="s">
        <v>462</v>
      </c>
      <c r="I694" s="632"/>
      <c r="J694" s="245" t="str">
        <f>Table1[[#This Row],[Routine Activities (PM/ PMCAL, CM, Genba, Isotanker, Material Readiness, Sampling)]]</f>
        <v>QC Testing Readiness</v>
      </c>
      <c r="P694" s="1"/>
    </row>
    <row r="695" spans="2:16" ht="14.9" hidden="1" customHeight="1" x14ac:dyDescent="0.35">
      <c r="B695" s="124"/>
      <c r="C695" s="633" t="s">
        <v>837</v>
      </c>
      <c r="D695" s="254">
        <v>43920</v>
      </c>
      <c r="E695" s="255" t="s">
        <v>339</v>
      </c>
      <c r="F695" s="248"/>
      <c r="G695" s="248">
        <f>Table1[[#This Row],[Start Date]]</f>
        <v>0</v>
      </c>
      <c r="H695" s="257" t="s">
        <v>340</v>
      </c>
      <c r="I695" s="632"/>
      <c r="J695" s="363" t="str">
        <f>Table1[[#This Row],[Routine Activities (PM/ PMCAL, CM, Genba, Isotanker, Material Readiness, Sampling)]]</f>
        <v>QC Testing Readiness</v>
      </c>
      <c r="P695" s="1"/>
    </row>
    <row r="696" spans="2:16" ht="43.5" hidden="1" x14ac:dyDescent="0.35">
      <c r="B696" s="124"/>
      <c r="C696" s="646" t="s">
        <v>1746</v>
      </c>
      <c r="D696" s="254"/>
      <c r="E696" s="255" t="s">
        <v>1054</v>
      </c>
      <c r="F696" s="248">
        <v>44090</v>
      </c>
      <c r="G696" s="248"/>
      <c r="H696" s="257" t="s">
        <v>340</v>
      </c>
      <c r="I696" s="632"/>
      <c r="J696" s="249" t="str">
        <f>Table1[[#This Row],[Routine Activities (PM/ PMCAL, CM, Genba, Isotanker, Material Readiness, Sampling)]]</f>
        <v>IH Monitoring - DCM charging and drumming (Step B batch cleaning - 200L)</v>
      </c>
      <c r="P696" s="1"/>
    </row>
    <row r="697" spans="2:16" ht="15" hidden="1" customHeight="1" x14ac:dyDescent="0.35">
      <c r="B697" s="124">
        <v>328</v>
      </c>
      <c r="C697" s="617" t="s">
        <v>792</v>
      </c>
      <c r="D697" s="254">
        <v>43913</v>
      </c>
      <c r="E697" s="255" t="s">
        <v>433</v>
      </c>
      <c r="F697" s="248"/>
      <c r="G697" s="248">
        <f>Table1[[#This Row],[Start Date]]</f>
        <v>0</v>
      </c>
      <c r="H697" s="257" t="s">
        <v>462</v>
      </c>
      <c r="I697" s="632"/>
      <c r="J697" s="245" t="str">
        <f>Table1[[#This Row],[Routine Activities (PM/ PMCAL, CM, Genba, Isotanker, Material Readiness, Sampling)]]</f>
        <v>Waste offloading - Aq</v>
      </c>
      <c r="P697" s="1"/>
    </row>
    <row r="698" spans="2:16" ht="15" hidden="1" customHeight="1" x14ac:dyDescent="0.35">
      <c r="B698" s="124">
        <v>329</v>
      </c>
      <c r="C698" s="631" t="s">
        <v>1298</v>
      </c>
      <c r="D698" s="254">
        <v>43913</v>
      </c>
      <c r="E698" s="255" t="s">
        <v>785</v>
      </c>
      <c r="F698" s="248"/>
      <c r="G698" s="248">
        <f>Table1[[#This Row],[Start Date]]</f>
        <v>0</v>
      </c>
      <c r="H698" s="257" t="s">
        <v>462</v>
      </c>
      <c r="I698" s="632"/>
      <c r="J698" s="245" t="str">
        <f>Table1[[#This Row],[Routine Activities (PM/ PMCAL, CM, Genba, Isotanker, Material Readiness, Sampling)]]</f>
        <v>Genba - Cancelled</v>
      </c>
      <c r="P698" s="1"/>
    </row>
    <row r="699" spans="2:16" ht="15" hidden="1" customHeight="1" x14ac:dyDescent="0.35">
      <c r="B699" s="124">
        <v>330</v>
      </c>
      <c r="C699" s="631" t="s">
        <v>837</v>
      </c>
      <c r="D699" s="254">
        <v>43913</v>
      </c>
      <c r="E699" s="255" t="s">
        <v>339</v>
      </c>
      <c r="F699" s="248"/>
      <c r="G699" s="248">
        <f>Table1[[#This Row],[Start Date]]</f>
        <v>0</v>
      </c>
      <c r="H699" s="257" t="s">
        <v>462</v>
      </c>
      <c r="I699" s="632"/>
      <c r="J699" s="245" t="str">
        <f>Table1[[#This Row],[Routine Activities (PM/ PMCAL, CM, Genba, Isotanker, Material Readiness, Sampling)]]</f>
        <v>QC Testing Readiness</v>
      </c>
      <c r="P699" s="1"/>
    </row>
    <row r="700" spans="2:16" ht="29" hidden="1" x14ac:dyDescent="0.35">
      <c r="C700" s="646" t="s">
        <v>1700</v>
      </c>
      <c r="D700" s="254">
        <v>44158</v>
      </c>
      <c r="E700" s="121" t="s">
        <v>1544</v>
      </c>
      <c r="F700" s="237">
        <v>44161</v>
      </c>
      <c r="G700" s="237">
        <f>Table1[[#This Row],[Start Date]]</f>
        <v>44161</v>
      </c>
      <c r="H700" s="251"/>
      <c r="I700" s="618"/>
      <c r="J700" s="179" t="s">
        <v>1747</v>
      </c>
    </row>
    <row r="701" spans="2:16" ht="43.5" hidden="1" x14ac:dyDescent="0.35">
      <c r="C701" s="620" t="s">
        <v>1748</v>
      </c>
      <c r="D701" s="238">
        <v>44158</v>
      </c>
      <c r="E701" s="121" t="s">
        <v>1655</v>
      </c>
      <c r="F701" s="237">
        <v>44161</v>
      </c>
      <c r="G701" s="237">
        <f>Table1[[#This Row],[Start Date]]</f>
        <v>44161</v>
      </c>
      <c r="H701" s="251"/>
      <c r="I701" s="618"/>
      <c r="J701" s="179" t="s">
        <v>1749</v>
      </c>
    </row>
    <row r="702" spans="2:16" ht="14.5" hidden="1" x14ac:dyDescent="0.35">
      <c r="C702" s="620" t="s">
        <v>1750</v>
      </c>
      <c r="D702" s="238">
        <v>44158</v>
      </c>
      <c r="E702" s="121" t="s">
        <v>377</v>
      </c>
      <c r="F702" s="237">
        <v>44161</v>
      </c>
      <c r="G702" s="237">
        <f>Table1[[#This Row],[Start Date]]</f>
        <v>44161</v>
      </c>
      <c r="H702" s="251"/>
      <c r="I702" s="618"/>
      <c r="J702" s="179" t="str">
        <f>Table1[[#This Row],[Routine Activities (PM/ PMCAL, CM, Genba, Isotanker, Material Readiness, Sampling)]]</f>
        <v xml:space="preserve">N2 loading </v>
      </c>
    </row>
    <row r="703" spans="2:16" ht="14.5" hidden="1" x14ac:dyDescent="0.35">
      <c r="C703" s="620" t="s">
        <v>957</v>
      </c>
      <c r="D703" s="238">
        <v>44158</v>
      </c>
      <c r="E703" s="121" t="s">
        <v>377</v>
      </c>
      <c r="F703" s="237">
        <v>44162</v>
      </c>
      <c r="G703" s="237">
        <f>Table1[[#This Row],[Start Date]]</f>
        <v>44162</v>
      </c>
      <c r="H703" s="251"/>
      <c r="I703" s="618"/>
      <c r="J703" s="179" t="str">
        <f>Table1[[#This Row],[Routine Activities (PM/ PMCAL, CM, Genba, Isotanker, Material Readiness, Sampling)]]</f>
        <v xml:space="preserve">Solvent loading - MeOH </v>
      </c>
    </row>
    <row r="704" spans="2:16" ht="29" hidden="1" x14ac:dyDescent="0.35">
      <c r="C704" s="620" t="s">
        <v>1733</v>
      </c>
      <c r="D704" s="238">
        <v>44158</v>
      </c>
      <c r="E704" s="121" t="s">
        <v>433</v>
      </c>
      <c r="F704" s="237">
        <v>44163</v>
      </c>
      <c r="G704" s="237">
        <f>Table1[[#This Row],[Start Date]]</f>
        <v>44163</v>
      </c>
      <c r="H704" s="251"/>
      <c r="I704" s="618"/>
      <c r="J704" s="179" t="str">
        <f>Table1[[#This Row],[Routine Activities (PM/ PMCAL, CM, Genba, Isotanker, Material Readiness, Sampling)]]</f>
        <v xml:space="preserve">Collection of filled DCM waste drums </v>
      </c>
    </row>
    <row r="705" spans="3:10" ht="87" hidden="1" x14ac:dyDescent="0.35">
      <c r="C705" s="620" t="s">
        <v>1751</v>
      </c>
      <c r="D705" s="238">
        <v>44158</v>
      </c>
      <c r="E705" s="121" t="s">
        <v>1601</v>
      </c>
      <c r="F705" s="237">
        <v>44163</v>
      </c>
      <c r="G705" s="237">
        <f>Table1[[#This Row],[Start Date]]</f>
        <v>44163</v>
      </c>
      <c r="H705" s="251"/>
      <c r="I705" s="618"/>
      <c r="J705" s="179" t="s">
        <v>1752</v>
      </c>
    </row>
    <row r="706" spans="3:10" ht="29" hidden="1" x14ac:dyDescent="0.35">
      <c r="C706" s="620" t="s">
        <v>1753</v>
      </c>
      <c r="D706" s="238">
        <v>44158</v>
      </c>
      <c r="E706" s="121" t="s">
        <v>1601</v>
      </c>
      <c r="F706" s="237">
        <v>44163</v>
      </c>
      <c r="G706" s="237">
        <f>Table1[[#This Row],[Start Date]]</f>
        <v>44163</v>
      </c>
      <c r="H706" s="251"/>
      <c r="I706" s="618"/>
      <c r="J706" s="179" t="s">
        <v>1754</v>
      </c>
    </row>
    <row r="707" spans="3:10" ht="130.5" hidden="1" x14ac:dyDescent="0.35">
      <c r="C707" s="620" t="s">
        <v>1755</v>
      </c>
      <c r="D707" s="238">
        <v>44165</v>
      </c>
      <c r="E707" s="121" t="s">
        <v>1756</v>
      </c>
      <c r="F707" s="237">
        <v>44166</v>
      </c>
      <c r="G707" s="237">
        <f>Table1[[#This Row],[Start Date]]</f>
        <v>44166</v>
      </c>
      <c r="H707" s="251"/>
      <c r="I707" s="618"/>
      <c r="J707" s="179" t="s">
        <v>1757</v>
      </c>
    </row>
    <row r="708" spans="3:10" ht="29" hidden="1" x14ac:dyDescent="0.35">
      <c r="C708" s="620" t="s">
        <v>1409</v>
      </c>
      <c r="D708" s="238">
        <v>44151</v>
      </c>
      <c r="E708" s="121" t="s">
        <v>433</v>
      </c>
      <c r="F708" s="237"/>
      <c r="G708" s="237">
        <f>Table1[[#This Row],[Start Date]]</f>
        <v>0</v>
      </c>
      <c r="H708" s="251"/>
      <c r="I708" s="618"/>
      <c r="J708" s="179" t="str">
        <f>Table1[[#This Row],[Routine Activities (PM/ PMCAL, CM, Genba, Isotanker, Material Readiness, Sampling)]]</f>
        <v>Waste offloading - Aq (not req)</v>
      </c>
    </row>
    <row r="709" spans="3:10" ht="14.5" hidden="1" x14ac:dyDescent="0.35">
      <c r="C709" s="620" t="s">
        <v>1758</v>
      </c>
      <c r="D709" s="238">
        <v>44151</v>
      </c>
      <c r="E709" s="121" t="s">
        <v>891</v>
      </c>
      <c r="F709" s="237"/>
      <c r="G709" s="237">
        <f>Table1[[#This Row],[Start Date]]</f>
        <v>0</v>
      </c>
      <c r="H709" s="251"/>
      <c r="I709" s="618"/>
      <c r="J709" s="179" t="str">
        <f>Table1[[#This Row],[Routine Activities (PM/ PMCAL, CM, Genba, Isotanker, Material Readiness, Sampling)]]</f>
        <v>QoP - Recrystallization</v>
      </c>
    </row>
    <row r="710" spans="3:10" ht="43.5" hidden="1" x14ac:dyDescent="0.35">
      <c r="C710" s="620" t="s">
        <v>1759</v>
      </c>
      <c r="D710" s="238">
        <v>44165</v>
      </c>
      <c r="E710" s="121" t="s">
        <v>1544</v>
      </c>
      <c r="F710" s="237">
        <v>44166</v>
      </c>
      <c r="G710" s="237">
        <f>Table1[[#This Row],[Start Date]]</f>
        <v>44166</v>
      </c>
      <c r="H710" s="251"/>
      <c r="I710" s="618"/>
      <c r="J710" s="179" t="s">
        <v>1671</v>
      </c>
    </row>
    <row r="711" spans="3:10" ht="14.5" hidden="1" x14ac:dyDescent="0.35">
      <c r="C711" s="627" t="s">
        <v>1099</v>
      </c>
      <c r="D711" s="238">
        <v>44165</v>
      </c>
      <c r="E711" s="121" t="s">
        <v>433</v>
      </c>
      <c r="F711" s="237">
        <v>44166</v>
      </c>
      <c r="G711" s="237">
        <f>Table1[[#This Row],[Start Date]]</f>
        <v>44166</v>
      </c>
      <c r="H711" s="251"/>
      <c r="I711" s="618"/>
      <c r="J711" s="179" t="str">
        <f>Table1[[#This Row],[Routine Activities (PM/ PMCAL, CM, Genba, Isotanker, Material Readiness, Sampling)]]</f>
        <v xml:space="preserve">Waste offloading - Org </v>
      </c>
    </row>
    <row r="712" spans="3:10" ht="14.5" hidden="1" x14ac:dyDescent="0.35">
      <c r="C712" s="627" t="s">
        <v>1760</v>
      </c>
      <c r="D712" s="238">
        <v>44165</v>
      </c>
      <c r="E712" s="121" t="s">
        <v>1761</v>
      </c>
      <c r="F712" s="237">
        <v>44166</v>
      </c>
      <c r="G712" s="237">
        <f>Table1[[#This Row],[Start Date]]</f>
        <v>44166</v>
      </c>
      <c r="H712" s="251"/>
      <c r="I712" s="618"/>
      <c r="J712" s="179" t="str">
        <f>Table1[[#This Row],[Routine Activities (PM/ PMCAL, CM, Genba, Isotanker, Material Readiness, Sampling)]]</f>
        <v>QoP - ExMat Reactor</v>
      </c>
    </row>
    <row r="713" spans="3:10" ht="29" hidden="1" x14ac:dyDescent="0.35">
      <c r="C713" s="620" t="s">
        <v>1671</v>
      </c>
      <c r="D713" s="238">
        <v>44137</v>
      </c>
      <c r="E713" s="121"/>
      <c r="F713" s="237">
        <v>44140</v>
      </c>
      <c r="G713" s="237">
        <f>Table1[[#This Row],[Start Date]]</f>
        <v>44140</v>
      </c>
      <c r="H713" s="251"/>
      <c r="I713" s="618"/>
      <c r="J713" s="179" t="str">
        <f>Table1[[#This Row],[Routine Activities (PM/ PMCAL, CM, Genba, Isotanker, Material Readiness, Sampling)]]</f>
        <v>Chem canister dome removal</v>
      </c>
    </row>
    <row r="714" spans="3:10" ht="14.5" hidden="1" x14ac:dyDescent="0.35">
      <c r="C714" s="620" t="s">
        <v>1762</v>
      </c>
      <c r="D714" s="238">
        <v>44144</v>
      </c>
      <c r="E714" s="121"/>
      <c r="F714" s="237">
        <v>44144</v>
      </c>
      <c r="G714" s="237">
        <f>Table1[[#This Row],[Start Date]]</f>
        <v>44144</v>
      </c>
      <c r="H714" s="251"/>
      <c r="I714" s="618"/>
      <c r="J714" s="179" t="str">
        <f>Table1[[#This Row],[Routine Activities (PM/ PMCAL, CM, Genba, Isotanker, Material Readiness, Sampling)]]</f>
        <v>Reactor 1 LI exit cal</v>
      </c>
    </row>
    <row r="715" spans="3:10" ht="14.5" hidden="1" x14ac:dyDescent="0.35">
      <c r="C715" s="620" t="s">
        <v>1763</v>
      </c>
      <c r="D715" s="238">
        <v>44144</v>
      </c>
      <c r="E715" s="121"/>
      <c r="F715" s="237">
        <v>44145</v>
      </c>
      <c r="G715" s="237">
        <f>Table1[[#This Row],[Start Date]]</f>
        <v>44145</v>
      </c>
      <c r="H715" s="251"/>
      <c r="I715" s="618"/>
      <c r="J715" s="179" t="str">
        <f>Table1[[#This Row],[Routine Activities (PM/ PMCAL, CM, Genba, Isotanker, Material Readiness, Sampling)]]</f>
        <v>Reactor 1 LI entry cal</v>
      </c>
    </row>
    <row r="716" spans="3:10" ht="14.5" hidden="1" x14ac:dyDescent="0.35">
      <c r="C716" s="627" t="s">
        <v>775</v>
      </c>
      <c r="D716" s="238">
        <v>44165</v>
      </c>
      <c r="E716" s="121" t="s">
        <v>377</v>
      </c>
      <c r="F716" s="237">
        <v>44167</v>
      </c>
      <c r="G716" s="237">
        <f>Table1[[#This Row],[Start Date]]</f>
        <v>44167</v>
      </c>
      <c r="H716" s="251"/>
      <c r="I716" s="618"/>
      <c r="J716" s="179" t="str">
        <f>Table1[[#This Row],[Routine Activities (PM/ PMCAL, CM, Genba, Isotanker, Material Readiness, Sampling)]]</f>
        <v>N2 loading</v>
      </c>
    </row>
    <row r="717" spans="3:10" ht="14.5" hidden="1" x14ac:dyDescent="0.35">
      <c r="C717" s="627" t="s">
        <v>1764</v>
      </c>
      <c r="D717" s="238">
        <v>44165</v>
      </c>
      <c r="E717" s="121" t="s">
        <v>418</v>
      </c>
      <c r="F717" s="237">
        <v>44167</v>
      </c>
      <c r="G717" s="237">
        <f>Table1[[#This Row],[Start Date]]</f>
        <v>44167</v>
      </c>
      <c r="H717" s="251"/>
      <c r="I717" s="618"/>
      <c r="J717" s="179" t="str">
        <f>Table1[[#This Row],[Routine Activities (PM/ PMCAL, CM, Genba, Isotanker, Material Readiness, Sampling)]]</f>
        <v xml:space="preserve">Step C Material Readiness </v>
      </c>
    </row>
    <row r="718" spans="3:10" ht="101.5" hidden="1" x14ac:dyDescent="0.35">
      <c r="C718" s="620" t="s">
        <v>1765</v>
      </c>
      <c r="D718" s="238">
        <v>44165</v>
      </c>
      <c r="E718" s="121" t="s">
        <v>1756</v>
      </c>
      <c r="F718" s="237">
        <v>44169</v>
      </c>
      <c r="G718" s="237">
        <f>Table1[[#This Row],[Start Date]]</f>
        <v>44169</v>
      </c>
      <c r="H718" s="251"/>
      <c r="I718" s="618"/>
      <c r="J718" s="179" t="s">
        <v>1766</v>
      </c>
    </row>
    <row r="719" spans="3:10" ht="43.5" hidden="1" x14ac:dyDescent="0.35">
      <c r="C719" s="620" t="s">
        <v>1767</v>
      </c>
      <c r="D719" s="238">
        <v>44165</v>
      </c>
      <c r="E719" s="121" t="s">
        <v>1544</v>
      </c>
      <c r="F719" s="237">
        <v>44169</v>
      </c>
      <c r="G719" s="237">
        <f>Table1[[#This Row],[Start Date]]</f>
        <v>44169</v>
      </c>
      <c r="H719" s="251"/>
      <c r="I719" s="618"/>
      <c r="J719" s="179" t="s">
        <v>1768</v>
      </c>
    </row>
    <row r="720" spans="3:10" ht="14.5" hidden="1" x14ac:dyDescent="0.35">
      <c r="C720" s="620" t="s">
        <v>837</v>
      </c>
      <c r="D720" s="238">
        <v>44158</v>
      </c>
      <c r="E720" s="121" t="s">
        <v>339</v>
      </c>
      <c r="F720" s="237"/>
      <c r="G720" s="237">
        <f>Table1[[#This Row],[Start Date]]</f>
        <v>0</v>
      </c>
      <c r="H720" s="251" t="s">
        <v>340</v>
      </c>
      <c r="I720" s="618"/>
      <c r="J720" s="179" t="str">
        <f>Table1[[#This Row],[Routine Activities (PM/ PMCAL, CM, Genba, Isotanker, Material Readiness, Sampling)]]</f>
        <v>QC Testing Readiness</v>
      </c>
    </row>
    <row r="721" spans="3:10" ht="14.5" hidden="1" x14ac:dyDescent="0.35">
      <c r="C721" s="627" t="s">
        <v>792</v>
      </c>
      <c r="D721" s="238">
        <v>44165</v>
      </c>
      <c r="E721" s="121" t="s">
        <v>433</v>
      </c>
      <c r="F721" s="237">
        <v>44169</v>
      </c>
      <c r="G721" s="237">
        <f>Table1[[#This Row],[Start Date]]</f>
        <v>44169</v>
      </c>
      <c r="H721" s="251"/>
      <c r="I721" s="618"/>
      <c r="J721" s="179" t="str">
        <f>Table1[[#This Row],[Routine Activities (PM/ PMCAL, CM, Genba, Isotanker, Material Readiness, Sampling)]]</f>
        <v>Waste offloading - Aq</v>
      </c>
    </row>
    <row r="722" spans="3:10" ht="29" hidden="1" x14ac:dyDescent="0.35">
      <c r="C722" s="620" t="s">
        <v>1769</v>
      </c>
      <c r="D722" s="238">
        <v>44165</v>
      </c>
      <c r="E722" s="121" t="s">
        <v>1544</v>
      </c>
      <c r="F722" s="237">
        <v>44170</v>
      </c>
      <c r="G722" s="237">
        <f>Table1[[#This Row],[Start Date]]</f>
        <v>44170</v>
      </c>
      <c r="H722" s="251"/>
      <c r="I722" s="618"/>
      <c r="J722" s="179" t="s">
        <v>1770</v>
      </c>
    </row>
    <row r="723" spans="3:10" ht="29" hidden="1" x14ac:dyDescent="0.35">
      <c r="C723" s="620" t="s">
        <v>1771</v>
      </c>
      <c r="D723" s="238">
        <v>44165</v>
      </c>
      <c r="E723" s="121" t="s">
        <v>1538</v>
      </c>
      <c r="F723" s="237">
        <v>44170</v>
      </c>
      <c r="G723" s="237">
        <f>Table1[[#This Row],[Start Date]]</f>
        <v>44170</v>
      </c>
      <c r="H723" s="251"/>
      <c r="I723" s="618"/>
      <c r="J723" s="179" t="s">
        <v>1539</v>
      </c>
    </row>
    <row r="724" spans="3:10" ht="58" hidden="1" x14ac:dyDescent="0.35">
      <c r="C724" s="620" t="s">
        <v>1772</v>
      </c>
      <c r="D724" s="238">
        <v>44165</v>
      </c>
      <c r="E724" s="121" t="s">
        <v>1644</v>
      </c>
      <c r="F724" s="237">
        <v>44170</v>
      </c>
      <c r="G724" s="237">
        <f>Table1[[#This Row],[Start Date]]</f>
        <v>44170</v>
      </c>
      <c r="H724" s="251"/>
      <c r="I724" s="618"/>
      <c r="J724" s="179" t="s">
        <v>1187</v>
      </c>
    </row>
    <row r="725" spans="3:10" ht="29" hidden="1" x14ac:dyDescent="0.35">
      <c r="C725" s="620" t="s">
        <v>1409</v>
      </c>
      <c r="D725" s="238">
        <v>44158</v>
      </c>
      <c r="E725" s="121" t="s">
        <v>433</v>
      </c>
      <c r="F725" s="237"/>
      <c r="G725" s="237">
        <f>Table1[[#This Row],[Start Date]]</f>
        <v>0</v>
      </c>
      <c r="H725" s="251"/>
      <c r="I725" s="618"/>
      <c r="J725" s="179" t="str">
        <f>Table1[[#This Row],[Routine Activities (PM/ PMCAL, CM, Genba, Isotanker, Material Readiness, Sampling)]]</f>
        <v>Waste offloading - Aq (not req)</v>
      </c>
    </row>
    <row r="726" spans="3:10" ht="14.5" hidden="1" x14ac:dyDescent="0.35">
      <c r="C726" s="620" t="s">
        <v>1773</v>
      </c>
      <c r="D726" s="238">
        <v>44158</v>
      </c>
      <c r="E726" s="121" t="s">
        <v>891</v>
      </c>
      <c r="F726" s="237"/>
      <c r="G726" s="237">
        <f>Table1[[#This Row],[Start Date]]</f>
        <v>0</v>
      </c>
      <c r="H726" s="251"/>
      <c r="I726" s="618"/>
      <c r="J726" s="179" t="str">
        <f>Table1[[#This Row],[Routine Activities (PM/ PMCAL, CM, Genba, Isotanker, Material Readiness, Sampling)]]</f>
        <v>QoP - Area walkdown</v>
      </c>
    </row>
    <row r="727" spans="3:10" ht="174" hidden="1" x14ac:dyDescent="0.35">
      <c r="C727" s="625" t="s">
        <v>1774</v>
      </c>
      <c r="D727" s="238">
        <v>44172</v>
      </c>
      <c r="E727" s="121" t="s">
        <v>1579</v>
      </c>
      <c r="F727" s="237">
        <v>44173</v>
      </c>
      <c r="G727" s="237">
        <f>Table1[[#This Row],[Start Date]]</f>
        <v>44173</v>
      </c>
      <c r="H727" s="251"/>
      <c r="I727" s="618"/>
      <c r="J727" s="179" t="s">
        <v>1775</v>
      </c>
    </row>
    <row r="728" spans="3:10" ht="29" hidden="1" x14ac:dyDescent="0.35">
      <c r="C728" s="625" t="s">
        <v>1776</v>
      </c>
      <c r="D728" s="238">
        <v>44172</v>
      </c>
      <c r="E728" s="121" t="s">
        <v>1575</v>
      </c>
      <c r="F728" s="237">
        <v>44174</v>
      </c>
      <c r="G728" s="237">
        <f>Table1[[#This Row],[Start Date]]</f>
        <v>44174</v>
      </c>
      <c r="H728" s="251"/>
      <c r="I728" s="618"/>
      <c r="J728" s="179" t="s">
        <v>1662</v>
      </c>
    </row>
    <row r="729" spans="3:10" ht="58" hidden="1" x14ac:dyDescent="0.35">
      <c r="C729" s="625" t="s">
        <v>1777</v>
      </c>
      <c r="D729" s="238">
        <v>44172</v>
      </c>
      <c r="E729" s="121" t="s">
        <v>1655</v>
      </c>
      <c r="F729" s="237">
        <v>44175</v>
      </c>
      <c r="G729" s="237">
        <f>Table1[[#This Row],[Start Date]]</f>
        <v>44175</v>
      </c>
      <c r="H729" s="251"/>
      <c r="I729" s="618"/>
      <c r="J729" s="179" t="s">
        <v>1665</v>
      </c>
    </row>
    <row r="730" spans="3:10" ht="14.5" hidden="1" x14ac:dyDescent="0.35">
      <c r="C730" s="627" t="s">
        <v>775</v>
      </c>
      <c r="D730" s="238">
        <v>44172</v>
      </c>
      <c r="E730" s="121" t="s">
        <v>377</v>
      </c>
      <c r="F730" s="237">
        <v>44175</v>
      </c>
      <c r="G730" s="237">
        <f>Table1[[#This Row],[Start Date]]</f>
        <v>44175</v>
      </c>
      <c r="H730" s="251"/>
      <c r="I730" s="618"/>
      <c r="J730" s="179" t="str">
        <f>Table1[[#This Row],[Routine Activities (PM/ PMCAL, CM, Genba, Isotanker, Material Readiness, Sampling)]]</f>
        <v>N2 loading</v>
      </c>
    </row>
    <row r="731" spans="3:10" ht="14.5" hidden="1" x14ac:dyDescent="0.35">
      <c r="C731" s="627" t="s">
        <v>1513</v>
      </c>
      <c r="D731" s="238">
        <v>44165</v>
      </c>
      <c r="E731" s="121" t="s">
        <v>785</v>
      </c>
      <c r="F731" s="237"/>
      <c r="G731" s="237">
        <f>Table1[[#This Row],[Start Date]]</f>
        <v>0</v>
      </c>
      <c r="H731" s="251"/>
      <c r="I731" s="618"/>
      <c r="J731" s="179" t="str">
        <f>Table1[[#This Row],[Routine Activities (PM/ PMCAL, CM, Genba, Isotanker, Material Readiness, Sampling)]]</f>
        <v>Genba - Dispensing</v>
      </c>
    </row>
    <row r="732" spans="3:10" ht="14.5" hidden="1" x14ac:dyDescent="0.35">
      <c r="C732" s="627" t="s">
        <v>1778</v>
      </c>
      <c r="D732" s="238">
        <v>44165</v>
      </c>
      <c r="E732" s="121" t="s">
        <v>377</v>
      </c>
      <c r="F732" s="237"/>
      <c r="G732" s="237">
        <f>Table1[[#This Row],[Start Date]]</f>
        <v>0</v>
      </c>
      <c r="H732" s="251"/>
      <c r="I732" s="618"/>
      <c r="J732" s="179" t="str">
        <f>Table1[[#This Row],[Routine Activities (PM/ PMCAL, CM, Genba, Isotanker, Material Readiness, Sampling)]]</f>
        <v>Solvent loading (not req)</v>
      </c>
    </row>
    <row r="733" spans="3:10" ht="29" hidden="1" x14ac:dyDescent="0.35">
      <c r="C733" s="625" t="s">
        <v>1779</v>
      </c>
      <c r="D733" s="238">
        <v>44172</v>
      </c>
      <c r="E733" s="121" t="s">
        <v>1575</v>
      </c>
      <c r="F733" s="237">
        <v>44176</v>
      </c>
      <c r="G733" s="237">
        <f>Table1[[#This Row],[Start Date]]</f>
        <v>44176</v>
      </c>
      <c r="H733" s="251"/>
      <c r="I733" s="618"/>
      <c r="J733" s="179" t="s">
        <v>1662</v>
      </c>
    </row>
    <row r="734" spans="3:10" ht="14.5" hidden="1" x14ac:dyDescent="0.35">
      <c r="C734" s="627" t="s">
        <v>1099</v>
      </c>
      <c r="D734" s="238">
        <v>44172</v>
      </c>
      <c r="E734" s="121" t="s">
        <v>433</v>
      </c>
      <c r="F734" s="237">
        <v>44176</v>
      </c>
      <c r="G734" s="237">
        <f>Table1[[#This Row],[Start Date]]</f>
        <v>44176</v>
      </c>
      <c r="H734" s="251"/>
      <c r="I734" s="618"/>
      <c r="J734" s="179" t="str">
        <f>Table1[[#This Row],[Routine Activities (PM/ PMCAL, CM, Genba, Isotanker, Material Readiness, Sampling)]]</f>
        <v xml:space="preserve">Waste offloading - Org </v>
      </c>
    </row>
    <row r="735" spans="3:10" ht="28.4" hidden="1" customHeight="1" x14ac:dyDescent="0.35">
      <c r="C735" s="627" t="s">
        <v>1780</v>
      </c>
      <c r="D735" s="238">
        <v>44179</v>
      </c>
      <c r="E735" s="121" t="s">
        <v>433</v>
      </c>
      <c r="F735" s="237">
        <v>44176</v>
      </c>
      <c r="G735" s="237">
        <f>Table1[[#This Row],[Start Date]]</f>
        <v>44176</v>
      </c>
      <c r="H735" s="251"/>
      <c r="I735" s="618"/>
      <c r="J735" s="179" t="str">
        <f>Table1[[#This Row],[Routine Activities (PM/ PMCAL, CM, Genba, Isotanker, Material Readiness, Sampling)]]</f>
        <v>Waste offloading - Org (11Dec Fri)</v>
      </c>
    </row>
    <row r="736" spans="3:10" ht="23.9" hidden="1" customHeight="1" x14ac:dyDescent="0.35">
      <c r="C736" s="627" t="s">
        <v>1781</v>
      </c>
      <c r="D736" s="238">
        <v>44179</v>
      </c>
      <c r="E736" s="121" t="s">
        <v>377</v>
      </c>
      <c r="F736" s="237">
        <v>44179</v>
      </c>
      <c r="G736" s="237">
        <f>Table1[[#This Row],[Start Date]]</f>
        <v>44179</v>
      </c>
      <c r="H736" s="251"/>
      <c r="I736" s="618"/>
      <c r="J736" s="179" t="str">
        <f>Table1[[#This Row],[Routine Activities (PM/ PMCAL, CM, Genba, Isotanker, Material Readiness, Sampling)]]</f>
        <v>EA loading</v>
      </c>
    </row>
    <row r="737" spans="3:10" ht="29" hidden="1" x14ac:dyDescent="0.35">
      <c r="C737" s="627" t="s">
        <v>1782</v>
      </c>
      <c r="D737" s="238">
        <v>44172</v>
      </c>
      <c r="E737" s="121" t="s">
        <v>737</v>
      </c>
      <c r="F737" s="237"/>
      <c r="G737" s="237">
        <f>Table1[[#This Row],[Start Date]]</f>
        <v>0</v>
      </c>
      <c r="H737" s="251" t="s">
        <v>340</v>
      </c>
      <c r="I737" s="618"/>
      <c r="J737" s="179" t="str">
        <f>Table1[[#This Row],[Routine Activities (PM/ PMCAL, CM, Genba, Isotanker, Material Readiness, Sampling)]]</f>
        <v>QC Testing Readiness - in progress, on track</v>
      </c>
    </row>
    <row r="738" spans="3:10" ht="29" hidden="1" x14ac:dyDescent="0.35">
      <c r="C738" s="627" t="s">
        <v>1409</v>
      </c>
      <c r="D738" s="238">
        <v>44172</v>
      </c>
      <c r="E738" s="121" t="s">
        <v>433</v>
      </c>
      <c r="F738" s="237"/>
      <c r="G738" s="237">
        <f>Table1[[#This Row],[Start Date]]</f>
        <v>0</v>
      </c>
      <c r="H738" s="251"/>
      <c r="I738" s="618"/>
      <c r="J738" s="179" t="str">
        <f>Table1[[#This Row],[Routine Activities (PM/ PMCAL, CM, Genba, Isotanker, Material Readiness, Sampling)]]</f>
        <v>Waste offloading - Aq (not req)</v>
      </c>
    </row>
    <row r="739" spans="3:10" ht="14.5" hidden="1" x14ac:dyDescent="0.35">
      <c r="C739" s="627" t="s">
        <v>1783</v>
      </c>
      <c r="D739" s="238">
        <v>44172</v>
      </c>
      <c r="E739" s="121" t="s">
        <v>785</v>
      </c>
      <c r="F739" s="237"/>
      <c r="G739" s="237">
        <f>Table1[[#This Row],[Start Date]]</f>
        <v>0</v>
      </c>
      <c r="H739" s="251"/>
      <c r="I739" s="618"/>
      <c r="J739" s="179" t="str">
        <f>Table1[[#This Row],[Routine Activities (PM/ PMCAL, CM, Genba, Isotanker, Material Readiness, Sampling)]]</f>
        <v>Genba - TBC</v>
      </c>
    </row>
    <row r="740" spans="3:10" ht="29" hidden="1" x14ac:dyDescent="0.35">
      <c r="C740" s="627" t="s">
        <v>1784</v>
      </c>
      <c r="D740" s="238">
        <v>44172</v>
      </c>
      <c r="E740" s="121" t="s">
        <v>891</v>
      </c>
      <c r="F740" s="237"/>
      <c r="G740" s="237">
        <f>Table1[[#This Row],[Start Date]]</f>
        <v>0</v>
      </c>
      <c r="H740" s="251"/>
      <c r="I740" s="618"/>
      <c r="J740" s="179" t="str">
        <f>Table1[[#This Row],[Routine Activities (PM/ PMCAL, CM, Genba, Isotanker, Material Readiness, Sampling)]]</f>
        <v>QoP - Area walkdown (Mon/ Fri)</v>
      </c>
    </row>
    <row r="741" spans="3:10" ht="14.5" hidden="1" x14ac:dyDescent="0.35">
      <c r="C741" s="627" t="s">
        <v>1778</v>
      </c>
      <c r="D741" s="238">
        <v>44172</v>
      </c>
      <c r="E741" s="121" t="s">
        <v>377</v>
      </c>
      <c r="F741" s="237"/>
      <c r="G741" s="237">
        <f>Table1[[#This Row],[Start Date]]</f>
        <v>0</v>
      </c>
      <c r="H741" s="251"/>
      <c r="I741" s="618"/>
      <c r="J741" s="179" t="str">
        <f>Table1[[#This Row],[Routine Activities (PM/ PMCAL, CM, Genba, Isotanker, Material Readiness, Sampling)]]</f>
        <v>Solvent loading (not req)</v>
      </c>
    </row>
    <row r="742" spans="3:10" ht="145" hidden="1" x14ac:dyDescent="0.35">
      <c r="C742" s="625" t="s">
        <v>1785</v>
      </c>
      <c r="D742" s="238">
        <v>44179</v>
      </c>
      <c r="E742" s="121" t="s">
        <v>1655</v>
      </c>
      <c r="F742" s="237">
        <v>44180</v>
      </c>
      <c r="G742" s="237">
        <f>Table1[[#This Row],[Start Date]]</f>
        <v>44180</v>
      </c>
      <c r="H742" s="251"/>
      <c r="I742" s="618"/>
      <c r="J742" s="179" t="s">
        <v>1047</v>
      </c>
    </row>
    <row r="743" spans="3:10" ht="203" hidden="1" x14ac:dyDescent="0.35">
      <c r="C743" s="625" t="s">
        <v>1786</v>
      </c>
      <c r="D743" s="238">
        <v>44179</v>
      </c>
      <c r="E743" s="121" t="s">
        <v>1579</v>
      </c>
      <c r="F743" s="237">
        <v>44181</v>
      </c>
      <c r="G743" s="237">
        <f>Table1[[#This Row],[Start Date]]</f>
        <v>44181</v>
      </c>
      <c r="H743" s="251"/>
      <c r="I743" s="618"/>
      <c r="J743" s="179" t="s">
        <v>1580</v>
      </c>
    </row>
    <row r="744" spans="3:10" ht="14.5" hidden="1" x14ac:dyDescent="0.35">
      <c r="C744" s="627" t="s">
        <v>1750</v>
      </c>
      <c r="D744" s="238">
        <v>44179</v>
      </c>
      <c r="E744" s="121" t="s">
        <v>377</v>
      </c>
      <c r="F744" s="237">
        <v>44182</v>
      </c>
      <c r="G744" s="237">
        <f>Table1[[#This Row],[Start Date]]</f>
        <v>44182</v>
      </c>
      <c r="H744" s="251"/>
      <c r="I744" s="618"/>
      <c r="J744" s="179" t="str">
        <f>Table1[[#This Row],[Routine Activities (PM/ PMCAL, CM, Genba, Isotanker, Material Readiness, Sampling)]]</f>
        <v xml:space="preserve">N2 loading </v>
      </c>
    </row>
    <row r="745" spans="3:10" ht="32.15" hidden="1" customHeight="1" x14ac:dyDescent="0.35">
      <c r="C745" s="627" t="s">
        <v>1787</v>
      </c>
      <c r="D745" s="238">
        <v>44179</v>
      </c>
      <c r="E745" s="121" t="s">
        <v>377</v>
      </c>
      <c r="F745" s="237">
        <v>44183</v>
      </c>
      <c r="G745" s="237">
        <f>Table1[[#This Row],[Start Date]]</f>
        <v>44183</v>
      </c>
      <c r="H745" s="251"/>
      <c r="I745" s="618"/>
      <c r="J745" s="179" t="str">
        <f>Table1[[#This Row],[Routine Activities (PM/ PMCAL, CM, Genba, Isotanker, Material Readiness, Sampling)]]</f>
        <v>MeOH loading</v>
      </c>
    </row>
    <row r="746" spans="3:10" ht="43.5" hidden="1" x14ac:dyDescent="0.35">
      <c r="C746" s="625" t="s">
        <v>1788</v>
      </c>
      <c r="D746" s="238">
        <v>44179</v>
      </c>
      <c r="E746" s="121" t="s">
        <v>1529</v>
      </c>
      <c r="F746" s="237">
        <v>44184</v>
      </c>
      <c r="G746" s="237">
        <f>Table1[[#This Row],[Start Date]]</f>
        <v>44184</v>
      </c>
      <c r="H746" s="251"/>
      <c r="I746" s="618"/>
      <c r="J746" s="179" t="s">
        <v>1789</v>
      </c>
    </row>
    <row r="747" spans="3:10" ht="72.5" hidden="1" x14ac:dyDescent="0.35">
      <c r="C747" s="625" t="s">
        <v>1790</v>
      </c>
      <c r="D747" s="238">
        <v>44179</v>
      </c>
      <c r="E747" s="121" t="s">
        <v>1601</v>
      </c>
      <c r="F747" s="237">
        <v>44184</v>
      </c>
      <c r="G747" s="237">
        <f>Table1[[#This Row],[Start Date]]</f>
        <v>44184</v>
      </c>
      <c r="H747" s="251"/>
      <c r="I747" s="618"/>
      <c r="J747" s="179" t="s">
        <v>1791</v>
      </c>
    </row>
    <row r="748" spans="3:10" ht="29" hidden="1" x14ac:dyDescent="0.35">
      <c r="C748" s="625" t="s">
        <v>1792</v>
      </c>
      <c r="D748" s="238">
        <v>44179</v>
      </c>
      <c r="E748" s="121" t="s">
        <v>1655</v>
      </c>
      <c r="F748" s="237">
        <v>44184</v>
      </c>
      <c r="G748" s="237"/>
      <c r="H748" s="251"/>
      <c r="I748" s="618"/>
      <c r="J748" s="179" t="s">
        <v>1793</v>
      </c>
    </row>
    <row r="749" spans="3:10" ht="43.5" hidden="1" x14ac:dyDescent="0.35">
      <c r="C749" s="625" t="s">
        <v>1794</v>
      </c>
      <c r="D749" s="238">
        <v>44179</v>
      </c>
      <c r="E749" s="121" t="s">
        <v>1524</v>
      </c>
      <c r="F749" s="237">
        <v>44184</v>
      </c>
      <c r="G749" s="237"/>
      <c r="H749" s="251"/>
      <c r="I749" s="618"/>
      <c r="J749" s="179" t="s">
        <v>1795</v>
      </c>
    </row>
    <row r="750" spans="3:10" ht="29" hidden="1" x14ac:dyDescent="0.35">
      <c r="C750" s="625" t="s">
        <v>1796</v>
      </c>
      <c r="D750" s="238">
        <v>44179</v>
      </c>
      <c r="E750" s="121" t="s">
        <v>1524</v>
      </c>
      <c r="F750" s="237">
        <v>44185</v>
      </c>
      <c r="G750" s="237">
        <f>Table1[[#This Row],[Start Date]]</f>
        <v>44185</v>
      </c>
      <c r="H750" s="251"/>
      <c r="I750" s="618"/>
      <c r="J750" s="179" t="s">
        <v>1364</v>
      </c>
    </row>
    <row r="751" spans="3:10" ht="29" hidden="1" x14ac:dyDescent="0.35">
      <c r="C751" s="625" t="s">
        <v>1797</v>
      </c>
      <c r="D751" s="238">
        <v>44179</v>
      </c>
      <c r="E751" s="121" t="s">
        <v>1655</v>
      </c>
      <c r="F751" s="237">
        <v>44185</v>
      </c>
      <c r="G751" s="237">
        <f>Table1[[#This Row],[Start Date]]</f>
        <v>44185</v>
      </c>
      <c r="H751" s="251"/>
      <c r="I751" s="618"/>
      <c r="J751" s="179" t="s">
        <v>1793</v>
      </c>
    </row>
    <row r="752" spans="3:10" ht="43.5" hidden="1" x14ac:dyDescent="0.35">
      <c r="C752" s="619" t="s">
        <v>1798</v>
      </c>
      <c r="D752" s="238">
        <v>44179</v>
      </c>
      <c r="E752" s="121" t="s">
        <v>1598</v>
      </c>
      <c r="F752" s="237">
        <v>44185</v>
      </c>
      <c r="G752" s="237">
        <f>Table1[[#This Row],[Start Date]]</f>
        <v>44185</v>
      </c>
      <c r="H752" s="237"/>
      <c r="I752" s="618"/>
      <c r="J752" s="23" t="str">
        <f>Table1[[#This Row],[Routine Activities (PM/ PMCAL, CM, Genba, Isotanker, Material Readiness, Sampling)]]</f>
        <v>CT inspection and testing at ASM2 400V main switchboard</v>
      </c>
    </row>
    <row r="753" spans="3:10" ht="58" hidden="1" x14ac:dyDescent="0.35">
      <c r="C753" s="625" t="s">
        <v>1799</v>
      </c>
      <c r="D753" s="238">
        <v>44186</v>
      </c>
      <c r="E753" s="121" t="s">
        <v>1655</v>
      </c>
      <c r="F753" s="237">
        <v>44190</v>
      </c>
      <c r="G753" s="237">
        <f>Table1[[#This Row],[Start Date]]</f>
        <v>44190</v>
      </c>
      <c r="H753" s="251"/>
      <c r="I753" s="618"/>
      <c r="J753" s="179" t="s">
        <v>1800</v>
      </c>
    </row>
    <row r="754" spans="3:10" ht="43.5" hidden="1" x14ac:dyDescent="0.35">
      <c r="C754" s="625" t="s">
        <v>1801</v>
      </c>
      <c r="D754" s="238">
        <v>44186</v>
      </c>
      <c r="E754" s="121" t="s">
        <v>1544</v>
      </c>
      <c r="F754" s="237">
        <v>44186</v>
      </c>
      <c r="G754" s="237">
        <f>Table1[[#This Row],[Start Date]]</f>
        <v>44186</v>
      </c>
      <c r="H754" s="251"/>
      <c r="I754" s="618"/>
      <c r="J754" s="179" t="s">
        <v>1802</v>
      </c>
    </row>
    <row r="755" spans="3:10" ht="43.5" hidden="1" x14ac:dyDescent="0.35">
      <c r="C755" s="656" t="s">
        <v>1803</v>
      </c>
      <c r="D755" s="238">
        <v>44193</v>
      </c>
      <c r="E755" s="121" t="s">
        <v>1524</v>
      </c>
      <c r="F755" s="237">
        <v>44193</v>
      </c>
      <c r="G755" s="237">
        <f>Table1[[#This Row],[Start Date]]</f>
        <v>44193</v>
      </c>
      <c r="H755" s="251"/>
      <c r="I755" s="618"/>
      <c r="J755" s="69" t="s">
        <v>1804</v>
      </c>
    </row>
    <row r="756" spans="3:10" ht="29" hidden="1" x14ac:dyDescent="0.35">
      <c r="C756" s="625" t="s">
        <v>1805</v>
      </c>
      <c r="D756" s="238">
        <v>44186</v>
      </c>
      <c r="E756" s="121" t="s">
        <v>1544</v>
      </c>
      <c r="F756" s="237">
        <v>44188</v>
      </c>
      <c r="G756" s="237">
        <f>Table1[[#This Row],[Start Date]]</f>
        <v>44188</v>
      </c>
      <c r="H756" s="251"/>
      <c r="I756" s="618"/>
      <c r="J756" s="179" t="s">
        <v>1806</v>
      </c>
    </row>
    <row r="757" spans="3:10" ht="29" hidden="1" x14ac:dyDescent="0.35">
      <c r="C757" s="627" t="s">
        <v>1409</v>
      </c>
      <c r="D757" s="238">
        <v>44179</v>
      </c>
      <c r="E757" s="121" t="s">
        <v>1676</v>
      </c>
      <c r="F757" s="237"/>
      <c r="G757" s="237">
        <f>Table1[[#This Row],[Start Date]]</f>
        <v>0</v>
      </c>
      <c r="H757" s="251" t="s">
        <v>462</v>
      </c>
      <c r="I757" s="618"/>
      <c r="J757" s="179" t="str">
        <f>Table1[[#This Row],[Routine Activities (PM/ PMCAL, CM, Genba, Isotanker, Material Readiness, Sampling)]]</f>
        <v>Waste offloading - Aq (not req)</v>
      </c>
    </row>
    <row r="758" spans="3:10" ht="29" hidden="1" x14ac:dyDescent="0.35">
      <c r="C758" s="627" t="s">
        <v>1807</v>
      </c>
      <c r="D758" s="238">
        <v>44179</v>
      </c>
      <c r="E758" s="121" t="s">
        <v>418</v>
      </c>
      <c r="F758" s="237"/>
      <c r="G758" s="237">
        <f>Table1[[#This Row],[Start Date]]</f>
        <v>0</v>
      </c>
      <c r="H758" s="251"/>
      <c r="I758" s="618"/>
      <c r="J758" s="179" t="str">
        <f>Table1[[#This Row],[Routine Activities (PM/ PMCAL, CM, Genba, Isotanker, Material Readiness, Sampling)]]</f>
        <v>Genba - Warehouse walkdown for uneven Ramp</v>
      </c>
    </row>
    <row r="759" spans="3:10" ht="43.5" hidden="1" x14ac:dyDescent="0.35">
      <c r="C759" s="619" t="s">
        <v>1808</v>
      </c>
      <c r="D759" s="238">
        <v>44179</v>
      </c>
      <c r="E759" s="121" t="s">
        <v>1019</v>
      </c>
      <c r="F759" s="237"/>
      <c r="G759" s="237">
        <f>Table1[[#This Row],[Start Date]]</f>
        <v>0</v>
      </c>
      <c r="H759" s="237"/>
      <c r="I759" s="618"/>
      <c r="J759" s="23" t="str">
        <f>Table1[[#This Row],[Routine Activities (PM/ PMCAL, CM, Genba, Isotanker, Material Readiness, Sampling)]]</f>
        <v>QoP - Area walkdown (Siew Mei to confirm later, likely 14-17 Dec)</v>
      </c>
    </row>
    <row r="760" spans="3:10" ht="29" hidden="1" x14ac:dyDescent="0.35">
      <c r="C760" s="625" t="s">
        <v>1809</v>
      </c>
      <c r="D760" s="238">
        <v>44186</v>
      </c>
      <c r="E760" s="121" t="s">
        <v>1544</v>
      </c>
      <c r="F760" s="237"/>
      <c r="G760" s="237"/>
      <c r="H760" s="251"/>
      <c r="I760" s="618"/>
      <c r="J760" s="179" t="s">
        <v>1810</v>
      </c>
    </row>
    <row r="761" spans="3:10" ht="28.5" hidden="1" customHeight="1" x14ac:dyDescent="0.35">
      <c r="C761" s="656" t="s">
        <v>1809</v>
      </c>
      <c r="D761" s="238">
        <v>44193</v>
      </c>
      <c r="E761" s="121" t="s">
        <v>1544</v>
      </c>
      <c r="F761" s="237">
        <v>44193</v>
      </c>
      <c r="G761" s="237">
        <f>Table1[[#This Row],[Start Date]]</f>
        <v>44193</v>
      </c>
      <c r="H761" s="251"/>
      <c r="I761" s="618"/>
      <c r="J761" s="69" t="s">
        <v>1811</v>
      </c>
    </row>
    <row r="762" spans="3:10" ht="14.5" hidden="1" x14ac:dyDescent="0.35">
      <c r="C762" s="140" t="s">
        <v>1812</v>
      </c>
      <c r="D762" s="238">
        <v>44193</v>
      </c>
      <c r="E762" s="121" t="s">
        <v>377</v>
      </c>
      <c r="F762" s="237">
        <v>44193</v>
      </c>
      <c r="G762" s="237">
        <f>Table1[[#This Row],[Start Date]]</f>
        <v>44193</v>
      </c>
      <c r="H762" s="251"/>
      <c r="I762" s="618"/>
      <c r="J762" s="179" t="str">
        <f>Table1[[#This Row],[Routine Activities (PM/ PMCAL, CM, Genba, Isotanker, Material Readiness, Sampling)]]</f>
        <v>MeOH loading (28Dec)</v>
      </c>
    </row>
    <row r="763" spans="3:10" ht="14.5" hidden="1" x14ac:dyDescent="0.35">
      <c r="C763" s="140" t="s">
        <v>1773</v>
      </c>
      <c r="D763" s="238">
        <v>44193</v>
      </c>
      <c r="E763" s="121" t="s">
        <v>891</v>
      </c>
      <c r="F763" s="237">
        <v>44193</v>
      </c>
      <c r="G763" s="237">
        <f>Table1[[#This Row],[Start Date]]</f>
        <v>44193</v>
      </c>
      <c r="H763" s="251"/>
      <c r="I763" s="618"/>
      <c r="J763" s="179" t="str">
        <f>Table1[[#This Row],[Routine Activities (PM/ PMCAL, CM, Genba, Isotanker, Material Readiness, Sampling)]]</f>
        <v>QoP - Area walkdown</v>
      </c>
    </row>
    <row r="764" spans="3:10" ht="15" hidden="1" customHeight="1" x14ac:dyDescent="0.35">
      <c r="C764" s="627" t="s">
        <v>1813</v>
      </c>
      <c r="D764" s="238">
        <v>44186</v>
      </c>
      <c r="E764" s="121" t="s">
        <v>737</v>
      </c>
      <c r="F764" s="237"/>
      <c r="G764" s="237">
        <f>Table1[[#This Row],[Start Date]]</f>
        <v>0</v>
      </c>
      <c r="H764" s="251" t="s">
        <v>340</v>
      </c>
      <c r="I764" s="618"/>
      <c r="J764" s="179" t="str">
        <f>Table1[[#This Row],[Routine Activities (PM/ PMCAL, CM, Genba, Isotanker, Material Readiness, Sampling)]]</f>
        <v>QC Testing Readiness - Step A1 30Dec</v>
      </c>
    </row>
    <row r="765" spans="3:10" ht="15" hidden="1" customHeight="1" x14ac:dyDescent="0.35">
      <c r="C765" s="140" t="s">
        <v>1814</v>
      </c>
      <c r="D765" s="238">
        <v>44193</v>
      </c>
      <c r="E765" s="121" t="s">
        <v>785</v>
      </c>
      <c r="F765" s="237">
        <v>44193</v>
      </c>
      <c r="G765" s="237">
        <f>Table1[[#This Row],[Start Date]]</f>
        <v>44193</v>
      </c>
      <c r="H765" s="251"/>
      <c r="I765" s="618"/>
      <c r="J765" s="179" t="str">
        <f>Table1[[#This Row],[Routine Activities (PM/ PMCAL, CM, Genba, Isotanker, Material Readiness, Sampling)]]</f>
        <v>Genba - scrubber O2 sensor</v>
      </c>
    </row>
    <row r="766" spans="3:10" ht="15" hidden="1" customHeight="1" x14ac:dyDescent="0.35">
      <c r="C766" s="140" t="s">
        <v>1815</v>
      </c>
      <c r="D766" s="238">
        <v>44193</v>
      </c>
      <c r="E766" s="121" t="s">
        <v>377</v>
      </c>
      <c r="F766" s="237">
        <v>44194</v>
      </c>
      <c r="G766" s="237">
        <f>Table1[[#This Row],[Start Date]]</f>
        <v>44194</v>
      </c>
      <c r="H766" s="251"/>
      <c r="I766" s="618"/>
      <c r="J766" s="179" t="str">
        <f>Table1[[#This Row],[Routine Activities (PM/ PMCAL, CM, Genba, Isotanker, Material Readiness, Sampling)]]</f>
        <v>N2 loading (29Dec)</v>
      </c>
    </row>
    <row r="767" spans="3:10" ht="15" hidden="1" customHeight="1" x14ac:dyDescent="0.35">
      <c r="C767" s="656" t="s">
        <v>1816</v>
      </c>
      <c r="D767" s="238">
        <v>44193</v>
      </c>
      <c r="E767" s="121" t="s">
        <v>1544</v>
      </c>
      <c r="F767" s="237">
        <v>44195</v>
      </c>
      <c r="G767" s="237">
        <f>Table1[[#This Row],[Start Date]]</f>
        <v>44195</v>
      </c>
      <c r="H767" s="251"/>
      <c r="I767" s="618"/>
      <c r="J767" s="69" t="s">
        <v>1817</v>
      </c>
    </row>
    <row r="768" spans="3:10" ht="15" hidden="1" customHeight="1" x14ac:dyDescent="0.35">
      <c r="C768" s="656" t="s">
        <v>1818</v>
      </c>
      <c r="D768" s="238">
        <v>44193</v>
      </c>
      <c r="E768" s="121" t="s">
        <v>1667</v>
      </c>
      <c r="F768" s="237">
        <v>44195</v>
      </c>
      <c r="G768" s="237">
        <f>Table1[[#This Row],[Start Date]]</f>
        <v>44195</v>
      </c>
      <c r="H768" s="251"/>
      <c r="I768" s="618"/>
      <c r="J768" s="69" t="s">
        <v>1819</v>
      </c>
    </row>
    <row r="769" spans="3:10" ht="15" hidden="1" customHeight="1" x14ac:dyDescent="0.35">
      <c r="C769" s="656" t="s">
        <v>1820</v>
      </c>
      <c r="D769" s="238">
        <v>44193</v>
      </c>
      <c r="E769" s="121" t="s">
        <v>1544</v>
      </c>
      <c r="F769" s="237">
        <v>44198</v>
      </c>
      <c r="G769" s="237">
        <f>Table1[[#This Row],[Start Date]]</f>
        <v>44198</v>
      </c>
      <c r="H769" s="251"/>
      <c r="I769" s="618"/>
      <c r="J769" s="69" t="s">
        <v>1821</v>
      </c>
    </row>
    <row r="770" spans="3:10" ht="15" hidden="1" customHeight="1" x14ac:dyDescent="0.35">
      <c r="C770" s="140" t="s">
        <v>1822</v>
      </c>
      <c r="D770" s="238">
        <v>44193</v>
      </c>
      <c r="E770" s="121" t="s">
        <v>433</v>
      </c>
      <c r="F770" s="237"/>
      <c r="G770" s="237">
        <f>Table1[[#This Row],[Start Date]]</f>
        <v>0</v>
      </c>
      <c r="H770" s="251" t="s">
        <v>462</v>
      </c>
      <c r="I770" s="618"/>
      <c r="J770" s="179" t="str">
        <f>Table1[[#This Row],[Routine Activities (PM/ PMCAL, CM, Genba, Isotanker, Material Readiness, Sampling)]]</f>
        <v>Aq Waste offloading (not req)</v>
      </c>
    </row>
    <row r="771" spans="3:10" ht="15" hidden="1" customHeight="1" x14ac:dyDescent="0.35">
      <c r="C771" s="656" t="s">
        <v>1823</v>
      </c>
      <c r="D771" s="238">
        <v>44193</v>
      </c>
      <c r="E771" s="121" t="s">
        <v>1538</v>
      </c>
      <c r="F771" s="237">
        <v>44198</v>
      </c>
      <c r="G771" s="237">
        <f>Table1[[#This Row],[Start Date]]</f>
        <v>44198</v>
      </c>
      <c r="H771" s="251"/>
      <c r="I771" s="618"/>
      <c r="J771" s="69" t="s">
        <v>1824</v>
      </c>
    </row>
    <row r="772" spans="3:10" ht="15" hidden="1" customHeight="1" x14ac:dyDescent="0.35">
      <c r="C772" s="627" t="s">
        <v>1825</v>
      </c>
      <c r="D772" s="238">
        <v>44186</v>
      </c>
      <c r="E772" s="121" t="s">
        <v>785</v>
      </c>
      <c r="F772" s="237"/>
      <c r="G772" s="237">
        <f>Table1[[#This Row],[Start Date]]</f>
        <v>0</v>
      </c>
      <c r="H772" s="251"/>
      <c r="I772" s="618"/>
      <c r="J772" s="179" t="str">
        <f>Table1[[#This Row],[Routine Activities (PM/ PMCAL, CM, Genba, Isotanker, Material Readiness, Sampling)]]</f>
        <v>Genba - Glycol PM preparation (date TBC)</v>
      </c>
    </row>
    <row r="773" spans="3:10" ht="15" hidden="1" customHeight="1" x14ac:dyDescent="0.35">
      <c r="C773" s="656" t="s">
        <v>1826</v>
      </c>
      <c r="D773" s="238">
        <v>44193</v>
      </c>
      <c r="E773" s="121" t="s">
        <v>1538</v>
      </c>
      <c r="F773" s="237">
        <v>44198</v>
      </c>
      <c r="G773" s="237">
        <f>Table1[[#This Row],[Start Date]]</f>
        <v>44198</v>
      </c>
      <c r="H773" s="251"/>
      <c r="I773" s="618"/>
      <c r="J773" s="69" t="s">
        <v>1827</v>
      </c>
    </row>
    <row r="774" spans="3:10" ht="15" hidden="1" customHeight="1" x14ac:dyDescent="0.35">
      <c r="C774" s="627" t="s">
        <v>1828</v>
      </c>
      <c r="D774" s="238">
        <v>44186</v>
      </c>
      <c r="E774" s="121" t="s">
        <v>377</v>
      </c>
      <c r="F774" s="237"/>
      <c r="G774" s="237"/>
      <c r="H774" s="251"/>
      <c r="I774" s="618"/>
      <c r="J774" s="179" t="str">
        <f>Table1[[#This Row],[Routine Activities (PM/ PMCAL, CM, Genba, Isotanker, Material Readiness, Sampling)]]</f>
        <v xml:space="preserve">MeOH loading </v>
      </c>
    </row>
    <row r="775" spans="3:10" ht="15" hidden="1" customHeight="1" x14ac:dyDescent="0.35">
      <c r="C775" s="656" t="s">
        <v>1829</v>
      </c>
      <c r="D775" s="238">
        <v>44193</v>
      </c>
      <c r="E775" s="121" t="s">
        <v>1655</v>
      </c>
      <c r="F775" s="237">
        <v>44198</v>
      </c>
      <c r="G775" s="237">
        <f>Table1[[#This Row],[Start Date]]</f>
        <v>44198</v>
      </c>
      <c r="H775" s="251"/>
      <c r="I775" s="618"/>
      <c r="J775" s="69" t="s">
        <v>1830</v>
      </c>
    </row>
    <row r="776" spans="3:10" ht="15" hidden="1" customHeight="1" x14ac:dyDescent="0.35">
      <c r="C776" s="627" t="s">
        <v>1750</v>
      </c>
      <c r="D776" s="238">
        <v>44186</v>
      </c>
      <c r="E776" s="121" t="s">
        <v>377</v>
      </c>
      <c r="F776" s="237"/>
      <c r="G776" s="237"/>
      <c r="H776" s="251"/>
      <c r="I776" s="618"/>
      <c r="J776" s="179" t="str">
        <f>Table1[[#This Row],[Routine Activities (PM/ PMCAL, CM, Genba, Isotanker, Material Readiness, Sampling)]]</f>
        <v xml:space="preserve">N2 loading </v>
      </c>
    </row>
    <row r="777" spans="3:10" ht="15" hidden="1" customHeight="1" x14ac:dyDescent="0.35">
      <c r="C777" s="656" t="s">
        <v>1831</v>
      </c>
      <c r="D777" s="238">
        <v>44193</v>
      </c>
      <c r="E777" s="121" t="s">
        <v>1544</v>
      </c>
      <c r="F777" s="237">
        <v>44198</v>
      </c>
      <c r="G777" s="237">
        <f>Table1[[#This Row],[Start Date]]</f>
        <v>44198</v>
      </c>
      <c r="H777" s="251"/>
      <c r="I777" s="618"/>
      <c r="J777" s="69" t="s">
        <v>1832</v>
      </c>
    </row>
    <row r="778" spans="3:10" ht="15" hidden="1" customHeight="1" x14ac:dyDescent="0.35">
      <c r="C778" s="681" t="s">
        <v>1833</v>
      </c>
      <c r="D778" s="238">
        <v>44200</v>
      </c>
      <c r="E778" s="121" t="s">
        <v>433</v>
      </c>
      <c r="F778" s="237">
        <v>44200</v>
      </c>
      <c r="G778" s="237">
        <f>Table1[[#This Row],[Start Date]]</f>
        <v>44200</v>
      </c>
      <c r="H778" s="251"/>
      <c r="I778" s="618"/>
      <c r="J778" s="179" t="str">
        <f>Table1[[#This Row],[Routine Activities (PM/ PMCAL, CM, Genba, Isotanker, Material Readiness, Sampling)]]</f>
        <v xml:space="preserve">Org waste offloading </v>
      </c>
    </row>
    <row r="779" spans="3:10" ht="15" hidden="1" customHeight="1" x14ac:dyDescent="0.35">
      <c r="C779" s="140" t="s">
        <v>1834</v>
      </c>
      <c r="D779" s="238">
        <v>44200</v>
      </c>
      <c r="E779" s="121" t="s">
        <v>891</v>
      </c>
      <c r="F779" s="237">
        <v>44200</v>
      </c>
      <c r="G779" s="237">
        <f>Table1[[#This Row],[Start Date]]</f>
        <v>44200</v>
      </c>
      <c r="H779" s="251"/>
      <c r="I779" s="618"/>
      <c r="J779" s="179" t="str">
        <f>Table1[[#This Row],[Routine Activities (PM/ PMCAL, CM, Genba, Isotanker, Material Readiness, Sampling)]]</f>
        <v>QoP - setup of MsOH charge</v>
      </c>
    </row>
    <row r="780" spans="3:10" ht="15" hidden="1" customHeight="1" x14ac:dyDescent="0.35">
      <c r="C780" s="627" t="s">
        <v>1835</v>
      </c>
      <c r="D780" s="238">
        <v>44186</v>
      </c>
      <c r="E780" s="121" t="s">
        <v>891</v>
      </c>
      <c r="F780" s="237">
        <v>44187</v>
      </c>
      <c r="G780" s="237">
        <f>Table1[[#This Row],[Start Date]]</f>
        <v>44187</v>
      </c>
      <c r="H780" s="251"/>
      <c r="I780" s="618"/>
      <c r="J780" s="179" t="str">
        <f>Table1[[#This Row],[Routine Activities (PM/ PMCAL, CM, Genba, Isotanker, Material Readiness, Sampling)]]</f>
        <v xml:space="preserve">QoP - collection of R1 RS sample/ blank </v>
      </c>
    </row>
    <row r="781" spans="3:10" ht="15" hidden="1" customHeight="1" x14ac:dyDescent="0.35">
      <c r="C781" s="681" t="s">
        <v>1750</v>
      </c>
      <c r="D781" s="238">
        <v>44200</v>
      </c>
      <c r="E781" s="121" t="s">
        <v>377</v>
      </c>
      <c r="F781" s="237">
        <v>44203</v>
      </c>
      <c r="G781" s="237">
        <f>Table1[[#This Row],[Start Date]]</f>
        <v>44203</v>
      </c>
      <c r="H781" s="251"/>
      <c r="I781" s="618"/>
      <c r="J781" s="179" t="str">
        <f>Table1[[#This Row],[Routine Activities (PM/ PMCAL, CM, Genba, Isotanker, Material Readiness, Sampling)]]</f>
        <v xml:space="preserve">N2 loading </v>
      </c>
    </row>
    <row r="782" spans="3:10" ht="15" hidden="1" customHeight="1" x14ac:dyDescent="0.35">
      <c r="C782" s="642" t="s">
        <v>1836</v>
      </c>
      <c r="D782" s="238">
        <v>44200</v>
      </c>
      <c r="E782" s="121" t="s">
        <v>433</v>
      </c>
      <c r="F782" s="237">
        <v>44204</v>
      </c>
      <c r="G782" s="237">
        <f>Table1[[#This Row],[Start Date]]</f>
        <v>44204</v>
      </c>
      <c r="H782" s="251"/>
      <c r="I782" s="618"/>
      <c r="J782" s="179" t="str">
        <f>Table1[[#This Row],[Routine Activities (PM/ PMCAL, CM, Genba, Isotanker, Material Readiness, Sampling)]]</f>
        <v>Org waste offloading</v>
      </c>
    </row>
    <row r="783" spans="3:10" ht="15" hidden="1" customHeight="1" x14ac:dyDescent="0.35">
      <c r="C783" s="671" t="s">
        <v>1837</v>
      </c>
      <c r="D783" s="238">
        <v>44200</v>
      </c>
      <c r="E783" s="121" t="s">
        <v>1655</v>
      </c>
      <c r="F783" s="237">
        <v>44204</v>
      </c>
      <c r="G783" s="237">
        <f>Table1[[#This Row],[Start Date]]</f>
        <v>44204</v>
      </c>
      <c r="H783" s="251"/>
      <c r="I783" s="618"/>
      <c r="J783" s="179" t="s">
        <v>1838</v>
      </c>
    </row>
    <row r="784" spans="3:10" ht="15" hidden="1" customHeight="1" x14ac:dyDescent="0.35">
      <c r="C784" s="627" t="s">
        <v>1383</v>
      </c>
      <c r="D784" s="238">
        <v>44186</v>
      </c>
      <c r="E784" s="121" t="s">
        <v>433</v>
      </c>
      <c r="F784" s="237">
        <v>44189</v>
      </c>
      <c r="G784" s="237">
        <f>Table1[[#This Row],[Start Date]]</f>
        <v>44189</v>
      </c>
      <c r="H784" s="251"/>
      <c r="I784" s="618"/>
      <c r="J784" s="179" t="str">
        <f>Table1[[#This Row],[Routine Activities (PM/ PMCAL, CM, Genba, Isotanker, Material Readiness, Sampling)]]</f>
        <v xml:space="preserve">Waste offloading - Aq </v>
      </c>
    </row>
    <row r="785" spans="3:10" ht="15" hidden="1" customHeight="1" x14ac:dyDescent="0.35">
      <c r="C785" s="627" t="s">
        <v>1839</v>
      </c>
      <c r="D785" s="238">
        <v>44186</v>
      </c>
      <c r="E785" s="121" t="s">
        <v>433</v>
      </c>
      <c r="F785" s="237">
        <v>44186</v>
      </c>
      <c r="G785" s="237">
        <f>Table1[[#This Row],[Start Date]]</f>
        <v>44186</v>
      </c>
      <c r="H785" s="251"/>
      <c r="I785" s="618"/>
      <c r="J785" s="179" t="str">
        <f>Table1[[#This Row],[Routine Activities (PM/ PMCAL, CM, Genba, Isotanker, Material Readiness, Sampling)]]</f>
        <v xml:space="preserve">Waste offloading - Org  </v>
      </c>
    </row>
    <row r="786" spans="3:10" ht="15" hidden="1" customHeight="1" x14ac:dyDescent="0.35">
      <c r="C786" s="671" t="s">
        <v>1840</v>
      </c>
      <c r="D786" s="238">
        <v>44200</v>
      </c>
      <c r="E786" s="121" t="s">
        <v>1524</v>
      </c>
      <c r="F786" s="237">
        <v>44206</v>
      </c>
      <c r="G786" s="237">
        <f>Table1[[#This Row],[Start Date]]</f>
        <v>44206</v>
      </c>
      <c r="H786" s="251"/>
      <c r="I786" s="618"/>
      <c r="J786" s="179" t="s">
        <v>1841</v>
      </c>
    </row>
    <row r="787" spans="3:10" ht="15" hidden="1" customHeight="1" x14ac:dyDescent="0.35">
      <c r="C787" s="671" t="s">
        <v>1842</v>
      </c>
      <c r="D787" s="238">
        <v>44200</v>
      </c>
      <c r="E787" s="121" t="s">
        <v>1843</v>
      </c>
      <c r="F787" s="237">
        <v>44206</v>
      </c>
      <c r="G787" s="237">
        <f>Table1[[#This Row],[Start Date]]</f>
        <v>44206</v>
      </c>
      <c r="H787" s="251"/>
      <c r="I787" s="618"/>
      <c r="J787" s="179" t="s">
        <v>1399</v>
      </c>
    </row>
    <row r="788" spans="3:10" ht="15" hidden="1" customHeight="1" x14ac:dyDescent="0.35">
      <c r="C788" s="671" t="s">
        <v>1844</v>
      </c>
      <c r="D788" s="238">
        <v>44200</v>
      </c>
      <c r="E788" s="121" t="s">
        <v>1538</v>
      </c>
      <c r="F788" s="237">
        <v>44206</v>
      </c>
      <c r="G788" s="237">
        <f>Table1[[#This Row],[Start Date]]</f>
        <v>44206</v>
      </c>
      <c r="H788" s="251"/>
      <c r="I788" s="618"/>
      <c r="J788" s="179" t="s">
        <v>1845</v>
      </c>
    </row>
    <row r="789" spans="3:10" ht="15" hidden="1" customHeight="1" x14ac:dyDescent="0.35">
      <c r="C789" s="671" t="s">
        <v>1846</v>
      </c>
      <c r="D789" s="238">
        <v>44200</v>
      </c>
      <c r="E789" s="121" t="s">
        <v>1544</v>
      </c>
      <c r="F789" s="237">
        <v>44206</v>
      </c>
      <c r="G789" s="237">
        <f>Table1[[#This Row],[Start Date]]</f>
        <v>44206</v>
      </c>
      <c r="H789" s="251"/>
      <c r="I789" s="618"/>
      <c r="J789" s="179" t="s">
        <v>1847</v>
      </c>
    </row>
    <row r="790" spans="3:10" ht="15" hidden="1" customHeight="1" x14ac:dyDescent="0.35">
      <c r="C790" s="671" t="s">
        <v>1848</v>
      </c>
      <c r="D790" s="238">
        <v>44200</v>
      </c>
      <c r="E790" s="121" t="s">
        <v>1538</v>
      </c>
      <c r="F790" s="237">
        <v>44206</v>
      </c>
      <c r="G790" s="237">
        <f>Table1[[#This Row],[Start Date]]</f>
        <v>44206</v>
      </c>
      <c r="H790" s="251"/>
      <c r="I790" s="618"/>
      <c r="J790" s="179" t="s">
        <v>806</v>
      </c>
    </row>
    <row r="791" spans="3:10" ht="15" hidden="1" customHeight="1" x14ac:dyDescent="0.35">
      <c r="C791" s="671" t="s">
        <v>1849</v>
      </c>
      <c r="D791" s="238">
        <v>44200</v>
      </c>
      <c r="E791" s="121" t="s">
        <v>1579</v>
      </c>
      <c r="F791" s="237">
        <v>44206</v>
      </c>
      <c r="G791" s="237">
        <f>Table1[[#This Row],[Start Date]]</f>
        <v>44206</v>
      </c>
      <c r="H791" s="251"/>
      <c r="I791" s="618"/>
      <c r="J791" s="179" t="s">
        <v>1029</v>
      </c>
    </row>
    <row r="792" spans="3:10" ht="15" hidden="1" customHeight="1" x14ac:dyDescent="0.35">
      <c r="C792" s="642" t="s">
        <v>1850</v>
      </c>
      <c r="D792" s="238">
        <v>44207</v>
      </c>
      <c r="E792" s="121" t="s">
        <v>377</v>
      </c>
      <c r="F792" s="237">
        <v>44208</v>
      </c>
      <c r="G792" s="237">
        <f>Table1[[#This Row],[Start Date]]</f>
        <v>44208</v>
      </c>
      <c r="H792" s="251"/>
      <c r="I792" s="618"/>
      <c r="J792" s="69" t="str">
        <f>Table1[[#This Row],[Routine Activities (PM/ PMCAL, CM, Genba, Isotanker, Material Readiness, Sampling)]]</f>
        <v xml:space="preserve">Ethyl acetate topup </v>
      </c>
    </row>
    <row r="793" spans="3:10" ht="15" hidden="1" customHeight="1" x14ac:dyDescent="0.35">
      <c r="C793" s="681" t="s">
        <v>1822</v>
      </c>
      <c r="D793" s="238">
        <v>44200</v>
      </c>
      <c r="E793" s="121" t="s">
        <v>433</v>
      </c>
      <c r="F793" s="237"/>
      <c r="G793" s="237">
        <f>Table1[[#This Row],[Start Date]]</f>
        <v>0</v>
      </c>
      <c r="H793" s="251" t="s">
        <v>462</v>
      </c>
      <c r="I793" s="618"/>
      <c r="J793" s="179" t="str">
        <f>Table1[[#This Row],[Routine Activities (PM/ PMCAL, CM, Genba, Isotanker, Material Readiness, Sampling)]]</f>
        <v>Aq Waste offloading (not req)</v>
      </c>
    </row>
    <row r="794" spans="3:10" ht="15" hidden="1" customHeight="1" x14ac:dyDescent="0.35">
      <c r="C794" s="140" t="s">
        <v>1851</v>
      </c>
      <c r="D794" s="238">
        <v>44193</v>
      </c>
      <c r="E794" s="121" t="s">
        <v>433</v>
      </c>
      <c r="F794" s="237"/>
      <c r="G794" s="237">
        <f>Table1[[#This Row],[Start Date]]</f>
        <v>0</v>
      </c>
      <c r="H794" s="251"/>
      <c r="I794" s="618"/>
      <c r="J794" s="179" t="str">
        <f>Table1[[#This Row],[Routine Activities (PM/ PMCAL, CM, Genba, Isotanker, Material Readiness, Sampling)]]</f>
        <v>Org waste offloading (not req)</v>
      </c>
    </row>
    <row r="795" spans="3:10" ht="15" hidden="1" customHeight="1" x14ac:dyDescent="0.35">
      <c r="C795" s="140" t="s">
        <v>1852</v>
      </c>
      <c r="D795" s="238">
        <v>44193</v>
      </c>
      <c r="E795" s="121" t="s">
        <v>418</v>
      </c>
      <c r="F795" s="237"/>
      <c r="G795" s="237">
        <f>Table1[[#This Row],[Start Date]]</f>
        <v>0</v>
      </c>
      <c r="H795" s="251"/>
      <c r="I795" s="618"/>
      <c r="J795" s="179" t="str">
        <f>Table1[[#This Row],[Routine Activities (PM/ PMCAL, CM, Genba, Isotanker, Material Readiness, Sampling)]]</f>
        <v>Step A1 Material Readiness (Batch 1 PO to be released today)</v>
      </c>
    </row>
    <row r="796" spans="3:10" ht="15" hidden="1" customHeight="1" x14ac:dyDescent="0.35">
      <c r="C796" s="671" t="s">
        <v>1853</v>
      </c>
      <c r="D796" s="238">
        <v>44207</v>
      </c>
      <c r="E796" s="121" t="s">
        <v>1655</v>
      </c>
      <c r="F796" s="237">
        <v>44208</v>
      </c>
      <c r="G796" s="237">
        <f>Table1[[#This Row],[Start Date]]</f>
        <v>44208</v>
      </c>
      <c r="H796" s="251"/>
      <c r="I796" s="618"/>
      <c r="J796" s="179" t="s">
        <v>973</v>
      </c>
    </row>
    <row r="797" spans="3:10" ht="15" hidden="1" customHeight="1" x14ac:dyDescent="0.35">
      <c r="C797" s="671" t="s">
        <v>1680</v>
      </c>
      <c r="D797" s="238">
        <v>44207</v>
      </c>
      <c r="E797" s="121" t="s">
        <v>418</v>
      </c>
      <c r="F797" s="237">
        <v>44208</v>
      </c>
      <c r="G797" s="237">
        <f>Table1[[#This Row],[Start Date]]</f>
        <v>44208</v>
      </c>
      <c r="H797" s="251"/>
      <c r="I797" s="618"/>
      <c r="J797" s="179" t="str">
        <f>Table1[[#This Row],[Routine Activities (PM/ PMCAL, CM, Genba, Isotanker, Material Readiness, Sampling)]]</f>
        <v>A2 Material Readiness</v>
      </c>
    </row>
    <row r="798" spans="3:10" ht="15" hidden="1" customHeight="1" x14ac:dyDescent="0.35">
      <c r="C798" s="671" t="s">
        <v>1854</v>
      </c>
      <c r="D798" s="238">
        <v>43841</v>
      </c>
      <c r="E798" s="121" t="s">
        <v>1544</v>
      </c>
      <c r="F798" s="237">
        <v>44209</v>
      </c>
      <c r="G798" s="237"/>
      <c r="H798" s="251"/>
      <c r="I798" s="618"/>
      <c r="J798" s="179" t="s">
        <v>1855</v>
      </c>
    </row>
    <row r="799" spans="3:10" ht="15" hidden="1" customHeight="1" x14ac:dyDescent="0.35">
      <c r="C799" s="619" t="s">
        <v>1856</v>
      </c>
      <c r="D799" s="238">
        <v>44193</v>
      </c>
      <c r="E799" s="121"/>
      <c r="F799" s="237"/>
      <c r="G799" s="237">
        <f>Table1[[#This Row],[Start Date]]</f>
        <v>0</v>
      </c>
      <c r="H799" s="237" t="s">
        <v>340</v>
      </c>
      <c r="I799" s="618"/>
      <c r="J799" s="23" t="str">
        <f>Table1[[#This Row],[Routine Activities (PM/ PMCAL, CM, Genba, Isotanker, Material Readiness, Sampling)]]</f>
        <v xml:space="preserve">SCDF license renewal - Pressure test H2 bank &amp; bulk solvent tanks </v>
      </c>
    </row>
    <row r="800" spans="3:10" ht="15" hidden="1" customHeight="1" x14ac:dyDescent="0.35">
      <c r="C800" s="642" t="s">
        <v>1857</v>
      </c>
      <c r="D800" s="238">
        <v>44207</v>
      </c>
      <c r="E800" s="121" t="s">
        <v>377</v>
      </c>
      <c r="F800" s="237">
        <v>44209</v>
      </c>
      <c r="G800" s="237">
        <f>Table1[[#This Row],[Start Date]]</f>
        <v>44209</v>
      </c>
      <c r="H800" s="251"/>
      <c r="I800" s="618"/>
      <c r="J800" s="179" t="str">
        <f>Table1[[#This Row],[Routine Activities (PM/ PMCAL, CM, Genba, Isotanker, Material Readiness, Sampling)]]</f>
        <v xml:space="preserve">MeOH top up </v>
      </c>
    </row>
    <row r="801" spans="3:10" ht="15" hidden="1" customHeight="1" x14ac:dyDescent="0.35">
      <c r="C801" s="671" t="s">
        <v>1858</v>
      </c>
      <c r="D801" s="238">
        <v>44193</v>
      </c>
      <c r="E801" s="121" t="s">
        <v>737</v>
      </c>
      <c r="F801" s="237"/>
      <c r="G801" s="237">
        <f>Table1[[#This Row],[Start Date]]</f>
        <v>0</v>
      </c>
      <c r="H801" s="251"/>
      <c r="I801" s="618"/>
      <c r="J801" s="179" t="str">
        <f>Table1[[#This Row],[Routine Activities (PM/ PMCAL, CM, Genba, Isotanker, Material Readiness, Sampling)]]</f>
        <v>Y2021 A1 testing readiness (to update by 31Dec20)</v>
      </c>
    </row>
    <row r="802" spans="3:10" ht="15" hidden="1" customHeight="1" x14ac:dyDescent="0.35">
      <c r="C802" s="671" t="s">
        <v>1859</v>
      </c>
      <c r="D802" s="238">
        <v>44207</v>
      </c>
      <c r="E802" s="121" t="s">
        <v>377</v>
      </c>
      <c r="F802" s="237">
        <v>44210</v>
      </c>
      <c r="G802" s="237">
        <f>Table1[[#This Row],[Start Date]]</f>
        <v>44210</v>
      </c>
      <c r="H802" s="251"/>
      <c r="I802" s="618"/>
      <c r="J802" s="179" t="str">
        <f>Table1[[#This Row],[Routine Activities (PM/ PMCAL, CM, Genba, Isotanker, Material Readiness, Sampling)]]</f>
        <v>N2 loading (cancelled)</v>
      </c>
    </row>
    <row r="803" spans="3:10" ht="15" hidden="1" customHeight="1" x14ac:dyDescent="0.35">
      <c r="C803" s="671" t="s">
        <v>1860</v>
      </c>
      <c r="D803" s="238">
        <v>44207</v>
      </c>
      <c r="E803" s="121" t="s">
        <v>1054</v>
      </c>
      <c r="F803" s="237">
        <v>44210</v>
      </c>
      <c r="G803" s="237">
        <f>Table1[[#This Row],[Start Date]]</f>
        <v>44210</v>
      </c>
      <c r="H803" s="251"/>
      <c r="I803" s="618"/>
      <c r="J803" s="179" t="str">
        <f>Table1[[#This Row],[Routine Activities (PM/ PMCAL, CM, Genba, Isotanker, Material Readiness, Sampling)]]</f>
        <v>Genba - Existing Tyvek (TBTU)</v>
      </c>
    </row>
    <row r="804" spans="3:10" ht="15" hidden="1" customHeight="1" x14ac:dyDescent="0.35">
      <c r="C804" s="671" t="s">
        <v>1861</v>
      </c>
      <c r="D804" s="238">
        <v>44207</v>
      </c>
      <c r="E804" s="121" t="s">
        <v>1544</v>
      </c>
      <c r="F804" s="237">
        <v>44211</v>
      </c>
      <c r="G804" s="237">
        <f>Table1[[#This Row],[Start Date]]</f>
        <v>44211</v>
      </c>
      <c r="H804" s="251"/>
      <c r="I804" s="618"/>
      <c r="J804" s="179" t="s">
        <v>1862</v>
      </c>
    </row>
    <row r="805" spans="3:10" ht="15" hidden="1" customHeight="1" x14ac:dyDescent="0.35">
      <c r="C805" s="671" t="s">
        <v>1863</v>
      </c>
      <c r="D805" s="238">
        <v>44207</v>
      </c>
      <c r="E805" s="121" t="s">
        <v>1575</v>
      </c>
      <c r="F805" s="237">
        <v>44211</v>
      </c>
      <c r="G805" s="237">
        <f>Table1[[#This Row],[Start Date]]</f>
        <v>44211</v>
      </c>
      <c r="H805" s="251"/>
      <c r="I805" s="618"/>
      <c r="J805" s="179" t="s">
        <v>1662</v>
      </c>
    </row>
    <row r="806" spans="3:10" ht="15" hidden="1" customHeight="1" x14ac:dyDescent="0.35">
      <c r="C806" s="140" t="s">
        <v>1864</v>
      </c>
      <c r="D806" s="238">
        <v>44200</v>
      </c>
      <c r="E806" s="121" t="s">
        <v>785</v>
      </c>
      <c r="F806" s="237"/>
      <c r="G806" s="237">
        <f>Table1[[#This Row],[Start Date]]</f>
        <v>0</v>
      </c>
      <c r="H806" s="251"/>
      <c r="I806" s="618"/>
      <c r="J806" s="179" t="str">
        <f>Table1[[#This Row],[Routine Activities (PM/ PMCAL, CM, Genba, Isotanker, Material Readiness, Sampling)]]</f>
        <v>Genba - FD bottom valve walkdown</v>
      </c>
    </row>
    <row r="807" spans="3:10" ht="15" hidden="1" customHeight="1" x14ac:dyDescent="0.35">
      <c r="C807" s="671" t="s">
        <v>1865</v>
      </c>
      <c r="D807" s="238">
        <v>44207</v>
      </c>
      <c r="E807" s="121" t="s">
        <v>433</v>
      </c>
      <c r="F807" s="237">
        <v>44211</v>
      </c>
      <c r="G807" s="237">
        <f>Table1[[#This Row],[Start Date]]</f>
        <v>44211</v>
      </c>
      <c r="H807" s="251"/>
      <c r="I807" s="618"/>
      <c r="J807" s="179" t="str">
        <f>Table1[[#This Row],[Routine Activities (PM/ PMCAL, CM, Genba, Isotanker, Material Readiness, Sampling)]]</f>
        <v xml:space="preserve">Aq Waste offloading </v>
      </c>
    </row>
    <row r="808" spans="3:10" ht="15" hidden="1" customHeight="1" x14ac:dyDescent="0.35">
      <c r="C808" s="671" t="s">
        <v>1866</v>
      </c>
      <c r="D808" s="238">
        <v>44214</v>
      </c>
      <c r="E808" s="121" t="s">
        <v>1728</v>
      </c>
      <c r="F808" s="237">
        <v>44215</v>
      </c>
      <c r="G808" s="237">
        <f>Table1[[#This Row],[Start Date]]</f>
        <v>44215</v>
      </c>
      <c r="H808" s="251"/>
      <c r="I808" s="618"/>
      <c r="J808" s="179" t="s">
        <v>1867</v>
      </c>
    </row>
    <row r="809" spans="3:10" ht="15" hidden="1" customHeight="1" x14ac:dyDescent="0.35">
      <c r="C809" s="671" t="s">
        <v>1833</v>
      </c>
      <c r="D809" s="238">
        <v>44207</v>
      </c>
      <c r="E809" s="121" t="s">
        <v>433</v>
      </c>
      <c r="F809" s="237"/>
      <c r="G809" s="237">
        <f>Table1[[#This Row],[Start Date]]</f>
        <v>0</v>
      </c>
      <c r="H809" s="251" t="s">
        <v>462</v>
      </c>
      <c r="I809" s="618"/>
      <c r="J809" s="179" t="str">
        <f>Table1[[#This Row],[Routine Activities (PM/ PMCAL, CM, Genba, Isotanker, Material Readiness, Sampling)]]</f>
        <v xml:space="preserve">Org waste offloading </v>
      </c>
    </row>
    <row r="810" spans="3:10" ht="15" hidden="1" customHeight="1" x14ac:dyDescent="0.35">
      <c r="C810" s="671" t="s">
        <v>775</v>
      </c>
      <c r="D810" s="238">
        <v>44214</v>
      </c>
      <c r="E810" s="121" t="s">
        <v>377</v>
      </c>
      <c r="F810" s="237">
        <v>44215</v>
      </c>
      <c r="G810" s="237">
        <f>Table1[[#This Row],[Start Date]]</f>
        <v>44215</v>
      </c>
      <c r="H810" s="251"/>
      <c r="I810" s="618"/>
      <c r="J810" s="179" t="str">
        <f>Table1[[#This Row],[Routine Activities (PM/ PMCAL, CM, Genba, Isotanker, Material Readiness, Sampling)]]</f>
        <v>N2 loading</v>
      </c>
    </row>
    <row r="811" spans="3:10" ht="15" hidden="1" customHeight="1" x14ac:dyDescent="0.35">
      <c r="C811" s="671" t="s">
        <v>1868</v>
      </c>
      <c r="D811" s="238">
        <v>44214</v>
      </c>
      <c r="E811" s="121" t="s">
        <v>1544</v>
      </c>
      <c r="F811" s="237">
        <v>44217</v>
      </c>
      <c r="G811" s="237">
        <f>Table1[[#This Row],[Start Date]]</f>
        <v>44217</v>
      </c>
      <c r="H811" s="251"/>
      <c r="I811" s="618"/>
      <c r="J811" s="179" t="s">
        <v>1869</v>
      </c>
    </row>
    <row r="812" spans="3:10" ht="15" hidden="1" customHeight="1" x14ac:dyDescent="0.35">
      <c r="C812" s="671" t="s">
        <v>1870</v>
      </c>
      <c r="D812" s="238">
        <v>44214</v>
      </c>
      <c r="E812" s="121" t="s">
        <v>1538</v>
      </c>
      <c r="F812" s="237">
        <v>44218</v>
      </c>
      <c r="G812" s="237">
        <f>Table1[[#This Row],[Start Date]]</f>
        <v>44218</v>
      </c>
      <c r="H812" s="251"/>
      <c r="I812" s="618"/>
      <c r="J812" s="179" t="s">
        <v>1871</v>
      </c>
    </row>
    <row r="813" spans="3:10" ht="15" hidden="1" customHeight="1" x14ac:dyDescent="0.35">
      <c r="C813" s="671" t="s">
        <v>1872</v>
      </c>
      <c r="D813" s="238">
        <v>44214</v>
      </c>
      <c r="E813" s="121" t="s">
        <v>31</v>
      </c>
      <c r="F813" s="237">
        <v>44218</v>
      </c>
      <c r="G813" s="237">
        <f>Table1[[#This Row],[Start Date]]</f>
        <v>44218</v>
      </c>
      <c r="H813" s="251"/>
      <c r="I813" s="618"/>
      <c r="J813" s="179" t="str">
        <f>Table1[[#This Row],[Routine Activities (PM/ PMCAL, CM, Genba, Isotanker, Material Readiness, Sampling)]]</f>
        <v xml:space="preserve">Automation: HMI Speaker Rectification </v>
      </c>
    </row>
    <row r="814" spans="3:10" ht="15" hidden="1" customHeight="1" x14ac:dyDescent="0.35">
      <c r="C814" s="671" t="s">
        <v>1873</v>
      </c>
      <c r="D814" s="238">
        <v>44214</v>
      </c>
      <c r="E814" s="121" t="s">
        <v>1107</v>
      </c>
      <c r="F814" s="237">
        <v>44218</v>
      </c>
      <c r="G814" s="237">
        <f>Table1[[#This Row],[Start Date]]</f>
        <v>44218</v>
      </c>
      <c r="H814" s="251"/>
      <c r="I814" s="618"/>
      <c r="J814" s="179" t="str">
        <f>Table1[[#This Row],[Routine Activities (PM/ PMCAL, CM, Genba, Isotanker, Material Readiness, Sampling)]]</f>
        <v xml:space="preserve">EHSS: Acid Scrubber Air Sampling </v>
      </c>
    </row>
    <row r="815" spans="3:10" ht="15" hidden="1" customHeight="1" x14ac:dyDescent="0.35">
      <c r="C815" s="671" t="s">
        <v>1874</v>
      </c>
      <c r="D815" s="238">
        <v>44207</v>
      </c>
      <c r="E815" s="121" t="s">
        <v>1356</v>
      </c>
      <c r="F815" s="237"/>
      <c r="G815" s="237">
        <f>Table1[[#This Row],[Start Date]]</f>
        <v>0</v>
      </c>
      <c r="H815" s="251"/>
      <c r="I815" s="618"/>
      <c r="J815" s="179" t="str">
        <f>Table1[[#This Row],[Routine Activities (PM/ PMCAL, CM, Genba, Isotanker, Material Readiness, Sampling)]]</f>
        <v>Genba - Pre-HAZOP (for check valve) walkdown</v>
      </c>
    </row>
    <row r="816" spans="3:10" ht="15" hidden="1" customHeight="1" x14ac:dyDescent="0.35">
      <c r="C816" s="671" t="s">
        <v>1875</v>
      </c>
      <c r="D816" s="238">
        <v>44207</v>
      </c>
      <c r="E816" s="121" t="s">
        <v>891</v>
      </c>
      <c r="F816" s="237"/>
      <c r="G816" s="237">
        <f>Table1[[#This Row],[Start Date]]</f>
        <v>0</v>
      </c>
      <c r="H816" s="251"/>
      <c r="I816" s="618"/>
      <c r="J816" s="179" t="str">
        <f>Table1[[#This Row],[Routine Activities (PM/ PMCAL, CM, Genba, Isotanker, Material Readiness, Sampling)]]</f>
        <v>QoP - Chem canister sampling/ area walkdown</v>
      </c>
    </row>
    <row r="817" spans="3:10" ht="15" hidden="1" customHeight="1" x14ac:dyDescent="0.35">
      <c r="C817" s="671" t="s">
        <v>1876</v>
      </c>
      <c r="D817" s="238">
        <v>44214</v>
      </c>
      <c r="E817" s="121" t="s">
        <v>1655</v>
      </c>
      <c r="F817" s="237">
        <v>44219</v>
      </c>
      <c r="G817" s="237">
        <f>Table1[[#This Row],[Start Date]]</f>
        <v>44219</v>
      </c>
      <c r="H817" s="251"/>
      <c r="I817" s="618"/>
      <c r="J817" s="179" t="s">
        <v>1877</v>
      </c>
    </row>
    <row r="818" spans="3:10" ht="15" hidden="1" customHeight="1" x14ac:dyDescent="0.35">
      <c r="C818" s="671" t="s">
        <v>1878</v>
      </c>
      <c r="D818" s="238">
        <v>44214</v>
      </c>
      <c r="E818" s="121" t="s">
        <v>1879</v>
      </c>
      <c r="F818" s="237">
        <v>44219</v>
      </c>
      <c r="G818" s="237">
        <f>Table1[[#This Row],[Start Date]]</f>
        <v>44219</v>
      </c>
      <c r="H818" s="251"/>
      <c r="I818" s="618"/>
      <c r="J818" s="179" t="str">
        <f>Table1[[#This Row],[Routine Activities (PM/ PMCAL, CM, Genba, Isotanker, Material Readiness, Sampling)]]</f>
        <v xml:space="preserve">56332867 - ASM2 Chiller Testing </v>
      </c>
    </row>
    <row r="819" spans="3:10" ht="15" hidden="1" customHeight="1" x14ac:dyDescent="0.35">
      <c r="C819" s="671" t="s">
        <v>1778</v>
      </c>
      <c r="D819" s="238">
        <v>44214</v>
      </c>
      <c r="E819" s="121" t="s">
        <v>377</v>
      </c>
      <c r="F819" s="237"/>
      <c r="G819" s="237">
        <f>Table1[[#This Row],[Start Date]]</f>
        <v>0</v>
      </c>
      <c r="H819" s="251" t="s">
        <v>462</v>
      </c>
      <c r="I819" s="618"/>
      <c r="J819" s="179" t="str">
        <f>Table1[[#This Row],[Routine Activities (PM/ PMCAL, CM, Genba, Isotanker, Material Readiness, Sampling)]]</f>
        <v>Solvent loading (not req)</v>
      </c>
    </row>
    <row r="820" spans="3:10" ht="15" hidden="1" customHeight="1" x14ac:dyDescent="0.35">
      <c r="C820" s="671" t="s">
        <v>1822</v>
      </c>
      <c r="D820" s="238">
        <v>44214</v>
      </c>
      <c r="E820" s="121" t="s">
        <v>433</v>
      </c>
      <c r="F820" s="237"/>
      <c r="G820" s="237">
        <f>Table1[[#This Row],[Start Date]]</f>
        <v>0</v>
      </c>
      <c r="H820" s="251" t="s">
        <v>462</v>
      </c>
      <c r="I820" s="618"/>
      <c r="J820" s="179" t="str">
        <f>Table1[[#This Row],[Routine Activities (PM/ PMCAL, CM, Genba, Isotanker, Material Readiness, Sampling)]]</f>
        <v>Aq Waste offloading (not req)</v>
      </c>
    </row>
    <row r="821" spans="3:10" ht="15" hidden="1" customHeight="1" x14ac:dyDescent="0.35">
      <c r="C821" s="671" t="s">
        <v>1851</v>
      </c>
      <c r="D821" s="238">
        <v>44214</v>
      </c>
      <c r="E821" s="121" t="s">
        <v>433</v>
      </c>
      <c r="F821" s="237"/>
      <c r="G821" s="237">
        <f>Table1[[#This Row],[Start Date]]</f>
        <v>0</v>
      </c>
      <c r="H821" s="251" t="s">
        <v>462</v>
      </c>
      <c r="I821" s="618"/>
      <c r="J821" s="179" t="str">
        <f>Table1[[#This Row],[Routine Activities (PM/ PMCAL, CM, Genba, Isotanker, Material Readiness, Sampling)]]</f>
        <v>Org waste offloading (not req)</v>
      </c>
    </row>
    <row r="822" spans="3:10" ht="15" hidden="1" customHeight="1" x14ac:dyDescent="0.35">
      <c r="C822" s="671" t="s">
        <v>1880</v>
      </c>
      <c r="D822" s="238">
        <v>44221</v>
      </c>
      <c r="E822" s="121" t="s">
        <v>1538</v>
      </c>
      <c r="F822" s="237">
        <v>44221</v>
      </c>
      <c r="G822" s="237">
        <f>Table1[[#This Row],[Start Date]]</f>
        <v>44221</v>
      </c>
      <c r="H822" s="251"/>
      <c r="I822" s="618"/>
      <c r="J822" s="179" t="str">
        <f>Table1[[#This Row],[Routine Activities (PM/ PMCAL, CM, Genba, Isotanker, Material Readiness, Sampling)]]</f>
        <v>QC Temp Sensor PMCAL</v>
      </c>
    </row>
    <row r="823" spans="3:10" ht="15" hidden="1" customHeight="1" x14ac:dyDescent="0.35">
      <c r="C823" s="671" t="s">
        <v>1881</v>
      </c>
      <c r="D823" s="238">
        <v>44221</v>
      </c>
      <c r="E823" s="121" t="s">
        <v>1538</v>
      </c>
      <c r="F823" s="237">
        <v>44221</v>
      </c>
      <c r="G823" s="237">
        <f>Table1[[#This Row],[Start Date]]</f>
        <v>44221</v>
      </c>
      <c r="H823" s="251"/>
      <c r="I823" s="618"/>
      <c r="J823" s="179" t="str">
        <f>Table1[[#This Row],[Routine Activities (PM/ PMCAL, CM, Genba, Isotanker, Material Readiness, Sampling)]]</f>
        <v>Endo plate reader PMCAL</v>
      </c>
    </row>
    <row r="824" spans="3:10" ht="15" hidden="1" customHeight="1" x14ac:dyDescent="0.35">
      <c r="C824" s="671" t="s">
        <v>1882</v>
      </c>
      <c r="D824" s="238">
        <v>44221</v>
      </c>
      <c r="E824" s="121" t="s">
        <v>1655</v>
      </c>
      <c r="F824" s="237">
        <v>44222</v>
      </c>
      <c r="G824" s="237">
        <f>Table1[[#This Row],[Start Date]]</f>
        <v>44222</v>
      </c>
      <c r="H824" s="251"/>
      <c r="I824" s="618"/>
      <c r="J824" s="179" t="s">
        <v>1883</v>
      </c>
    </row>
    <row r="825" spans="3:10" ht="15" hidden="1" customHeight="1" x14ac:dyDescent="0.35">
      <c r="C825" s="671" t="s">
        <v>1884</v>
      </c>
      <c r="D825" s="238">
        <v>44221</v>
      </c>
      <c r="E825" s="121" t="s">
        <v>1885</v>
      </c>
      <c r="F825" s="237">
        <v>44222</v>
      </c>
      <c r="G825" s="237">
        <f>Table1[[#This Row],[Start Date]]</f>
        <v>44222</v>
      </c>
      <c r="H825" s="251"/>
      <c r="I825" s="618"/>
      <c r="J825" s="179" t="str">
        <f>Table1[[#This Row],[Routine Activities (PM/ PMCAL, CM, Genba, Isotanker, Material Readiness, Sampling)]]</f>
        <v>Genba - DCM waste drumming valve</v>
      </c>
    </row>
    <row r="826" spans="3:10" ht="15" hidden="1" customHeight="1" x14ac:dyDescent="0.35">
      <c r="C826" s="671" t="s">
        <v>1886</v>
      </c>
      <c r="D826" s="238">
        <v>44221</v>
      </c>
      <c r="E826" s="121" t="s">
        <v>418</v>
      </c>
      <c r="F826" s="237">
        <v>44222</v>
      </c>
      <c r="G826" s="237">
        <f>Table1[[#This Row],[Start Date]]</f>
        <v>44222</v>
      </c>
      <c r="H826" s="251"/>
      <c r="I826" s="618"/>
      <c r="J826" s="179" t="str">
        <f>Table1[[#This Row],[Routine Activities (PM/ PMCAL, CM, Genba, Isotanker, Material Readiness, Sampling)]]</f>
        <v>Material Readiness - Packout</v>
      </c>
    </row>
    <row r="827" spans="3:10" ht="15" hidden="1" customHeight="1" x14ac:dyDescent="0.35">
      <c r="C827" s="671" t="s">
        <v>1750</v>
      </c>
      <c r="D827" s="238">
        <v>44221</v>
      </c>
      <c r="E827" s="121" t="s">
        <v>377</v>
      </c>
      <c r="F827" s="237">
        <v>44225</v>
      </c>
      <c r="G827" s="237">
        <f>Table1[[#This Row],[Start Date]]</f>
        <v>44225</v>
      </c>
      <c r="H827" s="251"/>
      <c r="I827" s="618"/>
      <c r="J827" s="179" t="str">
        <f>Table1[[#This Row],[Routine Activities (PM/ PMCAL, CM, Genba, Isotanker, Material Readiness, Sampling)]]</f>
        <v xml:space="preserve">N2 loading </v>
      </c>
    </row>
    <row r="828" spans="3:10" ht="15" hidden="1" customHeight="1" x14ac:dyDescent="0.35">
      <c r="C828" s="671" t="s">
        <v>1887</v>
      </c>
      <c r="D828" s="238">
        <v>44221</v>
      </c>
      <c r="E828" s="121" t="s">
        <v>1644</v>
      </c>
      <c r="F828" s="237">
        <v>44225</v>
      </c>
      <c r="G828" s="237">
        <f>Table1[[#This Row],[Start Date]]</f>
        <v>44225</v>
      </c>
      <c r="H828" s="251"/>
      <c r="I828" s="618"/>
      <c r="J828" s="179" t="str">
        <f>Table1[[#This Row],[Routine Activities (PM/ PMCAL, CM, Genba, Isotanker, Material Readiness, Sampling)]]</f>
        <v>Timer entry cal</v>
      </c>
    </row>
    <row r="829" spans="3:10" ht="15" hidden="1" customHeight="1" x14ac:dyDescent="0.35">
      <c r="C829" s="671" t="s">
        <v>1836</v>
      </c>
      <c r="D829" s="238">
        <v>44228</v>
      </c>
      <c r="E829" s="121" t="s">
        <v>433</v>
      </c>
      <c r="F829" s="237">
        <v>44228</v>
      </c>
      <c r="G829" s="237">
        <f>Table1[[#This Row],[Start Date]]</f>
        <v>44228</v>
      </c>
      <c r="H829" s="251"/>
      <c r="I829" s="618"/>
      <c r="J829" s="179" t="str">
        <f>Table1[[#This Row],[Routine Activities (PM/ PMCAL, CM, Genba, Isotanker, Material Readiness, Sampling)]]</f>
        <v>Org waste offloading</v>
      </c>
    </row>
    <row r="830" spans="3:10" ht="15" hidden="1" customHeight="1" x14ac:dyDescent="0.35">
      <c r="C830" s="671" t="s">
        <v>1787</v>
      </c>
      <c r="D830" s="238">
        <v>44228</v>
      </c>
      <c r="E830" s="121" t="s">
        <v>377</v>
      </c>
      <c r="F830" s="237">
        <v>44229</v>
      </c>
      <c r="G830" s="237">
        <f>Table1[[#This Row],[Start Date]]</f>
        <v>44229</v>
      </c>
      <c r="H830" s="251"/>
      <c r="I830" s="618"/>
      <c r="J830" s="179" t="str">
        <f>Table1[[#This Row],[Routine Activities (PM/ PMCAL, CM, Genba, Isotanker, Material Readiness, Sampling)]]</f>
        <v>MeOH loading</v>
      </c>
    </row>
    <row r="831" spans="3:10" ht="15" hidden="1" customHeight="1" x14ac:dyDescent="0.35">
      <c r="C831" s="671" t="s">
        <v>1671</v>
      </c>
      <c r="D831" s="238">
        <v>44228</v>
      </c>
      <c r="E831" s="121" t="s">
        <v>1544</v>
      </c>
      <c r="F831" s="237">
        <v>44229</v>
      </c>
      <c r="G831" s="237">
        <f>Table1[[#This Row],[Start Date]]</f>
        <v>44229</v>
      </c>
      <c r="H831" s="251"/>
      <c r="I831" s="618"/>
      <c r="J831" s="179" t="str">
        <f>Table1[[#This Row],[Routine Activities (PM/ PMCAL, CM, Genba, Isotanker, Material Readiness, Sampling)]]</f>
        <v>Chem canister dome removal</v>
      </c>
    </row>
    <row r="832" spans="3:10" ht="15" hidden="1" customHeight="1" x14ac:dyDescent="0.35">
      <c r="C832" s="671" t="s">
        <v>1888</v>
      </c>
      <c r="D832" s="238">
        <v>44214</v>
      </c>
      <c r="E832" s="121" t="s">
        <v>1885</v>
      </c>
      <c r="F832" s="237"/>
      <c r="G832" s="237">
        <f>Table1[[#This Row],[Start Date]]</f>
        <v>0</v>
      </c>
      <c r="H832" s="251"/>
      <c r="I832" s="618"/>
      <c r="J832" s="179" t="str">
        <f>Table1[[#This Row],[Routine Activities (PM/ PMCAL, CM, Genba, Isotanker, Material Readiness, Sampling)]]</f>
        <v xml:space="preserve">Genba - A2 process </v>
      </c>
    </row>
    <row r="833" spans="3:10" ht="15" hidden="1" customHeight="1" x14ac:dyDescent="0.35">
      <c r="C833" s="671" t="s">
        <v>1625</v>
      </c>
      <c r="D833" s="238">
        <v>44214</v>
      </c>
      <c r="E833" s="121" t="s">
        <v>891</v>
      </c>
      <c r="F833" s="237"/>
      <c r="G833" s="237">
        <f>Table1[[#This Row],[Start Date]]</f>
        <v>0</v>
      </c>
      <c r="H833" s="251"/>
      <c r="I833" s="618"/>
      <c r="J833" s="179" t="str">
        <f>Table1[[#This Row],[Routine Activities (PM/ PMCAL, CM, Genba, Isotanker, Material Readiness, Sampling)]]</f>
        <v>QoP - TBC</v>
      </c>
    </row>
    <row r="834" spans="3:10" ht="15" hidden="1" customHeight="1" x14ac:dyDescent="0.35">
      <c r="C834" s="671" t="s">
        <v>1889</v>
      </c>
      <c r="D834" s="238">
        <v>44228</v>
      </c>
      <c r="E834" s="121" t="s">
        <v>1015</v>
      </c>
      <c r="F834" s="237">
        <v>44231</v>
      </c>
      <c r="G834" s="237">
        <f>Table1[[#This Row],[Start Date]]</f>
        <v>44231</v>
      </c>
      <c r="H834" s="251"/>
      <c r="I834" s="618"/>
      <c r="J834" s="179" t="str">
        <f>Table1[[#This Row],[Routine Activities (PM/ PMCAL, CM, Genba, Isotanker, Material Readiness, Sampling)]]</f>
        <v>Polishing filter replacement</v>
      </c>
    </row>
    <row r="835" spans="3:10" ht="15" hidden="1" customHeight="1" x14ac:dyDescent="0.35">
      <c r="C835" s="671" t="s">
        <v>1778</v>
      </c>
      <c r="D835" s="238">
        <v>44221</v>
      </c>
      <c r="E835" s="121" t="s">
        <v>377</v>
      </c>
      <c r="F835" s="237"/>
      <c r="G835" s="237">
        <f>Table1[[#This Row],[Start Date]]</f>
        <v>0</v>
      </c>
      <c r="H835" s="251" t="s">
        <v>462</v>
      </c>
      <c r="I835" s="618"/>
      <c r="J835" s="179" t="str">
        <f>Table1[[#This Row],[Routine Activities (PM/ PMCAL, CM, Genba, Isotanker, Material Readiness, Sampling)]]</f>
        <v>Solvent loading (not req)</v>
      </c>
    </row>
    <row r="836" spans="3:10" ht="15" hidden="1" customHeight="1" x14ac:dyDescent="0.35">
      <c r="C836" s="671" t="s">
        <v>1822</v>
      </c>
      <c r="D836" s="238">
        <v>44221</v>
      </c>
      <c r="E836" s="121" t="s">
        <v>433</v>
      </c>
      <c r="F836" s="237"/>
      <c r="G836" s="237">
        <f>Table1[[#This Row],[Start Date]]</f>
        <v>0</v>
      </c>
      <c r="H836" s="251" t="s">
        <v>462</v>
      </c>
      <c r="I836" s="618"/>
      <c r="J836" s="179" t="str">
        <f>Table1[[#This Row],[Routine Activities (PM/ PMCAL, CM, Genba, Isotanker, Material Readiness, Sampling)]]</f>
        <v>Aq Waste offloading (not req)</v>
      </c>
    </row>
    <row r="837" spans="3:10" ht="15" hidden="1" customHeight="1" x14ac:dyDescent="0.35">
      <c r="C837" s="671" t="s">
        <v>1890</v>
      </c>
      <c r="D837" s="238">
        <v>44228</v>
      </c>
      <c r="E837" s="121" t="s">
        <v>1538</v>
      </c>
      <c r="F837" s="237">
        <v>44233</v>
      </c>
      <c r="G837" s="237">
        <f>Table1[[#This Row],[Start Date]]</f>
        <v>44233</v>
      </c>
      <c r="H837" s="251"/>
      <c r="I837" s="618"/>
      <c r="J837" s="179" t="str">
        <f>Table1[[#This Row],[Routine Activities (PM/ PMCAL, CM, Genba, Isotanker, Material Readiness, Sampling)]]</f>
        <v>QC stopwatch PMCAL</v>
      </c>
    </row>
    <row r="838" spans="3:10" ht="15" hidden="1" customHeight="1" x14ac:dyDescent="0.35">
      <c r="C838" s="671" t="s">
        <v>1891</v>
      </c>
      <c r="D838" s="238">
        <v>44228</v>
      </c>
      <c r="E838" s="121" t="s">
        <v>1544</v>
      </c>
      <c r="F838" s="237">
        <v>44233</v>
      </c>
      <c r="G838" s="237">
        <f>Table1[[#This Row],[Start Date]]</f>
        <v>44233</v>
      </c>
      <c r="H838" s="251"/>
      <c r="I838" s="618"/>
      <c r="J838" s="179" t="str">
        <f>Table1[[#This Row],[Routine Activities (PM/ PMCAL, CM, Genba, Isotanker, Material Readiness, Sampling)]]</f>
        <v>Chem canister PM</v>
      </c>
    </row>
    <row r="839" spans="3:10" ht="15" hidden="1" customHeight="1" x14ac:dyDescent="0.35">
      <c r="C839" s="671" t="s">
        <v>1892</v>
      </c>
      <c r="D839" s="238">
        <v>44228</v>
      </c>
      <c r="E839" s="121" t="s">
        <v>1538</v>
      </c>
      <c r="F839" s="237">
        <v>44234</v>
      </c>
      <c r="G839" s="237">
        <f>Table1[[#This Row],[Start Date]]</f>
        <v>44234</v>
      </c>
      <c r="H839" s="251"/>
      <c r="I839" s="618"/>
      <c r="J839" s="179" t="str">
        <f>Table1[[#This Row],[Routine Activities (PM/ PMCAL, CM, Genba, Isotanker, Material Readiness, Sampling)]]</f>
        <v>QC pipette PMCAL</v>
      </c>
    </row>
    <row r="840" spans="3:10" ht="15" hidden="1" customHeight="1" x14ac:dyDescent="0.35">
      <c r="C840" s="671" t="s">
        <v>1893</v>
      </c>
      <c r="D840" s="238">
        <v>44228</v>
      </c>
      <c r="E840" s="121" t="s">
        <v>1356</v>
      </c>
      <c r="F840" s="237"/>
      <c r="G840" s="237">
        <f>Table1[[#This Row],[Start Date]]</f>
        <v>0</v>
      </c>
      <c r="H840" s="251"/>
      <c r="I840" s="618"/>
      <c r="J840" s="179" t="str">
        <f>Table1[[#This Row],[Routine Activities (PM/ PMCAL, CM, Genba, Isotanker, Material Readiness, Sampling)]]</f>
        <v>Genba - Tank farm pneumatic pressure test - TBC</v>
      </c>
    </row>
    <row r="841" spans="3:10" ht="15" hidden="1" customHeight="1" x14ac:dyDescent="0.35">
      <c r="C841" s="671" t="s">
        <v>1894</v>
      </c>
      <c r="D841" s="238">
        <v>44221</v>
      </c>
      <c r="E841" s="121" t="s">
        <v>891</v>
      </c>
      <c r="F841" s="237"/>
      <c r="G841" s="237">
        <f>Table1[[#This Row],[Start Date]]</f>
        <v>0</v>
      </c>
      <c r="H841" s="251"/>
      <c r="I841" s="618"/>
      <c r="J841" s="179" t="str">
        <f>Table1[[#This Row],[Routine Activities (PM/ PMCAL, CM, Genba, Isotanker, Material Readiness, Sampling)]]</f>
        <v>QoP - Distillation/ Packout</v>
      </c>
    </row>
    <row r="842" spans="3:10" ht="15" hidden="1" customHeight="1" x14ac:dyDescent="0.35">
      <c r="C842" s="671" t="s">
        <v>1895</v>
      </c>
      <c r="D842" s="238">
        <v>44228</v>
      </c>
      <c r="E842" s="121" t="s">
        <v>891</v>
      </c>
      <c r="F842" s="237">
        <v>44230</v>
      </c>
      <c r="G842" s="237">
        <f>Table1[[#This Row],[Start Date]]</f>
        <v>44230</v>
      </c>
      <c r="H842" s="251"/>
      <c r="I842" s="618"/>
      <c r="J842" s="179" t="str">
        <f>Table1[[#This Row],[Routine Activities (PM/ PMCAL, CM, Genba, Isotanker, Material Readiness, Sampling)]]</f>
        <v>QoP - mix tank GVI focus walk</v>
      </c>
    </row>
    <row r="843" spans="3:10" ht="15" hidden="1" customHeight="1" x14ac:dyDescent="0.35">
      <c r="C843" s="671" t="s">
        <v>1750</v>
      </c>
      <c r="D843" s="238">
        <v>44228</v>
      </c>
      <c r="E843" s="121" t="s">
        <v>377</v>
      </c>
      <c r="F843" s="237">
        <v>44231</v>
      </c>
      <c r="G843" s="237">
        <f>Table1[[#This Row],[Start Date]]</f>
        <v>44231</v>
      </c>
      <c r="H843" s="251"/>
      <c r="I843" s="618"/>
      <c r="J843" s="179" t="str">
        <f>Table1[[#This Row],[Routine Activities (PM/ PMCAL, CM, Genba, Isotanker, Material Readiness, Sampling)]]</f>
        <v xml:space="preserve">N2 loading </v>
      </c>
    </row>
    <row r="844" spans="3:10" ht="15" hidden="1" customHeight="1" x14ac:dyDescent="0.35">
      <c r="C844" s="671" t="s">
        <v>1701</v>
      </c>
      <c r="D844" s="238">
        <v>44228</v>
      </c>
      <c r="E844" s="121" t="s">
        <v>418</v>
      </c>
      <c r="F844" s="237">
        <v>44230</v>
      </c>
      <c r="G844" s="237">
        <f>Table1[[#This Row],[Start Date]]</f>
        <v>44230</v>
      </c>
      <c r="H844" s="251"/>
      <c r="I844" s="618"/>
      <c r="J844" s="179" t="str">
        <f>Table1[[#This Row],[Routine Activities (PM/ PMCAL, CM, Genba, Isotanker, Material Readiness, Sampling)]]</f>
        <v>A3 Material Readiness</v>
      </c>
    </row>
    <row r="845" spans="3:10" ht="15" hidden="1" customHeight="1" x14ac:dyDescent="0.35">
      <c r="C845" s="671" t="s">
        <v>1833</v>
      </c>
      <c r="D845" s="238">
        <v>44228</v>
      </c>
      <c r="E845" s="121" t="s">
        <v>433</v>
      </c>
      <c r="F845" s="237">
        <v>44232</v>
      </c>
      <c r="G845" s="237">
        <f>Table1[[#This Row],[Start Date]]</f>
        <v>44232</v>
      </c>
      <c r="H845" s="251"/>
      <c r="I845" s="618"/>
      <c r="J845" s="179" t="str">
        <f>Table1[[#This Row],[Routine Activities (PM/ PMCAL, CM, Genba, Isotanker, Material Readiness, Sampling)]]</f>
        <v xml:space="preserve">Org waste offloading </v>
      </c>
    </row>
    <row r="846" spans="3:10" ht="15" hidden="1" customHeight="1" x14ac:dyDescent="0.35">
      <c r="C846" s="671" t="s">
        <v>1896</v>
      </c>
      <c r="D846" s="238">
        <v>44235</v>
      </c>
      <c r="E846" s="121" t="s">
        <v>433</v>
      </c>
      <c r="F846" s="237">
        <v>44235</v>
      </c>
      <c r="G846" s="237">
        <f>Table1[[#This Row],[Start Date]]</f>
        <v>44235</v>
      </c>
      <c r="H846" s="251"/>
      <c r="I846" s="618"/>
      <c r="J846" s="179" t="str">
        <f>Table1[[#This Row],[Routine Activities (PM/ PMCAL, CM, Genba, Isotanker, Material Readiness, Sampling)]]</f>
        <v xml:space="preserve">Aq waste offloading </v>
      </c>
    </row>
    <row r="847" spans="3:10" ht="15" hidden="1" customHeight="1" x14ac:dyDescent="0.35">
      <c r="C847" s="671" t="s">
        <v>1595</v>
      </c>
      <c r="D847" s="238">
        <v>44235</v>
      </c>
      <c r="E847" s="121" t="s">
        <v>1655</v>
      </c>
      <c r="F847" s="237">
        <v>44235</v>
      </c>
      <c r="G847" s="237">
        <f>Table1[[#This Row],[Start Date]]</f>
        <v>44235</v>
      </c>
      <c r="H847" s="251"/>
      <c r="I847" s="618"/>
      <c r="J847" s="179" t="str">
        <f>Table1[[#This Row],[Routine Activities (PM/ PMCAL, CM, Genba, Isotanker, Material Readiness, Sampling)]]</f>
        <v>Chilled water gen PM</v>
      </c>
    </row>
    <row r="848" spans="3:10" ht="15" hidden="1" customHeight="1" x14ac:dyDescent="0.35">
      <c r="C848" s="671" t="s">
        <v>1889</v>
      </c>
      <c r="D848" s="238">
        <v>44235</v>
      </c>
      <c r="E848" s="121" t="s">
        <v>1524</v>
      </c>
      <c r="F848" s="237">
        <v>44236</v>
      </c>
      <c r="G848" s="237">
        <f>Table1[[#This Row],[Start Date]]</f>
        <v>44236</v>
      </c>
      <c r="H848" s="251"/>
      <c r="I848" s="618"/>
      <c r="J848" s="179" t="str">
        <f>Table1[[#This Row],[Routine Activities (PM/ PMCAL, CM, Genba, Isotanker, Material Readiness, Sampling)]]</f>
        <v>Polishing filter replacement</v>
      </c>
    </row>
    <row r="849" spans="3:10" ht="15" hidden="1" customHeight="1" x14ac:dyDescent="0.35">
      <c r="C849" s="671" t="s">
        <v>1897</v>
      </c>
      <c r="D849" s="238">
        <v>44235</v>
      </c>
      <c r="E849" s="121" t="s">
        <v>1538</v>
      </c>
      <c r="F849" s="237">
        <v>44237</v>
      </c>
      <c r="G849" s="237">
        <f>Table1[[#This Row],[Start Date]]</f>
        <v>44237</v>
      </c>
      <c r="H849" s="251"/>
      <c r="I849" s="618"/>
      <c r="J849" s="179" t="str">
        <f>Table1[[#This Row],[Routine Activities (PM/ PMCAL, CM, Genba, Isotanker, Material Readiness, Sampling)]]</f>
        <v>QC analytical weight PM</v>
      </c>
    </row>
    <row r="850" spans="3:10" ht="15" hidden="1" customHeight="1" x14ac:dyDescent="0.35">
      <c r="C850" s="671" t="s">
        <v>1898</v>
      </c>
      <c r="D850" s="238">
        <v>44235</v>
      </c>
      <c r="E850" s="121" t="s">
        <v>1601</v>
      </c>
      <c r="F850" s="237">
        <v>44239</v>
      </c>
      <c r="G850" s="237">
        <f>Table1[[#This Row],[Start Date]]</f>
        <v>44239</v>
      </c>
      <c r="H850" s="251"/>
      <c r="I850" s="618"/>
      <c r="J850" s="179" t="str">
        <f>Table1[[#This Row],[Routine Activities (PM/ PMCAL, CM, Genba, Isotanker, Material Readiness, Sampling)]]</f>
        <v>AHU GM: Replace G4 filters</v>
      </c>
    </row>
    <row r="851" spans="3:10" ht="15" hidden="1" customHeight="1" x14ac:dyDescent="0.35">
      <c r="C851" s="671" t="s">
        <v>1099</v>
      </c>
      <c r="D851" s="238">
        <v>44235</v>
      </c>
      <c r="E851" s="121" t="s">
        <v>433</v>
      </c>
      <c r="F851" s="237"/>
      <c r="G851" s="237">
        <f>Table1[[#This Row],[Start Date]]</f>
        <v>0</v>
      </c>
      <c r="H851" s="251" t="s">
        <v>462</v>
      </c>
      <c r="I851" s="618"/>
      <c r="J851" s="179" t="str">
        <f>Table1[[#This Row],[Routine Activities (PM/ PMCAL, CM, Genba, Isotanker, Material Readiness, Sampling)]]</f>
        <v xml:space="preserve">Waste offloading - Org </v>
      </c>
    </row>
    <row r="852" spans="3:10" ht="15" hidden="1" customHeight="1" x14ac:dyDescent="0.35">
      <c r="C852" s="671" t="s">
        <v>1750</v>
      </c>
      <c r="D852" s="238">
        <v>44235</v>
      </c>
      <c r="E852" s="121" t="s">
        <v>377</v>
      </c>
      <c r="F852" s="237">
        <v>44237</v>
      </c>
      <c r="G852" s="237">
        <f>Table1[[#This Row],[Start Date]]</f>
        <v>44237</v>
      </c>
      <c r="H852" s="251"/>
      <c r="I852" s="618"/>
      <c r="J852" s="179" t="str">
        <f>Table1[[#This Row],[Routine Activities (PM/ PMCAL, CM, Genba, Isotanker, Material Readiness, Sampling)]]</f>
        <v xml:space="preserve">N2 loading </v>
      </c>
    </row>
    <row r="853" spans="3:10" ht="15" hidden="1" customHeight="1" x14ac:dyDescent="0.35">
      <c r="C853" s="671" t="s">
        <v>1899</v>
      </c>
      <c r="D853" s="238">
        <v>44235</v>
      </c>
      <c r="E853" s="121" t="s">
        <v>1885</v>
      </c>
      <c r="F853" s="237">
        <v>44237</v>
      </c>
      <c r="G853" s="237">
        <f>Table1[[#This Row],[Start Date]]</f>
        <v>44237</v>
      </c>
      <c r="H853" s="251"/>
      <c r="I853" s="618"/>
      <c r="J853" s="179" t="str">
        <f>Table1[[#This Row],[Routine Activities (PM/ PMCAL, CM, Genba, Isotanker, Material Readiness, Sampling)]]</f>
        <v>Genba - Hydrogen cylinder shed</v>
      </c>
    </row>
    <row r="854" spans="3:10" ht="15" hidden="1" customHeight="1" x14ac:dyDescent="0.35">
      <c r="C854" s="671" t="s">
        <v>1900</v>
      </c>
      <c r="D854" s="238">
        <v>44235</v>
      </c>
      <c r="E854" s="121" t="s">
        <v>891</v>
      </c>
      <c r="F854" s="237">
        <v>44237</v>
      </c>
      <c r="G854" s="237">
        <f>Table1[[#This Row],[Start Date]]</f>
        <v>44237</v>
      </c>
      <c r="H854" s="251"/>
      <c r="I854" s="618"/>
      <c r="J854" s="179" t="str">
        <f>Table1[[#This Row],[Routine Activities (PM/ PMCAL, CM, Genba, Isotanker, Material Readiness, Sampling)]]</f>
        <v>QoP - combined w Genba</v>
      </c>
    </row>
    <row r="855" spans="3:10" ht="15" hidden="1" customHeight="1" x14ac:dyDescent="0.35">
      <c r="C855" s="694" t="s">
        <v>1901</v>
      </c>
      <c r="D855" s="238">
        <v>44235</v>
      </c>
      <c r="E855" s="121" t="s">
        <v>433</v>
      </c>
      <c r="F855" s="237">
        <v>44237</v>
      </c>
      <c r="G855" s="237">
        <f>Table1[[#This Row],[Start Date]]</f>
        <v>44237</v>
      </c>
      <c r="H855" s="251"/>
      <c r="I855" s="618"/>
      <c r="J855" s="179" t="str">
        <f>Table1[[#This Row],[Routine Activities (PM/ PMCAL, CM, Genba, Isotanker, Material Readiness, Sampling)]]</f>
        <v xml:space="preserve">Spent cat waste collection </v>
      </c>
    </row>
    <row r="856" spans="3:10" ht="15" hidden="1" customHeight="1" x14ac:dyDescent="0.35">
      <c r="C856" s="671" t="s">
        <v>1542</v>
      </c>
      <c r="D856" s="238">
        <v>44242</v>
      </c>
      <c r="E856" s="121" t="s">
        <v>377</v>
      </c>
      <c r="F856" s="237">
        <v>44245</v>
      </c>
      <c r="G856" s="237">
        <f>Table1[[#This Row],[Start Date]]</f>
        <v>44245</v>
      </c>
      <c r="H856" s="251"/>
      <c r="I856" s="618"/>
      <c r="J856" s="179" t="str">
        <f>Table1[[#This Row],[Routine Activities (PM/ PMCAL, CM, Genba, Isotanker, Material Readiness, Sampling)]]</f>
        <v>Solvent loading (MeOH)</v>
      </c>
    </row>
    <row r="857" spans="3:10" ht="15" hidden="1" customHeight="1" x14ac:dyDescent="0.35">
      <c r="C857" s="671" t="s">
        <v>1902</v>
      </c>
      <c r="D857" s="238">
        <v>44249</v>
      </c>
      <c r="E857" s="121" t="s">
        <v>979</v>
      </c>
      <c r="F857" s="237">
        <v>44251</v>
      </c>
      <c r="G857" s="237">
        <f>Table1[[#This Row],[Start Date]]</f>
        <v>44251</v>
      </c>
      <c r="H857" s="251"/>
      <c r="I857" s="618"/>
      <c r="J857" s="179" t="str">
        <f>Table1[[#This Row],[Routine Activities (PM/ PMCAL, CM, Genba, Isotanker, Material Readiness, Sampling)]]</f>
        <v>FD PM/PMCAL</v>
      </c>
    </row>
    <row r="858" spans="3:10" ht="15" hidden="1" customHeight="1" x14ac:dyDescent="0.35">
      <c r="C858" s="671" t="s">
        <v>1903</v>
      </c>
      <c r="D858" s="238">
        <v>44242</v>
      </c>
      <c r="E858" s="121" t="s">
        <v>1107</v>
      </c>
      <c r="F858" s="237">
        <v>44243</v>
      </c>
      <c r="G858" s="237">
        <v>44243</v>
      </c>
      <c r="H858" s="251"/>
      <c r="I858" s="618"/>
      <c r="J858" s="179" t="s">
        <v>1903</v>
      </c>
    </row>
    <row r="859" spans="3:10" ht="15" hidden="1" customHeight="1" x14ac:dyDescent="0.35">
      <c r="C859" s="671" t="s">
        <v>913</v>
      </c>
      <c r="D859" s="238">
        <v>44242</v>
      </c>
      <c r="E859" s="121" t="s">
        <v>1904</v>
      </c>
      <c r="F859" s="237">
        <v>44245</v>
      </c>
      <c r="G859" s="237">
        <f>Table1[[#This Row],[Start Date]]</f>
        <v>44245</v>
      </c>
      <c r="H859" s="251"/>
      <c r="I859" s="618"/>
      <c r="J859" s="179" t="str">
        <f>Table1[[#This Row],[Routine Activities (PM/ PMCAL, CM, Genba, Isotanker, Material Readiness, Sampling)]]</f>
        <v>Standby gen PM</v>
      </c>
    </row>
    <row r="860" spans="3:10" ht="15" hidden="1" customHeight="1" x14ac:dyDescent="0.35">
      <c r="C860" s="671" t="s">
        <v>1889</v>
      </c>
      <c r="D860" s="238">
        <v>44242</v>
      </c>
      <c r="E860" s="121" t="s">
        <v>1905</v>
      </c>
      <c r="F860" s="237">
        <v>44245</v>
      </c>
      <c r="G860" s="237">
        <f>Table1[[#This Row],[Start Date]]</f>
        <v>44245</v>
      </c>
      <c r="H860" s="251"/>
      <c r="I860" s="618"/>
      <c r="J860" s="179" t="str">
        <f>Table1[[#This Row],[Routine Activities (PM/ PMCAL, CM, Genba, Isotanker, Material Readiness, Sampling)]]</f>
        <v>Polishing filter replacement</v>
      </c>
    </row>
    <row r="861" spans="3:10" ht="15" hidden="1" customHeight="1" x14ac:dyDescent="0.35">
      <c r="C861" s="671" t="s">
        <v>1906</v>
      </c>
      <c r="D861" s="238">
        <v>44242</v>
      </c>
      <c r="E861" s="121" t="s">
        <v>979</v>
      </c>
      <c r="F861" s="237">
        <v>44248</v>
      </c>
      <c r="G861" s="237">
        <f>Table1[[#This Row],[Start Date]]</f>
        <v>44248</v>
      </c>
      <c r="H861" s="251"/>
      <c r="I861" s="618"/>
      <c r="J861" s="179" t="str">
        <f>Table1[[#This Row],[Routine Activities (PM/ PMCAL, CM, Genba, Isotanker, Material Readiness, Sampling)]]</f>
        <v>FD condenser pump PM</v>
      </c>
    </row>
    <row r="862" spans="3:10" ht="15" hidden="1" customHeight="1" x14ac:dyDescent="0.35">
      <c r="C862" s="671" t="s">
        <v>1409</v>
      </c>
      <c r="D862" s="238">
        <v>44242</v>
      </c>
      <c r="E862" s="121" t="s">
        <v>433</v>
      </c>
      <c r="F862" s="237"/>
      <c r="G862" s="237">
        <f>Table1[[#This Row],[Start Date]]</f>
        <v>0</v>
      </c>
      <c r="H862" s="251" t="s">
        <v>462</v>
      </c>
      <c r="I862" s="618"/>
      <c r="J862" s="179" t="str">
        <f>Table1[[#This Row],[Routine Activities (PM/ PMCAL, CM, Genba, Isotanker, Material Readiness, Sampling)]]</f>
        <v>Waste offloading - Aq (not req)</v>
      </c>
    </row>
    <row r="863" spans="3:10" ht="15" hidden="1" customHeight="1" x14ac:dyDescent="0.35">
      <c r="C863" s="671" t="s">
        <v>1658</v>
      </c>
      <c r="D863" s="238">
        <v>44242</v>
      </c>
      <c r="E863" s="121" t="s">
        <v>433</v>
      </c>
      <c r="F863" s="237"/>
      <c r="G863" s="237">
        <f>Table1[[#This Row],[Start Date]]</f>
        <v>0</v>
      </c>
      <c r="H863" s="251" t="s">
        <v>462</v>
      </c>
      <c r="I863" s="618"/>
      <c r="J863" s="179" t="str">
        <f>Table1[[#This Row],[Routine Activities (PM/ PMCAL, CM, Genba, Isotanker, Material Readiness, Sampling)]]</f>
        <v>Waste offloading - Org (not req)</v>
      </c>
    </row>
    <row r="864" spans="3:10" ht="15" hidden="1" customHeight="1" x14ac:dyDescent="0.35">
      <c r="C864" s="671" t="s">
        <v>1907</v>
      </c>
      <c r="D864" s="238">
        <v>44242</v>
      </c>
      <c r="E864" s="121" t="s">
        <v>1885</v>
      </c>
      <c r="F864" s="237">
        <v>44245</v>
      </c>
      <c r="G864" s="237">
        <f>Table1[[#This Row],[Start Date]]</f>
        <v>44245</v>
      </c>
      <c r="H864" s="251"/>
      <c r="I864" s="618"/>
      <c r="J864" s="179" t="str">
        <f>Table1[[#This Row],[Routine Activities (PM/ PMCAL, CM, Genba, Isotanker, Material Readiness, Sampling)]]</f>
        <v>Genba - Hydrogen vent line genba walk</v>
      </c>
    </row>
    <row r="865" spans="3:10" ht="15" hidden="1" customHeight="1" x14ac:dyDescent="0.35">
      <c r="C865" s="671" t="s">
        <v>1908</v>
      </c>
      <c r="D865" s="238">
        <v>44242</v>
      </c>
      <c r="E865" s="121" t="s">
        <v>891</v>
      </c>
      <c r="F865" s="237">
        <v>44244</v>
      </c>
      <c r="G865" s="237">
        <f>Table1[[#This Row],[Start Date]]</f>
        <v>44244</v>
      </c>
      <c r="H865" s="251"/>
      <c r="I865" s="618"/>
      <c r="J865" s="179" t="str">
        <f>Table1[[#This Row],[Routine Activities (PM/ PMCAL, CM, Genba, Isotanker, Material Readiness, Sampling)]]</f>
        <v>QoP - Catalyst Prep</v>
      </c>
    </row>
    <row r="866" spans="3:10" ht="15" hidden="1" customHeight="1" x14ac:dyDescent="0.35">
      <c r="C866" s="671" t="s">
        <v>1750</v>
      </c>
      <c r="D866" s="238">
        <v>44242</v>
      </c>
      <c r="E866" s="121" t="s">
        <v>377</v>
      </c>
      <c r="F866" s="237">
        <v>44249</v>
      </c>
      <c r="G866" s="237">
        <f>Table1[[#This Row],[Start Date]]</f>
        <v>44249</v>
      </c>
      <c r="H866" s="251"/>
      <c r="I866" s="618"/>
      <c r="J866" s="179" t="str">
        <f>Table1[[#This Row],[Routine Activities (PM/ PMCAL, CM, Genba, Isotanker, Material Readiness, Sampling)]]</f>
        <v xml:space="preserve">N2 loading </v>
      </c>
    </row>
    <row r="867" spans="3:10" ht="15" hidden="1" customHeight="1" x14ac:dyDescent="0.35">
      <c r="C867" s="671" t="s">
        <v>1909</v>
      </c>
      <c r="D867" s="238">
        <v>44242</v>
      </c>
      <c r="E867" s="121" t="s">
        <v>1910</v>
      </c>
      <c r="F867" s="237">
        <v>44245</v>
      </c>
      <c r="G867" s="237">
        <f>Table1[[#This Row],[Start Date]]</f>
        <v>44245</v>
      </c>
      <c r="H867" s="251"/>
      <c r="I867" s="618"/>
      <c r="J867" s="179" t="str">
        <f>Table1[[#This Row],[Routine Activities (PM/ PMCAL, CM, Genba, Isotanker, Material Readiness, Sampling)]]</f>
        <v>Monthly inspection walk - Disp area</v>
      </c>
    </row>
    <row r="868" spans="3:10" ht="15" hidden="1" customHeight="1" x14ac:dyDescent="0.35">
      <c r="C868" s="671" t="s">
        <v>1902</v>
      </c>
      <c r="D868" s="238">
        <v>44249</v>
      </c>
      <c r="E868" s="121" t="s">
        <v>979</v>
      </c>
      <c r="F868" s="237">
        <v>44252</v>
      </c>
      <c r="G868" s="237">
        <f>Table1[[#This Row],[Start Date]]</f>
        <v>44252</v>
      </c>
      <c r="H868" s="251"/>
      <c r="I868" s="618"/>
      <c r="J868" s="179" t="str">
        <f>Table1[[#This Row],[Routine Activities (PM/ PMCAL, CM, Genba, Isotanker, Material Readiness, Sampling)]]</f>
        <v>FD PM/PMCAL</v>
      </c>
    </row>
    <row r="869" spans="3:10" ht="15" hidden="1" customHeight="1" x14ac:dyDescent="0.35">
      <c r="C869" s="671" t="s">
        <v>1902</v>
      </c>
      <c r="D869" s="238">
        <v>44249</v>
      </c>
      <c r="E869" s="121" t="s">
        <v>979</v>
      </c>
      <c r="F869" s="237">
        <v>44253</v>
      </c>
      <c r="G869" s="237">
        <f>Table1[[#This Row],[Start Date]]</f>
        <v>44253</v>
      </c>
      <c r="H869" s="251"/>
      <c r="I869" s="618"/>
      <c r="J869" s="179" t="str">
        <f>Table1[[#This Row],[Routine Activities (PM/ PMCAL, CM, Genba, Isotanker, Material Readiness, Sampling)]]</f>
        <v>FD PM/PMCAL</v>
      </c>
    </row>
    <row r="870" spans="3:10" ht="15" hidden="1" customHeight="1" x14ac:dyDescent="0.35">
      <c r="C870" s="671" t="s">
        <v>1911</v>
      </c>
      <c r="D870" s="238">
        <v>44249</v>
      </c>
      <c r="E870" s="121" t="s">
        <v>979</v>
      </c>
      <c r="F870" s="237">
        <v>44251</v>
      </c>
      <c r="G870" s="237">
        <f>Table1[[#This Row],[Start Date]]</f>
        <v>44251</v>
      </c>
      <c r="H870" s="251"/>
      <c r="I870" s="618"/>
      <c r="J870" s="179" t="str">
        <f>Table1[[#This Row],[Routine Activities (PM/ PMCAL, CM, Genba, Isotanker, Material Readiness, Sampling)]]</f>
        <v>Rx 1 &amp; 2 cond. pump PM</v>
      </c>
    </row>
    <row r="871" spans="3:10" ht="15" hidden="1" customHeight="1" x14ac:dyDescent="0.35">
      <c r="C871" s="671" t="s">
        <v>1099</v>
      </c>
      <c r="D871" s="238">
        <v>44249</v>
      </c>
      <c r="E871" s="121" t="s">
        <v>433</v>
      </c>
      <c r="F871" s="237">
        <v>44251</v>
      </c>
      <c r="G871" s="237">
        <f>Table1[[#This Row],[Start Date]]</f>
        <v>44251</v>
      </c>
      <c r="H871" s="251"/>
      <c r="I871" s="618"/>
      <c r="J871" s="179" t="str">
        <f>Table1[[#This Row],[Routine Activities (PM/ PMCAL, CM, Genba, Isotanker, Material Readiness, Sampling)]]</f>
        <v xml:space="preserve">Waste offloading - Org </v>
      </c>
    </row>
    <row r="872" spans="3:10" ht="15" hidden="1" customHeight="1" x14ac:dyDescent="0.35">
      <c r="C872" s="671" t="s">
        <v>1409</v>
      </c>
      <c r="D872" s="238">
        <v>44249</v>
      </c>
      <c r="E872" s="121" t="s">
        <v>433</v>
      </c>
      <c r="F872" s="237"/>
      <c r="G872" s="237">
        <f>Table1[[#This Row],[Start Date]]</f>
        <v>0</v>
      </c>
      <c r="H872" s="251" t="s">
        <v>462</v>
      </c>
      <c r="I872" s="618"/>
      <c r="J872" s="179" t="str">
        <f>Table1[[#This Row],[Routine Activities (PM/ PMCAL, CM, Genba, Isotanker, Material Readiness, Sampling)]]</f>
        <v>Waste offloading - Aq (not req)</v>
      </c>
    </row>
    <row r="873" spans="3:10" ht="15" hidden="1" customHeight="1" x14ac:dyDescent="0.35">
      <c r="C873" s="671" t="s">
        <v>1912</v>
      </c>
      <c r="D873" s="238">
        <v>44249</v>
      </c>
      <c r="E873" s="121" t="s">
        <v>1885</v>
      </c>
      <c r="F873" s="237"/>
      <c r="G873" s="237">
        <f>Table1[[#This Row],[Start Date]]</f>
        <v>0</v>
      </c>
      <c r="H873" s="251"/>
      <c r="I873" s="618"/>
      <c r="J873" s="179" t="str">
        <f>Table1[[#This Row],[Routine Activities (PM/ PMCAL, CM, Genba, Isotanker, Material Readiness, Sampling)]]</f>
        <v xml:space="preserve">Genba - pressure tests for A3 </v>
      </c>
    </row>
    <row r="874" spans="3:10" ht="15" hidden="1" customHeight="1" x14ac:dyDescent="0.35">
      <c r="C874" s="671" t="s">
        <v>1913</v>
      </c>
      <c r="D874" s="238">
        <v>44249</v>
      </c>
      <c r="E874" s="121" t="s">
        <v>1761</v>
      </c>
      <c r="F874" s="237">
        <v>44251</v>
      </c>
      <c r="G874" s="237">
        <f>Table1[[#This Row],[Start Date]]</f>
        <v>44251</v>
      </c>
      <c r="H874" s="251"/>
      <c r="I874" s="618"/>
      <c r="J874" s="179" t="str">
        <f>Table1[[#This Row],[Routine Activities (PM/ PMCAL, CM, Genba, Isotanker, Material Readiness, Sampling)]]</f>
        <v>QoP - combined w inspection readiness</v>
      </c>
    </row>
    <row r="875" spans="3:10" ht="15" hidden="1" customHeight="1" x14ac:dyDescent="0.35">
      <c r="C875" s="671" t="s">
        <v>1828</v>
      </c>
      <c r="D875" s="238">
        <v>44249</v>
      </c>
      <c r="E875" s="121" t="s">
        <v>377</v>
      </c>
      <c r="F875" s="237">
        <v>44252</v>
      </c>
      <c r="G875" s="237">
        <f>Table1[[#This Row],[Start Date]]</f>
        <v>44252</v>
      </c>
      <c r="H875" s="251"/>
      <c r="I875" s="618"/>
      <c r="J875" s="179" t="str">
        <f>Table1[[#This Row],[Routine Activities (PM/ PMCAL, CM, Genba, Isotanker, Material Readiness, Sampling)]]</f>
        <v xml:space="preserve">MeOH loading </v>
      </c>
    </row>
    <row r="876" spans="3:10" ht="15" hidden="1" customHeight="1" x14ac:dyDescent="0.35">
      <c r="C876" s="671" t="s">
        <v>1914</v>
      </c>
      <c r="D876" s="238">
        <v>44249</v>
      </c>
      <c r="E876" s="121" t="s">
        <v>433</v>
      </c>
      <c r="F876" s="237">
        <v>44253</v>
      </c>
      <c r="G876" s="237">
        <f>Table1[[#This Row],[Start Date]]</f>
        <v>44253</v>
      </c>
      <c r="H876" s="251"/>
      <c r="I876" s="618"/>
      <c r="J876" s="179" t="str">
        <f>Table1[[#This Row],[Routine Activities (PM/ PMCAL, CM, Genba, Isotanker, Material Readiness, Sampling)]]</f>
        <v xml:space="preserve">Collect filled DCM waste drums </v>
      </c>
    </row>
    <row r="877" spans="3:10" ht="15" hidden="1" customHeight="1" x14ac:dyDescent="0.35">
      <c r="C877" s="671" t="s">
        <v>1915</v>
      </c>
      <c r="D877" s="238">
        <v>44249</v>
      </c>
      <c r="E877" s="121" t="s">
        <v>1910</v>
      </c>
      <c r="F877" s="237">
        <v>44250</v>
      </c>
      <c r="G877" s="237">
        <f>Table1[[#This Row],[Start Date]]</f>
        <v>44250</v>
      </c>
      <c r="H877" s="251"/>
      <c r="I877" s="618"/>
      <c r="J877" s="179" t="str">
        <f>Table1[[#This Row],[Routine Activities (PM/ PMCAL, CM, Genba, Isotanker, Material Readiness, Sampling)]]</f>
        <v>Audit prep walkdown: M101 &amp; M103</v>
      </c>
    </row>
    <row r="878" spans="3:10" ht="15" hidden="1" customHeight="1" x14ac:dyDescent="0.35">
      <c r="C878" s="671" t="s">
        <v>1099</v>
      </c>
      <c r="D878" s="238">
        <v>44256</v>
      </c>
      <c r="E878" s="121" t="s">
        <v>433</v>
      </c>
      <c r="F878" s="237">
        <v>44256</v>
      </c>
      <c r="G878" s="237">
        <f>Table1[[#This Row],[Start Date]]</f>
        <v>44256</v>
      </c>
      <c r="H878" s="251"/>
      <c r="I878" s="618"/>
      <c r="J878" s="179" t="str">
        <f>Table1[[#This Row],[Routine Activities (PM/ PMCAL, CM, Genba, Isotanker, Material Readiness, Sampling)]]</f>
        <v xml:space="preserve">Waste offloading - Org </v>
      </c>
    </row>
    <row r="879" spans="3:10" ht="15" hidden="1" customHeight="1" x14ac:dyDescent="0.35">
      <c r="C879" s="671" t="s">
        <v>1750</v>
      </c>
      <c r="D879" s="238">
        <v>44256</v>
      </c>
      <c r="E879" s="121" t="s">
        <v>377</v>
      </c>
      <c r="F879" s="237"/>
      <c r="G879" s="237">
        <f>Table1[[#This Row],[Start Date]]</f>
        <v>0</v>
      </c>
      <c r="H879" s="251"/>
      <c r="I879" s="618"/>
      <c r="J879" s="179" t="str">
        <f>Table1[[#This Row],[Routine Activities (PM/ PMCAL, CM, Genba, Isotanker, Material Readiness, Sampling)]]</f>
        <v xml:space="preserve">N2 loading </v>
      </c>
    </row>
    <row r="880" spans="3:10" ht="15" hidden="1" customHeight="1" x14ac:dyDescent="0.35">
      <c r="C880" s="671" t="s">
        <v>1916</v>
      </c>
      <c r="D880" s="238"/>
      <c r="E880" s="121" t="s">
        <v>433</v>
      </c>
      <c r="F880" s="237">
        <v>44246</v>
      </c>
      <c r="G880" s="237">
        <f>Table1[[#This Row],[Start Date]]</f>
        <v>44246</v>
      </c>
      <c r="H880" s="251" t="s">
        <v>340</v>
      </c>
      <c r="I880" s="618"/>
      <c r="J880" s="179" t="str">
        <f>Table1[[#This Row],[Routine Activities (PM/ PMCAL, CM, Genba, Isotanker, Material Readiness, Sampling)]]</f>
        <v xml:space="preserve">Collect of spent catalyst waste drums </v>
      </c>
    </row>
    <row r="881" spans="3:10" ht="15" hidden="1" customHeight="1" x14ac:dyDescent="0.35">
      <c r="C881" s="671" t="s">
        <v>1917</v>
      </c>
      <c r="D881" s="238">
        <v>44256</v>
      </c>
      <c r="E881" s="121" t="s">
        <v>979</v>
      </c>
      <c r="F881" s="237">
        <v>44259</v>
      </c>
      <c r="G881" s="237">
        <f>Table1[[#This Row],[Start Date]]</f>
        <v>44259</v>
      </c>
      <c r="H881" s="251"/>
      <c r="I881" s="618"/>
      <c r="J881" s="179" t="str">
        <f>Table1[[#This Row],[Routine Activities (PM/ PMCAL, CM, Genba, Isotanker, Material Readiness, Sampling)]]</f>
        <v>Rx 2 TCU PM/ PMCAL</v>
      </c>
    </row>
    <row r="882" spans="3:10" ht="15" hidden="1" customHeight="1" x14ac:dyDescent="0.35">
      <c r="C882" s="671" t="s">
        <v>1918</v>
      </c>
      <c r="D882" s="238">
        <v>44256</v>
      </c>
      <c r="E882" s="121" t="s">
        <v>979</v>
      </c>
      <c r="F882" s="237">
        <v>44263</v>
      </c>
      <c r="G882" s="237">
        <f>Table1[[#This Row],[Start Date]]</f>
        <v>44263</v>
      </c>
      <c r="H882" s="251"/>
      <c r="I882" s="618"/>
      <c r="J882" s="179" t="str">
        <f>Table1[[#This Row],[Routine Activities (PM/ PMCAL, CM, Genba, Isotanker, Material Readiness, Sampling)]]</f>
        <v>Removal of chem can. Dome</v>
      </c>
    </row>
    <row r="883" spans="3:10" ht="15" hidden="1" customHeight="1" x14ac:dyDescent="0.35">
      <c r="C883" s="671" t="s">
        <v>1919</v>
      </c>
      <c r="D883" s="238">
        <v>44256</v>
      </c>
      <c r="E883" s="121" t="s">
        <v>979</v>
      </c>
      <c r="F883" s="237">
        <v>44260</v>
      </c>
      <c r="G883" s="237">
        <f>Table1[[#This Row],[Start Date]]</f>
        <v>44260</v>
      </c>
      <c r="H883" s="251"/>
      <c r="I883" s="618"/>
      <c r="J883" s="179" t="str">
        <f>Table1[[#This Row],[Routine Activities (PM/ PMCAL, CM, Genba, Isotanker, Material Readiness, Sampling)]]</f>
        <v>Filter dryer glovebox PMCAL</v>
      </c>
    </row>
    <row r="884" spans="3:10" ht="15" hidden="1" customHeight="1" x14ac:dyDescent="0.35">
      <c r="C884" s="671" t="s">
        <v>1558</v>
      </c>
      <c r="D884" s="238">
        <v>44256</v>
      </c>
      <c r="E884" s="121" t="s">
        <v>1905</v>
      </c>
      <c r="F884" s="237">
        <v>44261</v>
      </c>
      <c r="G884" s="237">
        <f>Table1[[#This Row],[Start Date]]</f>
        <v>44261</v>
      </c>
      <c r="H884" s="251"/>
      <c r="I884" s="618"/>
      <c r="J884" s="179" t="str">
        <f>Table1[[#This Row],[Routine Activities (PM/ PMCAL, CM, Genba, Isotanker, Material Readiness, Sampling)]]</f>
        <v>Scrubber pH meter PMCAL</v>
      </c>
    </row>
    <row r="885" spans="3:10" ht="15" hidden="1" customHeight="1" x14ac:dyDescent="0.35">
      <c r="C885" s="671" t="s">
        <v>1399</v>
      </c>
      <c r="D885" s="238">
        <v>44256</v>
      </c>
      <c r="E885" s="121" t="s">
        <v>1920</v>
      </c>
      <c r="F885" s="237">
        <v>44261</v>
      </c>
      <c r="G885" s="237">
        <f>Table1[[#This Row],[Start Date]]</f>
        <v>44261</v>
      </c>
      <c r="H885" s="251"/>
      <c r="I885" s="618"/>
      <c r="J885" s="179" t="str">
        <f>Table1[[#This Row],[Routine Activities (PM/ PMCAL, CM, Genba, Isotanker, Material Readiness, Sampling)]]</f>
        <v>PD pipette PMCAL</v>
      </c>
    </row>
    <row r="886" spans="3:10" ht="15" hidden="1" customHeight="1" x14ac:dyDescent="0.35">
      <c r="C886" s="671" t="s">
        <v>1921</v>
      </c>
      <c r="D886" s="238">
        <v>44256</v>
      </c>
      <c r="E886" s="121" t="s">
        <v>1922</v>
      </c>
      <c r="F886" s="237">
        <v>44261</v>
      </c>
      <c r="G886" s="237">
        <f>Table1[[#This Row],[Start Date]]</f>
        <v>44261</v>
      </c>
      <c r="H886" s="251"/>
      <c r="I886" s="618"/>
      <c r="J886" s="179" t="str">
        <f>Table1[[#This Row],[Routine Activities (PM/ PMCAL, CM, Genba, Isotanker, Material Readiness, Sampling)]]</f>
        <v>WH weights PMCAL</v>
      </c>
    </row>
    <row r="887" spans="3:10" ht="15" hidden="1" customHeight="1" x14ac:dyDescent="0.35">
      <c r="C887" s="671" t="s">
        <v>1923</v>
      </c>
      <c r="D887" s="238">
        <v>44256</v>
      </c>
      <c r="E887" s="121" t="s">
        <v>1024</v>
      </c>
      <c r="F887" s="237">
        <v>44262</v>
      </c>
      <c r="G887" s="237">
        <f>Table1[[#This Row],[Start Date]]</f>
        <v>44262</v>
      </c>
      <c r="H887" s="251"/>
      <c r="I887" s="618"/>
      <c r="J887" s="179" t="str">
        <f>Table1[[#This Row],[Routine Activities (PM/ PMCAL, CM, Genba, Isotanker, Material Readiness, Sampling)]]</f>
        <v>Standard weight PMCAL</v>
      </c>
    </row>
    <row r="888" spans="3:10" ht="15" hidden="1" customHeight="1" x14ac:dyDescent="0.35">
      <c r="C888" s="671" t="s">
        <v>1924</v>
      </c>
      <c r="D888" s="238">
        <v>44256</v>
      </c>
      <c r="E888" s="121" t="s">
        <v>737</v>
      </c>
      <c r="F888" s="237"/>
      <c r="G888" s="237">
        <f>Table1[[#This Row],[Start Date]]</f>
        <v>0</v>
      </c>
      <c r="H888" s="251" t="s">
        <v>340</v>
      </c>
      <c r="I888" s="618"/>
      <c r="J888" s="179" t="str">
        <f>Table1[[#This Row],[Routine Activities (PM/ PMCAL, CM, Genba, Isotanker, Material Readiness, Sampling)]]</f>
        <v>QC Testing Readiness - ref stnd B (pending CoA)</v>
      </c>
    </row>
    <row r="889" spans="3:10" ht="15" hidden="1" customHeight="1" x14ac:dyDescent="0.35">
      <c r="C889" s="671" t="s">
        <v>1383</v>
      </c>
      <c r="D889" s="238">
        <v>44256</v>
      </c>
      <c r="E889" s="121" t="s">
        <v>433</v>
      </c>
      <c r="F889" s="237"/>
      <c r="G889" s="237">
        <f>Table1[[#This Row],[Start Date]]</f>
        <v>0</v>
      </c>
      <c r="H889" s="251" t="s">
        <v>462</v>
      </c>
      <c r="I889" s="618"/>
      <c r="J889" s="179" t="str">
        <f>Table1[[#This Row],[Routine Activities (PM/ PMCAL, CM, Genba, Isotanker, Material Readiness, Sampling)]]</f>
        <v xml:space="preserve">Waste offloading - Aq </v>
      </c>
    </row>
    <row r="890" spans="3:10" ht="15" hidden="1" customHeight="1" x14ac:dyDescent="0.35">
      <c r="C890" s="671" t="s">
        <v>1925</v>
      </c>
      <c r="D890" s="238">
        <v>44256</v>
      </c>
      <c r="E890" s="121" t="s">
        <v>377</v>
      </c>
      <c r="F890" s="237">
        <v>44257</v>
      </c>
      <c r="G890" s="237">
        <f>Table1[[#This Row],[Start Date]]</f>
        <v>44257</v>
      </c>
      <c r="H890" s="251"/>
      <c r="I890" s="618"/>
      <c r="J890" s="179" t="str">
        <f>Table1[[#This Row],[Routine Activities (PM/ PMCAL, CM, Genba, Isotanker, Material Readiness, Sampling)]]</f>
        <v xml:space="preserve">Ethyl acetate loading </v>
      </c>
    </row>
    <row r="891" spans="3:10" ht="15" hidden="1" customHeight="1" x14ac:dyDescent="0.35">
      <c r="C891" s="671" t="s">
        <v>1926</v>
      </c>
      <c r="D891" s="238">
        <v>44256</v>
      </c>
      <c r="E891" s="121" t="s">
        <v>377</v>
      </c>
      <c r="F891" s="237">
        <v>44260</v>
      </c>
      <c r="G891" s="237">
        <f>Table1[[#This Row],[Start Date]]</f>
        <v>44260</v>
      </c>
      <c r="H891" s="251"/>
      <c r="I891" s="618"/>
      <c r="J891" s="179" t="str">
        <f>Table1[[#This Row],[Routine Activities (PM/ PMCAL, CM, Genba, Isotanker, Material Readiness, Sampling)]]</f>
        <v xml:space="preserve">Methanol loading </v>
      </c>
    </row>
    <row r="892" spans="3:10" ht="15" hidden="1" customHeight="1" x14ac:dyDescent="0.35">
      <c r="C892" s="671" t="s">
        <v>775</v>
      </c>
      <c r="D892" s="238">
        <v>44256</v>
      </c>
      <c r="E892" s="121" t="s">
        <v>377</v>
      </c>
      <c r="F892" s="237">
        <v>44259</v>
      </c>
      <c r="G892" s="237">
        <f>Table1[[#This Row],[Start Date]]</f>
        <v>44259</v>
      </c>
      <c r="H892" s="251"/>
      <c r="I892" s="618"/>
      <c r="J892" s="179" t="str">
        <f>Table1[[#This Row],[Routine Activities (PM/ PMCAL, CM, Genba, Isotanker, Material Readiness, Sampling)]]</f>
        <v>N2 loading</v>
      </c>
    </row>
    <row r="893" spans="3:10" ht="15" hidden="1" customHeight="1" x14ac:dyDescent="0.35">
      <c r="C893" s="671" t="s">
        <v>777</v>
      </c>
      <c r="D893" s="238">
        <v>44256</v>
      </c>
      <c r="E893" s="121" t="s">
        <v>433</v>
      </c>
      <c r="F893" s="237">
        <v>44258</v>
      </c>
      <c r="G893" s="237">
        <f>Table1[[#This Row],[Start Date]]</f>
        <v>44258</v>
      </c>
      <c r="H893" s="251"/>
      <c r="I893" s="618"/>
      <c r="J893" s="179" t="str">
        <f>Table1[[#This Row],[Routine Activities (PM/ PMCAL, CM, Genba, Isotanker, Material Readiness, Sampling)]]</f>
        <v>Waste offloading - Org</v>
      </c>
    </row>
    <row r="894" spans="3:10" ht="15" hidden="1" customHeight="1" x14ac:dyDescent="0.35">
      <c r="C894" s="671" t="s">
        <v>1927</v>
      </c>
      <c r="D894" s="238">
        <v>44256</v>
      </c>
      <c r="E894" s="121" t="s">
        <v>1885</v>
      </c>
      <c r="F894" s="237"/>
      <c r="G894" s="237">
        <f>Table1[[#This Row],[Start Date]]</f>
        <v>0</v>
      </c>
      <c r="H894" s="251"/>
      <c r="I894" s="618"/>
      <c r="J894" s="179" t="str">
        <f>Table1[[#This Row],[Routine Activities (PM/ PMCAL, CM, Genba, Isotanker, Material Readiness, Sampling)]]</f>
        <v>Genba - H2 vent &amp; rooftop</v>
      </c>
    </row>
    <row r="895" spans="3:10" ht="15" hidden="1" customHeight="1" x14ac:dyDescent="0.35">
      <c r="C895" s="671" t="s">
        <v>1928</v>
      </c>
      <c r="D895" s="238">
        <v>44256</v>
      </c>
      <c r="E895" s="121" t="s">
        <v>891</v>
      </c>
      <c r="F895" s="237">
        <v>44256</v>
      </c>
      <c r="G895" s="237">
        <f>Table1[[#This Row],[Start Date]]</f>
        <v>44256</v>
      </c>
      <c r="H895" s="251"/>
      <c r="I895" s="618"/>
      <c r="J895" s="179" t="str">
        <f>Table1[[#This Row],[Routine Activities (PM/ PMCAL, CM, Genba, Isotanker, Material Readiness, Sampling)]]</f>
        <v xml:space="preserve">QoP - A3 cleaning </v>
      </c>
    </row>
    <row r="896" spans="3:10" ht="15" hidden="1" customHeight="1" x14ac:dyDescent="0.35">
      <c r="C896" s="671" t="s">
        <v>1929</v>
      </c>
      <c r="D896" s="238">
        <v>44256</v>
      </c>
      <c r="E896" s="121" t="s">
        <v>1910</v>
      </c>
      <c r="F896" s="237">
        <v>44257</v>
      </c>
      <c r="G896" s="237">
        <f>Table1[[#This Row],[Start Date]]</f>
        <v>44257</v>
      </c>
      <c r="H896" s="251"/>
      <c r="I896" s="618"/>
      <c r="J896" s="179" t="str">
        <f>Table1[[#This Row],[Routine Activities (PM/ PMCAL, CM, Genba, Isotanker, Material Readiness, Sampling)]]</f>
        <v>Weekly inspection readiness genba walk - M103, M105, U103</v>
      </c>
    </row>
    <row r="897" spans="3:10" ht="15" hidden="1" customHeight="1" x14ac:dyDescent="0.35">
      <c r="C897" s="671" t="s">
        <v>1930</v>
      </c>
      <c r="D897" s="238">
        <v>44256</v>
      </c>
      <c r="E897" s="121" t="s">
        <v>418</v>
      </c>
      <c r="F897" s="237">
        <v>44256</v>
      </c>
      <c r="G897" s="237">
        <f>Table1[[#This Row],[Start Date]]</f>
        <v>44256</v>
      </c>
      <c r="H897" s="251"/>
      <c r="I897" s="618"/>
      <c r="J897" s="179" t="str">
        <f>Table1[[#This Row],[Routine Activities (PM/ PMCAL, CM, Genba, Isotanker, Material Readiness, Sampling)]]</f>
        <v xml:space="preserve">Step B Material Readiness </v>
      </c>
    </row>
    <row r="898" spans="3:10" ht="15" hidden="1" customHeight="1" x14ac:dyDescent="0.35">
      <c r="C898" s="671" t="s">
        <v>1931</v>
      </c>
      <c r="D898" s="238">
        <v>44263</v>
      </c>
      <c r="E898" s="121" t="s">
        <v>979</v>
      </c>
      <c r="F898" s="237">
        <v>44263</v>
      </c>
      <c r="G898" s="237">
        <f>Table1[[#This Row],[Start Date]]</f>
        <v>44263</v>
      </c>
      <c r="H898" s="251"/>
      <c r="I898" s="618"/>
      <c r="J898" s="179" t="str">
        <f>Table1[[#This Row],[Routine Activities (PM/ PMCAL, CM, Genba, Isotanker, Material Readiness, Sampling)]]</f>
        <v>FD TCU PM</v>
      </c>
    </row>
    <row r="899" spans="3:10" ht="15" hidden="1" customHeight="1" x14ac:dyDescent="0.35">
      <c r="C899" s="671" t="s">
        <v>1932</v>
      </c>
      <c r="D899" s="238">
        <v>44263</v>
      </c>
      <c r="E899" s="121" t="s">
        <v>979</v>
      </c>
      <c r="F899" s="237">
        <v>44263</v>
      </c>
      <c r="G899" s="237">
        <f>Table1[[#This Row],[Start Date]]</f>
        <v>44263</v>
      </c>
      <c r="H899" s="251"/>
      <c r="I899" s="618"/>
      <c r="J899" s="179" t="str">
        <f>Table1[[#This Row],[Routine Activities (PM/ PMCAL, CM, Genba, Isotanker, Material Readiness, Sampling)]]</f>
        <v>FD glovebox exhaust fan PM</v>
      </c>
    </row>
    <row r="900" spans="3:10" ht="15" hidden="1" customHeight="1" x14ac:dyDescent="0.35">
      <c r="C900" s="671" t="s">
        <v>1671</v>
      </c>
      <c r="D900" s="238">
        <v>44263</v>
      </c>
      <c r="E900" s="121" t="s">
        <v>979</v>
      </c>
      <c r="F900" s="237">
        <v>44263</v>
      </c>
      <c r="G900" s="237">
        <f>Table1[[#This Row],[Start Date]]</f>
        <v>44263</v>
      </c>
      <c r="H900" s="251"/>
      <c r="I900" s="618"/>
      <c r="J900" s="179" t="str">
        <f>Table1[[#This Row],[Routine Activities (PM/ PMCAL, CM, Genba, Isotanker, Material Readiness, Sampling)]]</f>
        <v>Chem canister dome removal</v>
      </c>
    </row>
    <row r="901" spans="3:10" ht="15" hidden="1" customHeight="1" x14ac:dyDescent="0.35">
      <c r="C901" s="671" t="s">
        <v>1933</v>
      </c>
      <c r="D901" s="238">
        <v>44263</v>
      </c>
      <c r="E901" s="121" t="s">
        <v>979</v>
      </c>
      <c r="F901" s="237">
        <v>44265</v>
      </c>
      <c r="G901" s="237">
        <f>Table1[[#This Row],[Start Date]]</f>
        <v>44265</v>
      </c>
      <c r="H901" s="251"/>
      <c r="I901" s="618"/>
      <c r="J901" s="179" t="str">
        <f>Table1[[#This Row],[Routine Activities (PM/ PMCAL, CM, Genba, Isotanker, Material Readiness, Sampling)]]</f>
        <v>Disp. Isolator PMCAL</v>
      </c>
    </row>
    <row r="902" spans="3:10" ht="15" hidden="1" customHeight="1" x14ac:dyDescent="0.35">
      <c r="C902" s="671" t="s">
        <v>1722</v>
      </c>
      <c r="D902" s="238">
        <v>44263</v>
      </c>
      <c r="E902" s="121" t="s">
        <v>1934</v>
      </c>
      <c r="F902" s="237">
        <v>44265</v>
      </c>
      <c r="G902" s="237">
        <f>Table1[[#This Row],[Start Date]]</f>
        <v>44265</v>
      </c>
      <c r="H902" s="251"/>
      <c r="I902" s="618"/>
      <c r="J902" s="179" t="str">
        <f>Table1[[#This Row],[Routine Activities (PM/ PMCAL, CM, Genba, Isotanker, Material Readiness, Sampling)]]</f>
        <v>Chiller PM</v>
      </c>
    </row>
    <row r="903" spans="3:10" ht="15" hidden="1" customHeight="1" x14ac:dyDescent="0.35">
      <c r="C903" s="671" t="s">
        <v>1935</v>
      </c>
      <c r="D903" s="238">
        <v>44263</v>
      </c>
      <c r="E903" s="121" t="s">
        <v>979</v>
      </c>
      <c r="F903" s="237">
        <v>44267</v>
      </c>
      <c r="G903" s="237">
        <f>Table1[[#This Row],[Start Date]]</f>
        <v>44267</v>
      </c>
      <c r="H903" s="251"/>
      <c r="I903" s="618"/>
      <c r="J903" s="179" t="str">
        <f>Table1[[#This Row],[Routine Activities (PM/ PMCAL, CM, Genba, Isotanker, Material Readiness, Sampling)]]</f>
        <v>R1 TCU PM (electrical)</v>
      </c>
    </row>
    <row r="904" spans="3:10" ht="15" hidden="1" customHeight="1" x14ac:dyDescent="0.35">
      <c r="C904" s="671" t="s">
        <v>1936</v>
      </c>
      <c r="D904" s="238">
        <v>44263</v>
      </c>
      <c r="E904" s="121" t="s">
        <v>1937</v>
      </c>
      <c r="F904" s="237">
        <v>44267</v>
      </c>
      <c r="G904" s="237">
        <f>Table1[[#This Row],[Start Date]]</f>
        <v>44267</v>
      </c>
      <c r="H904" s="251"/>
      <c r="I904" s="618"/>
      <c r="J904" s="179" t="str">
        <f>Table1[[#This Row],[Routine Activities (PM/ PMCAL, CM, Genba, Isotanker, Material Readiness, Sampling)]]</f>
        <v>PD reactor PMCAL</v>
      </c>
    </row>
    <row r="905" spans="3:10" ht="15" hidden="1" customHeight="1" x14ac:dyDescent="0.35">
      <c r="C905" s="671" t="s">
        <v>1938</v>
      </c>
      <c r="D905" s="238">
        <v>44263</v>
      </c>
      <c r="E905" s="121" t="s">
        <v>1905</v>
      </c>
      <c r="F905" s="237">
        <v>44267</v>
      </c>
      <c r="G905" s="237">
        <f>Table1[[#This Row],[Start Date]]</f>
        <v>44267</v>
      </c>
      <c r="H905" s="251"/>
      <c r="I905" s="618"/>
      <c r="J905" s="179" t="str">
        <f>Table1[[#This Row],[Routine Activities (PM/ PMCAL, CM, Genba, Isotanker, Material Readiness, Sampling)]]</f>
        <v>Motorized valve function test</v>
      </c>
    </row>
    <row r="906" spans="3:10" ht="15" hidden="1" customHeight="1" x14ac:dyDescent="0.35">
      <c r="C906" s="671" t="s">
        <v>1939</v>
      </c>
      <c r="D906" s="238">
        <v>44263</v>
      </c>
      <c r="E906" s="121" t="s">
        <v>979</v>
      </c>
      <c r="F906" s="237">
        <v>44267</v>
      </c>
      <c r="G906" s="237">
        <f>Table1[[#This Row],[Start Date]]</f>
        <v>44267</v>
      </c>
      <c r="H906" s="251"/>
      <c r="I906" s="618"/>
      <c r="J906" s="179" t="str">
        <f>Table1[[#This Row],[Routine Activities (PM/ PMCAL, CM, Genba, Isotanker, Material Readiness, Sampling)]]</f>
        <v>R1 TCU PM (mechanical)</v>
      </c>
    </row>
    <row r="907" spans="3:10" ht="15" hidden="1" customHeight="1" x14ac:dyDescent="0.35">
      <c r="C907" s="671" t="s">
        <v>1047</v>
      </c>
      <c r="D907" s="238">
        <v>44263</v>
      </c>
      <c r="E907" s="121" t="s">
        <v>1934</v>
      </c>
      <c r="F907" s="237">
        <v>44267</v>
      </c>
      <c r="G907" s="237">
        <f>Table1[[#This Row],[Start Date]]</f>
        <v>44267</v>
      </c>
      <c r="H907" s="251"/>
      <c r="I907" s="618"/>
      <c r="J907" s="179" t="str">
        <f>Table1[[#This Row],[Routine Activities (PM/ PMCAL, CM, Genba, Isotanker, Material Readiness, Sampling)]]</f>
        <v>Cold room PM</v>
      </c>
    </row>
    <row r="908" spans="3:10" ht="15" hidden="1" customHeight="1" x14ac:dyDescent="0.35">
      <c r="C908" s="671" t="s">
        <v>1409</v>
      </c>
      <c r="D908" s="238">
        <v>44263</v>
      </c>
      <c r="E908" s="121" t="s">
        <v>433</v>
      </c>
      <c r="F908" s="237"/>
      <c r="G908" s="237">
        <f>Table1[[#This Row],[Start Date]]</f>
        <v>0</v>
      </c>
      <c r="H908" s="251"/>
      <c r="I908" s="618"/>
      <c r="J908" s="179" t="str">
        <f>Table1[[#This Row],[Routine Activities (PM/ PMCAL, CM, Genba, Isotanker, Material Readiness, Sampling)]]</f>
        <v>Waste offloading - Aq (not req)</v>
      </c>
    </row>
    <row r="909" spans="3:10" ht="15" hidden="1" customHeight="1" x14ac:dyDescent="0.35">
      <c r="C909" s="671" t="s">
        <v>1099</v>
      </c>
      <c r="D909" s="238">
        <v>44263</v>
      </c>
      <c r="E909" s="121" t="s">
        <v>433</v>
      </c>
      <c r="F909" s="237">
        <v>44266</v>
      </c>
      <c r="G909" s="237">
        <f>Table1[[#This Row],[Start Date]]</f>
        <v>44266</v>
      </c>
      <c r="H909" s="251"/>
      <c r="I909" s="618"/>
      <c r="J909" s="179" t="str">
        <f>Table1[[#This Row],[Routine Activities (PM/ PMCAL, CM, Genba, Isotanker, Material Readiness, Sampling)]]</f>
        <v xml:space="preserve">Waste offloading - Org </v>
      </c>
    </row>
    <row r="910" spans="3:10" ht="15" hidden="1" customHeight="1" x14ac:dyDescent="0.35">
      <c r="C910" s="671" t="s">
        <v>775</v>
      </c>
      <c r="D910" s="238">
        <v>44263</v>
      </c>
      <c r="E910" s="121" t="s">
        <v>377</v>
      </c>
      <c r="F910" s="237">
        <v>44267</v>
      </c>
      <c r="G910" s="237">
        <f>Table1[[#This Row],[Start Date]]</f>
        <v>44267</v>
      </c>
      <c r="H910" s="251"/>
      <c r="I910" s="618"/>
      <c r="J910" s="179" t="str">
        <f>Table1[[#This Row],[Routine Activities (PM/ PMCAL, CM, Genba, Isotanker, Material Readiness, Sampling)]]</f>
        <v>N2 loading</v>
      </c>
    </row>
    <row r="911" spans="3:10" ht="15" hidden="1" customHeight="1" x14ac:dyDescent="0.35">
      <c r="C911" s="671" t="s">
        <v>1778</v>
      </c>
      <c r="D911" s="238">
        <v>44263</v>
      </c>
      <c r="E911" s="121" t="s">
        <v>377</v>
      </c>
      <c r="F911" s="237"/>
      <c r="G911" s="237">
        <f>Table1[[#This Row],[Start Date]]</f>
        <v>0</v>
      </c>
      <c r="H911" s="251"/>
      <c r="I911" s="618"/>
      <c r="J911" s="179" t="str">
        <f>Table1[[#This Row],[Routine Activities (PM/ PMCAL, CM, Genba, Isotanker, Material Readiness, Sampling)]]</f>
        <v>Solvent loading (not req)</v>
      </c>
    </row>
    <row r="912" spans="3:10" ht="15" hidden="1" customHeight="1" x14ac:dyDescent="0.35">
      <c r="C912" s="671" t="s">
        <v>1940</v>
      </c>
      <c r="D912" s="238">
        <v>44263</v>
      </c>
      <c r="E912" s="121" t="s">
        <v>1885</v>
      </c>
      <c r="F912" s="237"/>
      <c r="G912" s="237">
        <f>Table1[[#This Row],[Start Date]]</f>
        <v>0</v>
      </c>
      <c r="H912" s="251"/>
      <c r="I912" s="618"/>
      <c r="J912" s="179" t="str">
        <f>Table1[[#This Row],[Routine Activities (PM/ PMCAL, CM, Genba, Isotanker, Material Readiness, Sampling)]]</f>
        <v>Genba - CIP pump reorient drain valve</v>
      </c>
    </row>
    <row r="913" spans="1:10" ht="15" hidden="1" customHeight="1" x14ac:dyDescent="0.35">
      <c r="C913" s="671" t="s">
        <v>1941</v>
      </c>
      <c r="D913" s="238">
        <v>44263</v>
      </c>
      <c r="E913" s="121" t="s">
        <v>891</v>
      </c>
      <c r="F913" s="237">
        <v>44264</v>
      </c>
      <c r="G913" s="237">
        <f>Table1[[#This Row],[Start Date]]</f>
        <v>44264</v>
      </c>
      <c r="H913" s="251"/>
      <c r="I913" s="618"/>
      <c r="J913" s="179" t="str">
        <f>Table1[[#This Row],[Routine Activities (PM/ PMCAL, CM, Genba, Isotanker, Material Readiness, Sampling)]]</f>
        <v>QoP - visual inspection (Tues)</v>
      </c>
    </row>
    <row r="914" spans="1:10" ht="15" hidden="1" customHeight="1" x14ac:dyDescent="0.35">
      <c r="C914" s="671" t="s">
        <v>1942</v>
      </c>
      <c r="D914" s="238">
        <v>44263</v>
      </c>
      <c r="E914" s="121" t="s">
        <v>1910</v>
      </c>
      <c r="F914" s="237">
        <v>44264</v>
      </c>
      <c r="G914" s="237">
        <f>Table1[[#This Row],[Start Date]]</f>
        <v>44264</v>
      </c>
      <c r="H914" s="251"/>
      <c r="I914" s="618"/>
      <c r="J914" s="179" t="str">
        <f>Table1[[#This Row],[Routine Activities (PM/ PMCAL, CM, Genba, Isotanker, Material Readiness, Sampling)]]</f>
        <v>Weekly inspection readiness genba walk (shed &amp; flammable storage)</v>
      </c>
    </row>
    <row r="915" spans="1:10" ht="15" hidden="1" customHeight="1" x14ac:dyDescent="0.35">
      <c r="C915" s="671" t="s">
        <v>1739</v>
      </c>
      <c r="D915" s="238">
        <v>44263</v>
      </c>
      <c r="E915" s="121" t="s">
        <v>418</v>
      </c>
      <c r="F915" s="237">
        <v>44265</v>
      </c>
      <c r="G915" s="237">
        <f>Table1[[#This Row],[Start Date]]</f>
        <v>44265</v>
      </c>
      <c r="H915" s="251"/>
      <c r="I915" s="618"/>
      <c r="J915" s="179" t="str">
        <f>Table1[[#This Row],[Routine Activities (PM/ PMCAL, CM, Genba, Isotanker, Material Readiness, Sampling)]]</f>
        <v>Material Readiness for C-1</v>
      </c>
    </row>
    <row r="916" spans="1:10" ht="15" hidden="1" customHeight="1" x14ac:dyDescent="0.35">
      <c r="C916" s="671" t="s">
        <v>1943</v>
      </c>
      <c r="D916" s="238">
        <v>44270</v>
      </c>
      <c r="E916" s="121" t="s">
        <v>1905</v>
      </c>
      <c r="F916" s="237">
        <v>44270</v>
      </c>
      <c r="G916" s="237">
        <f>Table1[[#This Row],[Start Date]]</f>
        <v>44270</v>
      </c>
      <c r="H916" s="251"/>
      <c r="I916" s="618"/>
      <c r="J916" s="179" t="str">
        <f>Table1[[#This Row],[Routine Activities (PM/ PMCAL, CM, Genba, Isotanker, Material Readiness, Sampling)]]</f>
        <v>Hydrog PM/ PMCAL</v>
      </c>
    </row>
    <row r="917" spans="1:10" ht="15" hidden="1" customHeight="1" x14ac:dyDescent="0.35">
      <c r="C917" s="671" t="s">
        <v>1944</v>
      </c>
      <c r="D917" s="238">
        <v>44270</v>
      </c>
      <c r="E917" s="121" t="s">
        <v>1905</v>
      </c>
      <c r="F917" s="237">
        <v>44274</v>
      </c>
      <c r="G917" s="237">
        <f>Table1[[#This Row],[Start Date]]</f>
        <v>44274</v>
      </c>
      <c r="H917" s="251"/>
      <c r="I917" s="618"/>
      <c r="J917" s="179" t="str">
        <f>Table1[[#This Row],[Routine Activities (PM/ PMCAL, CM, Genba, Isotanker, Material Readiness, Sampling)]]</f>
        <v>Heptane FIT PMCAL</v>
      </c>
    </row>
    <row r="918" spans="1:10" ht="15" hidden="1" customHeight="1" x14ac:dyDescent="0.35">
      <c r="C918" s="671" t="s">
        <v>1945</v>
      </c>
      <c r="D918" s="238">
        <v>44270</v>
      </c>
      <c r="E918" s="121" t="s">
        <v>1905</v>
      </c>
      <c r="F918" s="237">
        <v>44274</v>
      </c>
      <c r="G918" s="237">
        <f>Table1[[#This Row],[Start Date]]</f>
        <v>44274</v>
      </c>
      <c r="H918" s="251"/>
      <c r="I918" s="618"/>
      <c r="J918" s="179" t="str">
        <f>Table1[[#This Row],[Routine Activities (PM/ PMCAL, CM, Genba, Isotanker, Material Readiness, Sampling)]]</f>
        <v>EA FIT PMCAL</v>
      </c>
    </row>
    <row r="919" spans="1:10" ht="15" hidden="1" customHeight="1" x14ac:dyDescent="0.35">
      <c r="C919" s="671" t="s">
        <v>1946</v>
      </c>
      <c r="D919" s="238">
        <v>44270</v>
      </c>
      <c r="E919" s="121" t="s">
        <v>1947</v>
      </c>
      <c r="F919" s="237">
        <v>44275</v>
      </c>
      <c r="G919" s="237">
        <f>Table1[[#This Row],[Start Date]]</f>
        <v>44275</v>
      </c>
      <c r="H919" s="251"/>
      <c r="I919" s="618"/>
      <c r="J919" s="179" t="str">
        <f>Table1[[#This Row],[Routine Activities (PM/ PMCAL, CM, Genba, Isotanker, Material Readiness, Sampling)]]</f>
        <v>H2 gas detector PMCAL</v>
      </c>
    </row>
    <row r="920" spans="1:10" s="140" customFormat="1" ht="15" hidden="1" customHeight="1" x14ac:dyDescent="0.35">
      <c r="A920"/>
      <c r="C920" s="671" t="s">
        <v>1383</v>
      </c>
      <c r="D920" s="238">
        <v>44270</v>
      </c>
      <c r="E920" s="121" t="s">
        <v>433</v>
      </c>
      <c r="F920" s="237"/>
      <c r="G920" s="237">
        <f>Table1[[#This Row],[Start Date]]</f>
        <v>0</v>
      </c>
      <c r="H920" s="251" t="s">
        <v>462</v>
      </c>
      <c r="I920" s="618"/>
      <c r="J920" s="179" t="str">
        <f>Table1[[#This Row],[Routine Activities (PM/ PMCAL, CM, Genba, Isotanker, Material Readiness, Sampling)]]</f>
        <v xml:space="preserve">Waste offloading - Aq </v>
      </c>
    </row>
    <row r="921" spans="1:10" s="140" customFormat="1" ht="15" hidden="1" customHeight="1" x14ac:dyDescent="0.35">
      <c r="A921"/>
      <c r="C921" s="671" t="s">
        <v>1099</v>
      </c>
      <c r="D921" s="238">
        <v>44270</v>
      </c>
      <c r="E921" s="121" t="s">
        <v>433</v>
      </c>
      <c r="F921" s="237"/>
      <c r="G921" s="237">
        <f>Table1[[#This Row],[Start Date]]</f>
        <v>0</v>
      </c>
      <c r="H921" s="251" t="s">
        <v>462</v>
      </c>
      <c r="I921" s="618"/>
      <c r="J921" s="179" t="str">
        <f>Table1[[#This Row],[Routine Activities (PM/ PMCAL, CM, Genba, Isotanker, Material Readiness, Sampling)]]</f>
        <v xml:space="preserve">Waste offloading - Org </v>
      </c>
    </row>
    <row r="922" spans="1:10" s="140" customFormat="1" ht="15" hidden="1" customHeight="1" x14ac:dyDescent="0.35">
      <c r="A922"/>
      <c r="C922" s="671" t="s">
        <v>1750</v>
      </c>
      <c r="D922" s="238">
        <v>44270</v>
      </c>
      <c r="E922" s="121" t="s">
        <v>377</v>
      </c>
      <c r="F922" s="237">
        <v>44273</v>
      </c>
      <c r="G922" s="237">
        <f>Table1[[#This Row],[Start Date]]</f>
        <v>44273</v>
      </c>
      <c r="H922" s="251"/>
      <c r="I922" s="618"/>
      <c r="J922" s="179" t="str">
        <f>Table1[[#This Row],[Routine Activities (PM/ PMCAL, CM, Genba, Isotanker, Material Readiness, Sampling)]]</f>
        <v xml:space="preserve">N2 loading </v>
      </c>
    </row>
    <row r="923" spans="1:10" s="140" customFormat="1" ht="15" hidden="1" customHeight="1" x14ac:dyDescent="0.35">
      <c r="A923"/>
      <c r="C923" s="671" t="s">
        <v>957</v>
      </c>
      <c r="D923" s="238">
        <v>44270</v>
      </c>
      <c r="E923" s="121" t="s">
        <v>377</v>
      </c>
      <c r="F923" s="237">
        <v>44270</v>
      </c>
      <c r="G923" s="237">
        <f>Table1[[#This Row],[Start Date]]</f>
        <v>44270</v>
      </c>
      <c r="H923" s="251"/>
      <c r="I923" s="618"/>
      <c r="J923" s="179" t="str">
        <f>Table1[[#This Row],[Routine Activities (PM/ PMCAL, CM, Genba, Isotanker, Material Readiness, Sampling)]]</f>
        <v xml:space="preserve">Solvent loading - MeOH </v>
      </c>
    </row>
    <row r="924" spans="1:10" s="140" customFormat="1" ht="15" hidden="1" customHeight="1" x14ac:dyDescent="0.35">
      <c r="A924"/>
      <c r="C924" s="671" t="s">
        <v>1948</v>
      </c>
      <c r="D924" s="238">
        <v>44270</v>
      </c>
      <c r="E924" s="121" t="s">
        <v>1885</v>
      </c>
      <c r="F924" s="237"/>
      <c r="G924" s="237">
        <f>Table1[[#This Row],[Start Date]]</f>
        <v>0</v>
      </c>
      <c r="H924" s="251"/>
      <c r="I924" s="618"/>
      <c r="J924" s="179" t="str">
        <f>Table1[[#This Row],[Routine Activities (PM/ PMCAL, CM, Genba, Isotanker, Material Readiness, Sampling)]]</f>
        <v>Genba - HOBt dispensing (TBD Leslie)</v>
      </c>
    </row>
    <row r="925" spans="1:10" s="140" customFormat="1" ht="15" hidden="1" customHeight="1" x14ac:dyDescent="0.35">
      <c r="A925"/>
      <c r="C925" s="671" t="s">
        <v>1949</v>
      </c>
      <c r="D925" s="238">
        <v>44270</v>
      </c>
      <c r="E925" s="121" t="s">
        <v>891</v>
      </c>
      <c r="F925" s="237">
        <v>44271</v>
      </c>
      <c r="G925" s="237">
        <f>Table1[[#This Row],[Start Date]]</f>
        <v>44271</v>
      </c>
      <c r="H925" s="251"/>
      <c r="I925" s="618"/>
      <c r="J925" s="179" t="str">
        <f>Table1[[#This Row],[Routine Activities (PM/ PMCAL, CM, Genba, Isotanker, Material Readiness, Sampling)]]</f>
        <v xml:space="preserve">QoP - pure pocket cleaning </v>
      </c>
    </row>
    <row r="926" spans="1:10" s="140" customFormat="1" ht="15" hidden="1" customHeight="1" x14ac:dyDescent="0.35">
      <c r="A926"/>
      <c r="C926" s="671" t="s">
        <v>1950</v>
      </c>
      <c r="D926" s="238">
        <v>44270</v>
      </c>
      <c r="E926" s="121" t="s">
        <v>1910</v>
      </c>
      <c r="F926" s="237">
        <v>44271</v>
      </c>
      <c r="G926" s="237">
        <f>Table1[[#This Row],[Start Date]]</f>
        <v>44271</v>
      </c>
      <c r="H926" s="251"/>
      <c r="I926" s="618"/>
      <c r="J926" s="179" t="str">
        <f>Table1[[#This Row],[Routine Activities (PM/ PMCAL, CM, Genba, Isotanker, Material Readiness, Sampling)]]</f>
        <v>Inspection readiness walkdown (mgmt)</v>
      </c>
    </row>
    <row r="927" spans="1:10" ht="15" hidden="1" customHeight="1" x14ac:dyDescent="0.35">
      <c r="C927" s="18" t="s">
        <v>1951</v>
      </c>
      <c r="D927" s="238">
        <v>44270</v>
      </c>
      <c r="E927" s="121" t="s">
        <v>737</v>
      </c>
      <c r="F927" s="237"/>
      <c r="G927" s="237">
        <f>Table1[[#This Row],[Start Date]]</f>
        <v>0</v>
      </c>
      <c r="H927" s="251"/>
      <c r="I927" s="618"/>
      <c r="J927" s="179" t="str">
        <f>Table1[[#This Row],[Routine Activities (PM/ PMCAL, CM, Genba, Isotanker, Material Readiness, Sampling)]]</f>
        <v xml:space="preserve">QC Testing Readiness </v>
      </c>
    </row>
    <row r="928" spans="1:10" ht="15" hidden="1" customHeight="1" x14ac:dyDescent="0.35">
      <c r="C928" s="671" t="s">
        <v>1944</v>
      </c>
      <c r="D928" s="238">
        <v>44277</v>
      </c>
      <c r="E928" s="121" t="s">
        <v>1905</v>
      </c>
      <c r="F928" s="237">
        <v>44277</v>
      </c>
      <c r="G928" s="237">
        <f>Table1[[#This Row],[Start Date]]</f>
        <v>44277</v>
      </c>
      <c r="H928" s="251"/>
      <c r="I928" s="618"/>
      <c r="J928" s="179" t="str">
        <f>Table1[[#This Row],[Routine Activities (PM/ PMCAL, CM, Genba, Isotanker, Material Readiness, Sampling)]]</f>
        <v>Heptane FIT PMCAL</v>
      </c>
    </row>
    <row r="929" spans="3:10" ht="15" hidden="1" customHeight="1" x14ac:dyDescent="0.35">
      <c r="C929" s="671" t="s">
        <v>1952</v>
      </c>
      <c r="D929" s="238">
        <v>44277</v>
      </c>
      <c r="E929" s="121" t="s">
        <v>1905</v>
      </c>
      <c r="F929" s="237">
        <v>44277</v>
      </c>
      <c r="G929" s="237">
        <f>Table1[[#This Row],[Start Date]]</f>
        <v>44277</v>
      </c>
      <c r="H929" s="251"/>
      <c r="I929" s="618"/>
      <c r="J929" s="179" t="str">
        <f>Table1[[#This Row],[Routine Activities (PM/ PMCAL, CM, Genba, Isotanker, Material Readiness, Sampling)]]</f>
        <v>Acetone FIT PMCAL</v>
      </c>
    </row>
    <row r="930" spans="3:10" ht="15" hidden="1" customHeight="1" x14ac:dyDescent="0.35">
      <c r="C930" s="671" t="s">
        <v>1383</v>
      </c>
      <c r="D930" s="238">
        <v>44277</v>
      </c>
      <c r="E930" s="121" t="s">
        <v>1953</v>
      </c>
      <c r="F930" s="237">
        <v>44277</v>
      </c>
      <c r="G930" s="237">
        <f>Table1[[#This Row],[Start Date]]</f>
        <v>44277</v>
      </c>
      <c r="H930" s="251"/>
      <c r="I930" s="618"/>
      <c r="J930" s="179" t="str">
        <f>Table1[[#This Row],[Routine Activities (PM/ PMCAL, CM, Genba, Isotanker, Material Readiness, Sampling)]]</f>
        <v xml:space="preserve">Waste offloading - Aq </v>
      </c>
    </row>
    <row r="931" spans="3:10" ht="15" hidden="1" customHeight="1" x14ac:dyDescent="0.35">
      <c r="C931" s="671" t="s">
        <v>777</v>
      </c>
      <c r="D931" s="238">
        <v>44277</v>
      </c>
      <c r="E931" s="121" t="s">
        <v>1953</v>
      </c>
      <c r="F931" s="237">
        <v>44280</v>
      </c>
      <c r="G931" s="237">
        <f>Table1[[#This Row],[Start Date]]</f>
        <v>44280</v>
      </c>
      <c r="H931" s="251"/>
      <c r="I931" s="618"/>
      <c r="J931" s="179" t="str">
        <f>Table1[[#This Row],[Routine Activities (PM/ PMCAL, CM, Genba, Isotanker, Material Readiness, Sampling)]]</f>
        <v>Waste offloading - Org</v>
      </c>
    </row>
    <row r="932" spans="3:10" ht="15" hidden="1" customHeight="1" x14ac:dyDescent="0.35">
      <c r="C932" s="671" t="s">
        <v>1781</v>
      </c>
      <c r="D932" s="238">
        <v>44277</v>
      </c>
      <c r="E932" s="121" t="s">
        <v>377</v>
      </c>
      <c r="F932" s="237">
        <v>44279</v>
      </c>
      <c r="G932" s="237">
        <f>Table1[[#This Row],[Start Date]]</f>
        <v>44279</v>
      </c>
      <c r="H932" s="251"/>
      <c r="I932" s="618"/>
      <c r="J932" s="179" t="str">
        <f>Table1[[#This Row],[Routine Activities (PM/ PMCAL, CM, Genba, Isotanker, Material Readiness, Sampling)]]</f>
        <v>EA loading</v>
      </c>
    </row>
    <row r="933" spans="3:10" ht="15" hidden="1" customHeight="1" x14ac:dyDescent="0.35">
      <c r="C933" s="671" t="s">
        <v>778</v>
      </c>
      <c r="D933" s="238">
        <v>44277</v>
      </c>
      <c r="E933" s="121" t="s">
        <v>377</v>
      </c>
      <c r="F933" s="237">
        <v>44281</v>
      </c>
      <c r="G933" s="237">
        <f>Table1[[#This Row],[Start Date]]</f>
        <v>44281</v>
      </c>
      <c r="H933" s="251"/>
      <c r="I933" s="618"/>
      <c r="J933" s="179" t="str">
        <f>Table1[[#This Row],[Routine Activities (PM/ PMCAL, CM, Genba, Isotanker, Material Readiness, Sampling)]]</f>
        <v>Methanol loading</v>
      </c>
    </row>
    <row r="934" spans="3:10" ht="15" hidden="1" customHeight="1" x14ac:dyDescent="0.35">
      <c r="C934" s="671" t="s">
        <v>1954</v>
      </c>
      <c r="D934" s="238">
        <v>44277</v>
      </c>
      <c r="E934" s="121" t="s">
        <v>433</v>
      </c>
      <c r="F934" s="237">
        <v>44278</v>
      </c>
      <c r="G934" s="237">
        <f>Table1[[#This Row],[Start Date]]</f>
        <v>44278</v>
      </c>
      <c r="H934" s="251"/>
      <c r="I934" s="618"/>
      <c r="J934" s="179" t="str">
        <f>Table1[[#This Row],[Routine Activities (PM/ PMCAL, CM, Genba, Isotanker, Material Readiness, Sampling)]]</f>
        <v>Genba - PSSR for mix tank adapter N2 blow (Gabriel to initiate the PSSR)</v>
      </c>
    </row>
    <row r="935" spans="3:10" ht="15" hidden="1" customHeight="1" x14ac:dyDescent="0.35">
      <c r="C935" s="671" t="s">
        <v>1955</v>
      </c>
      <c r="D935" s="238">
        <v>44277</v>
      </c>
      <c r="E935" s="121" t="s">
        <v>1019</v>
      </c>
      <c r="F935" s="237">
        <v>44277</v>
      </c>
      <c r="G935" s="237">
        <f>Table1[[#This Row],[Start Date]]</f>
        <v>44277</v>
      </c>
      <c r="H935" s="251"/>
      <c r="I935" s="618"/>
      <c r="J935" s="179" t="str">
        <f>Table1[[#This Row],[Routine Activities (PM/ PMCAL, CM, Genba, Isotanker, Material Readiness, Sampling)]]</f>
        <v>QoP - Process drying (Siew Mei)</v>
      </c>
    </row>
    <row r="936" spans="3:10" ht="15" hidden="1" customHeight="1" x14ac:dyDescent="0.35">
      <c r="C936" s="671" t="s">
        <v>1956</v>
      </c>
      <c r="D936" s="238">
        <v>44277</v>
      </c>
      <c r="E936" s="121" t="s">
        <v>418</v>
      </c>
      <c r="F936" s="237">
        <v>44284</v>
      </c>
      <c r="G936" s="237">
        <f>Table1[[#This Row],[Start Date]]</f>
        <v>44284</v>
      </c>
      <c r="H936" s="251"/>
      <c r="I936" s="618"/>
      <c r="J936" s="179" t="str">
        <f>Table1[[#This Row],[Routine Activities (PM/ PMCAL, CM, Genba, Isotanker, Material Readiness, Sampling)]]</f>
        <v>A1 Material Readiness</v>
      </c>
    </row>
    <row r="937" spans="3:10" ht="15" hidden="1" customHeight="1" x14ac:dyDescent="0.35">
      <c r="C937" s="671" t="s">
        <v>1957</v>
      </c>
      <c r="D937" s="238">
        <v>44284</v>
      </c>
      <c r="E937" s="121" t="s">
        <v>979</v>
      </c>
      <c r="F937" s="237">
        <v>44284</v>
      </c>
      <c r="G937" s="237">
        <f>Table1[[#This Row],[Start Date]]</f>
        <v>44284</v>
      </c>
      <c r="H937" s="251"/>
      <c r="I937" s="618"/>
      <c r="J937" s="179" t="str">
        <f>Table1[[#This Row],[Routine Activities (PM/ PMCAL, CM, Genba, Isotanker, Material Readiness, Sampling)]]</f>
        <v>Mix tank 3 PMCAL</v>
      </c>
    </row>
    <row r="938" spans="3:10" ht="15" hidden="1" customHeight="1" x14ac:dyDescent="0.35">
      <c r="C938" s="671" t="s">
        <v>775</v>
      </c>
      <c r="D938" s="238">
        <v>44284</v>
      </c>
      <c r="E938" s="121" t="s">
        <v>377</v>
      </c>
      <c r="F938" s="237">
        <v>44285</v>
      </c>
      <c r="G938" s="237">
        <f>Table1[[#This Row],[Start Date]]</f>
        <v>44285</v>
      </c>
      <c r="H938" s="251"/>
      <c r="I938" s="618"/>
      <c r="J938" s="179" t="str">
        <f>Table1[[#This Row],[Routine Activities (PM/ PMCAL, CM, Genba, Isotanker, Material Readiness, Sampling)]]</f>
        <v>N2 loading</v>
      </c>
    </row>
    <row r="939" spans="3:10" ht="15" hidden="1" customHeight="1" x14ac:dyDescent="0.35">
      <c r="C939" s="671" t="s">
        <v>1958</v>
      </c>
      <c r="D939" s="238">
        <v>44284</v>
      </c>
      <c r="E939" s="121" t="s">
        <v>1637</v>
      </c>
      <c r="F939" s="237">
        <v>44289</v>
      </c>
      <c r="G939" s="237">
        <f>Table1[[#This Row],[Start Date]]</f>
        <v>44289</v>
      </c>
      <c r="H939" s="251"/>
      <c r="I939" s="618"/>
      <c r="J939" s="179" t="str">
        <f>Table1[[#This Row],[Routine Activities (PM/ PMCAL, CM, Genba, Isotanker, Material Readiness, Sampling)]]</f>
        <v>Downflow booth PMCAL</v>
      </c>
    </row>
    <row r="940" spans="3:10" ht="15" hidden="1" customHeight="1" x14ac:dyDescent="0.35">
      <c r="C940" s="671" t="s">
        <v>1409</v>
      </c>
      <c r="D940" s="238">
        <v>44284</v>
      </c>
      <c r="E940" s="121" t="s">
        <v>1953</v>
      </c>
      <c r="F940" s="237"/>
      <c r="G940" s="237">
        <f>Table1[[#This Row],[Start Date]]</f>
        <v>0</v>
      </c>
      <c r="H940" s="251"/>
      <c r="I940" s="618"/>
      <c r="J940" s="179" t="str">
        <f>Table1[[#This Row],[Routine Activities (PM/ PMCAL, CM, Genba, Isotanker, Material Readiness, Sampling)]]</f>
        <v>Waste offloading - Aq (not req)</v>
      </c>
    </row>
    <row r="941" spans="3:10" ht="15" hidden="1" customHeight="1" x14ac:dyDescent="0.35">
      <c r="C941" s="671" t="s">
        <v>1959</v>
      </c>
      <c r="D941" s="238">
        <v>44291</v>
      </c>
      <c r="E941" s="121" t="s">
        <v>1885</v>
      </c>
      <c r="F941" s="237">
        <v>44291</v>
      </c>
      <c r="G941" s="237">
        <f>Table1[[#This Row],[Start Date]]</f>
        <v>44291</v>
      </c>
      <c r="H941" s="251"/>
      <c r="I941" s="618"/>
      <c r="J941" s="179" t="str">
        <f>Table1[[#This Row],[Routine Activities (PM/ PMCAL, CM, Genba, Isotanker, Material Readiness, Sampling)]]</f>
        <v xml:space="preserve">Genba - U101 PUR </v>
      </c>
    </row>
    <row r="942" spans="3:10" ht="15" hidden="1" customHeight="1" x14ac:dyDescent="0.35">
      <c r="C942" s="671" t="s">
        <v>1960</v>
      </c>
      <c r="D942" s="238">
        <v>44284</v>
      </c>
      <c r="E942" s="121" t="s">
        <v>891</v>
      </c>
      <c r="F942" s="237">
        <v>44287</v>
      </c>
      <c r="G942" s="237">
        <f>Table1[[#This Row],[Start Date]]</f>
        <v>44287</v>
      </c>
      <c r="H942" s="251"/>
      <c r="I942" s="618"/>
      <c r="J942" s="179" t="str">
        <f>Table1[[#This Row],[Routine Activities (PM/ PMCAL, CM, Genba, Isotanker, Material Readiness, Sampling)]]</f>
        <v>QoP - A1 reagent charge</v>
      </c>
    </row>
    <row r="943" spans="3:10" ht="15" hidden="1" customHeight="1" x14ac:dyDescent="0.35">
      <c r="C943" s="671" t="s">
        <v>1961</v>
      </c>
      <c r="D943" s="238">
        <v>44340</v>
      </c>
      <c r="E943" s="121" t="s">
        <v>1637</v>
      </c>
      <c r="F943" s="237">
        <v>44344</v>
      </c>
      <c r="G943" s="237">
        <f>Table1[[#This Row],[Start Date]]</f>
        <v>44344</v>
      </c>
      <c r="H943" s="251"/>
      <c r="I943" s="618"/>
      <c r="J943" s="179" t="str">
        <f>Table1[[#This Row],[Routine Activities (PM/ PMCAL, CM, Genba, Isotanker, Material Readiness, Sampling)]]</f>
        <v>Replace filter for AHU-34</v>
      </c>
    </row>
    <row r="944" spans="3:10" ht="15" hidden="1" customHeight="1" x14ac:dyDescent="0.35">
      <c r="C944" s="671" t="s">
        <v>1962</v>
      </c>
      <c r="D944" s="238">
        <v>44340</v>
      </c>
      <c r="E944" s="121" t="s">
        <v>773</v>
      </c>
      <c r="F944" s="237">
        <v>44346</v>
      </c>
      <c r="G944" s="237">
        <f>Table1[[#This Row],[Start Date]]</f>
        <v>44346</v>
      </c>
      <c r="H944" s="251"/>
      <c r="I944" s="618"/>
      <c r="J944" s="179" t="str">
        <f>Table1[[#This Row],[Routine Activities (PM/ PMCAL, CM, Genba, Isotanker, Material Readiness, Sampling)]]</f>
        <v>Rectify floor drain label direction</v>
      </c>
    </row>
    <row r="945" spans="3:10" ht="15" hidden="1" customHeight="1" x14ac:dyDescent="0.35">
      <c r="C945" s="671" t="s">
        <v>1963</v>
      </c>
      <c r="D945" s="238">
        <v>44340</v>
      </c>
      <c r="E945" s="121" t="s">
        <v>773</v>
      </c>
      <c r="F945" s="237">
        <v>44346</v>
      </c>
      <c r="G945" s="237">
        <f>Table1[[#This Row],[Start Date]]</f>
        <v>44346</v>
      </c>
      <c r="H945" s="251"/>
      <c r="I945" s="618"/>
      <c r="J945" s="179" t="str">
        <f>Table1[[#This Row],[Routine Activities (PM/ PMCAL, CM, Genba, Isotanker, Material Readiness, Sampling)]]</f>
        <v xml:space="preserve">Replace EA PI </v>
      </c>
    </row>
    <row r="946" spans="3:10" ht="15" hidden="1" customHeight="1" x14ac:dyDescent="0.35">
      <c r="C946" s="671" t="s">
        <v>1749</v>
      </c>
      <c r="D946" s="238">
        <v>44340</v>
      </c>
      <c r="E946" s="121" t="s">
        <v>1934</v>
      </c>
      <c r="F946" s="237">
        <v>44346</v>
      </c>
      <c r="G946" s="237">
        <f>Table1[[#This Row],[Start Date]]</f>
        <v>44346</v>
      </c>
      <c r="H946" s="251"/>
      <c r="I946" s="618"/>
      <c r="J946" s="179" t="str">
        <f>Table1[[#This Row],[Routine Activities (PM/ PMCAL, CM, Genba, Isotanker, Material Readiness, Sampling)]]</f>
        <v>Cold room trap alarm PM</v>
      </c>
    </row>
    <row r="947" spans="3:10" ht="15" hidden="1" customHeight="1" x14ac:dyDescent="0.35">
      <c r="C947" s="671" t="s">
        <v>776</v>
      </c>
      <c r="D947" s="238">
        <v>44291</v>
      </c>
      <c r="E947" s="121" t="s">
        <v>1953</v>
      </c>
      <c r="F947" s="237">
        <v>44293</v>
      </c>
      <c r="G947" s="237">
        <f>Table1[[#This Row],[Start Date]]</f>
        <v>44293</v>
      </c>
      <c r="H947" s="251"/>
      <c r="I947" s="618"/>
      <c r="J947" s="179" t="str">
        <f>Table1[[#This Row],[Routine Activities (PM/ PMCAL, CM, Genba, Isotanker, Material Readiness, Sampling)]]</f>
        <v>Waste offloading - Organic</v>
      </c>
    </row>
    <row r="948" spans="3:10" ht="15" hidden="1" customHeight="1" x14ac:dyDescent="0.35">
      <c r="C948" s="671" t="s">
        <v>1409</v>
      </c>
      <c r="D948" s="238">
        <v>44291</v>
      </c>
      <c r="E948" s="121" t="s">
        <v>1953</v>
      </c>
      <c r="F948" s="237"/>
      <c r="G948" s="237">
        <f>Table1[[#This Row],[Start Date]]</f>
        <v>0</v>
      </c>
      <c r="H948" s="251"/>
      <c r="I948" s="618"/>
      <c r="J948" s="179" t="str">
        <f>Table1[[#This Row],[Routine Activities (PM/ PMCAL, CM, Genba, Isotanker, Material Readiness, Sampling)]]</f>
        <v>Waste offloading - Aq (not req)</v>
      </c>
    </row>
    <row r="949" spans="3:10" ht="15" hidden="1" customHeight="1" x14ac:dyDescent="0.35">
      <c r="C949" s="671" t="s">
        <v>775</v>
      </c>
      <c r="D949" s="238">
        <v>44291</v>
      </c>
      <c r="E949" s="121" t="s">
        <v>377</v>
      </c>
      <c r="F949" s="237">
        <v>44294</v>
      </c>
      <c r="G949" s="237">
        <f>Table1[[#This Row],[Start Date]]</f>
        <v>44294</v>
      </c>
      <c r="H949" s="251"/>
      <c r="I949" s="618"/>
      <c r="J949" s="179" t="str">
        <f>Table1[[#This Row],[Routine Activities (PM/ PMCAL, CM, Genba, Isotanker, Material Readiness, Sampling)]]</f>
        <v>N2 loading</v>
      </c>
    </row>
    <row r="950" spans="3:10" ht="15" hidden="1" customHeight="1" x14ac:dyDescent="0.35">
      <c r="C950" s="671" t="s">
        <v>1964</v>
      </c>
      <c r="D950" s="238">
        <v>44291</v>
      </c>
      <c r="E950" s="121" t="s">
        <v>1885</v>
      </c>
      <c r="F950" s="237">
        <v>44291</v>
      </c>
      <c r="G950" s="237">
        <f>Table1[[#This Row],[Start Date]]</f>
        <v>44291</v>
      </c>
      <c r="H950" s="251"/>
      <c r="I950" s="618"/>
      <c r="J950" s="179" t="str">
        <f>Table1[[#This Row],[Routine Activities (PM/ PMCAL, CM, Genba, Isotanker, Material Readiness, Sampling)]]</f>
        <v>Genba - filter changeout</v>
      </c>
    </row>
    <row r="951" spans="3:10" ht="15" hidden="1" customHeight="1" x14ac:dyDescent="0.35">
      <c r="C951" s="671" t="s">
        <v>1965</v>
      </c>
      <c r="D951" s="238">
        <v>44291</v>
      </c>
      <c r="E951" s="121" t="s">
        <v>891</v>
      </c>
      <c r="F951" s="237">
        <v>44291</v>
      </c>
      <c r="G951" s="237">
        <f>Table1[[#This Row],[Start Date]]</f>
        <v>44291</v>
      </c>
      <c r="H951" s="251"/>
      <c r="I951" s="618"/>
      <c r="J951" s="179" t="str">
        <f>Table1[[#This Row],[Routine Activities (PM/ PMCAL, CM, Genba, Isotanker, Material Readiness, Sampling)]]</f>
        <v>QoP -C-1 RCA</v>
      </c>
    </row>
    <row r="952" spans="3:10" ht="15" hidden="1" customHeight="1" x14ac:dyDescent="0.35">
      <c r="C952" s="671" t="s">
        <v>1966</v>
      </c>
      <c r="D952" s="238">
        <v>44291</v>
      </c>
      <c r="E952" s="121" t="s">
        <v>1905</v>
      </c>
      <c r="F952" s="237">
        <v>44291</v>
      </c>
      <c r="G952" s="237">
        <f>Table1[[#This Row],[Start Date]]</f>
        <v>44291</v>
      </c>
      <c r="H952" s="251"/>
      <c r="I952" s="618"/>
      <c r="J952" s="179" t="str">
        <f>Table1[[#This Row],[Routine Activities (PM/ PMCAL, CM, Genba, Isotanker, Material Readiness, Sampling)]]</f>
        <v>Hydrog upper vapour line GM</v>
      </c>
    </row>
    <row r="953" spans="3:10" ht="15" hidden="1" customHeight="1" x14ac:dyDescent="0.35">
      <c r="C953" s="671" t="s">
        <v>1967</v>
      </c>
      <c r="D953" s="238">
        <v>44291</v>
      </c>
      <c r="E953" s="121" t="s">
        <v>979</v>
      </c>
      <c r="F953" s="237">
        <v>44291</v>
      </c>
      <c r="G953" s="237">
        <f>Table1[[#This Row],[Start Date]]</f>
        <v>44291</v>
      </c>
      <c r="H953" s="251"/>
      <c r="I953" s="618"/>
      <c r="J953" s="179" t="str">
        <f>Table1[[#This Row],[Routine Activities (PM/ PMCAL, CM, Genba, Isotanker, Material Readiness, Sampling)]]</f>
        <v>Rx-1 TCU CM</v>
      </c>
    </row>
    <row r="954" spans="3:10" ht="15" hidden="1" customHeight="1" x14ac:dyDescent="0.35">
      <c r="C954" s="671" t="s">
        <v>1370</v>
      </c>
      <c r="D954" s="238">
        <v>44291</v>
      </c>
      <c r="E954" s="121" t="s">
        <v>1934</v>
      </c>
      <c r="F954" s="237">
        <v>44295</v>
      </c>
      <c r="G954" s="237">
        <f>Table1[[#This Row],[Start Date]]</f>
        <v>44295</v>
      </c>
      <c r="H954" s="251"/>
      <c r="I954" s="618"/>
      <c r="J954" s="179" t="str">
        <f>Table1[[#This Row],[Routine Activities (PM/ PMCAL, CM, Genba, Isotanker, Material Readiness, Sampling)]]</f>
        <v>Breathing air PM</v>
      </c>
    </row>
    <row r="955" spans="3:10" ht="15" hidden="1" customHeight="1" x14ac:dyDescent="0.35">
      <c r="C955" s="671" t="s">
        <v>1890</v>
      </c>
      <c r="D955" s="238">
        <v>44291</v>
      </c>
      <c r="E955" s="121" t="s">
        <v>1149</v>
      </c>
      <c r="F955" s="237">
        <v>44296</v>
      </c>
      <c r="G955" s="237">
        <f>Table1[[#This Row],[Start Date]]</f>
        <v>44296</v>
      </c>
      <c r="H955" s="251"/>
      <c r="I955" s="618"/>
      <c r="J955" s="179" t="str">
        <f>Table1[[#This Row],[Routine Activities (PM/ PMCAL, CM, Genba, Isotanker, Material Readiness, Sampling)]]</f>
        <v>QC stopwatch PMCAL</v>
      </c>
    </row>
    <row r="956" spans="3:10" ht="15" hidden="1" customHeight="1" x14ac:dyDescent="0.35">
      <c r="C956" s="671" t="s">
        <v>1968</v>
      </c>
      <c r="D956" s="238">
        <v>44298</v>
      </c>
      <c r="E956" s="121" t="s">
        <v>1149</v>
      </c>
      <c r="F956" s="237">
        <v>44298</v>
      </c>
      <c r="G956" s="237">
        <f>Table1[[#This Row],[Start Date]]</f>
        <v>44298</v>
      </c>
      <c r="H956" s="251"/>
      <c r="I956" s="618"/>
      <c r="J956" s="179" t="str">
        <f>Table1[[#This Row],[Routine Activities (PM/ PMCAL, CM, Genba, Isotanker, Material Readiness, Sampling)]]</f>
        <v>QC balance PMCAL</v>
      </c>
    </row>
    <row r="957" spans="3:10" ht="15" hidden="1" customHeight="1" x14ac:dyDescent="0.35">
      <c r="C957" s="671" t="s">
        <v>1969</v>
      </c>
      <c r="D957" s="238">
        <v>44298</v>
      </c>
      <c r="E957" s="121" t="s">
        <v>1024</v>
      </c>
      <c r="F957" s="237">
        <v>44300</v>
      </c>
      <c r="G957" s="237">
        <f>Table1[[#This Row],[Start Date]]</f>
        <v>44300</v>
      </c>
      <c r="H957" s="251"/>
      <c r="I957" s="618"/>
      <c r="J957" s="179" t="str">
        <f>Table1[[#This Row],[Routine Activities (PM/ PMCAL, CM, Genba, Isotanker, Material Readiness, Sampling)]]</f>
        <v>Instrument stnd PMCAL</v>
      </c>
    </row>
    <row r="958" spans="3:10" ht="15" hidden="1" customHeight="1" x14ac:dyDescent="0.35">
      <c r="C958" s="671" t="s">
        <v>1595</v>
      </c>
      <c r="D958" s="238">
        <v>44298</v>
      </c>
      <c r="E958" s="121" t="s">
        <v>1934</v>
      </c>
      <c r="F958" s="237">
        <v>44300</v>
      </c>
      <c r="G958" s="237">
        <f>Table1[[#This Row],[Start Date]]</f>
        <v>44300</v>
      </c>
      <c r="H958" s="251"/>
      <c r="I958" s="618"/>
      <c r="J958" s="179" t="str">
        <f>Table1[[#This Row],[Routine Activities (PM/ PMCAL, CM, Genba, Isotanker, Material Readiness, Sampling)]]</f>
        <v>Chilled water gen PM</v>
      </c>
    </row>
    <row r="959" spans="3:10" ht="15" hidden="1" customHeight="1" x14ac:dyDescent="0.35">
      <c r="C959" s="671" t="s">
        <v>1653</v>
      </c>
      <c r="D959" s="238">
        <v>44298</v>
      </c>
      <c r="E959" s="121" t="s">
        <v>979</v>
      </c>
      <c r="F959" s="237">
        <v>44301</v>
      </c>
      <c r="G959" s="237">
        <f>Table1[[#This Row],[Start Date]]</f>
        <v>44301</v>
      </c>
      <c r="H959" s="251"/>
      <c r="I959" s="618"/>
      <c r="J959" s="179" t="str">
        <f>Table1[[#This Row],[Routine Activities (PM/ PMCAL, CM, Genba, Isotanker, Material Readiness, Sampling)]]</f>
        <v>Disp. Isolator PM</v>
      </c>
    </row>
    <row r="960" spans="3:10" ht="15" hidden="1" customHeight="1" x14ac:dyDescent="0.35">
      <c r="C960" s="728" t="s">
        <v>1584</v>
      </c>
      <c r="D960" s="238">
        <v>44298</v>
      </c>
      <c r="E960" s="121" t="s">
        <v>1934</v>
      </c>
      <c r="F960" s="237">
        <v>44303</v>
      </c>
      <c r="G960" s="237">
        <f>Table1[[#This Row],[Start Date]]</f>
        <v>44303</v>
      </c>
      <c r="H960" s="251"/>
      <c r="I960" s="618"/>
      <c r="J960" s="179" t="str">
        <f>Table1[[#This Row],[Routine Activities (PM/ PMCAL, CM, Genba, Isotanker, Material Readiness, Sampling)]]</f>
        <v>Glycol chiller PM</v>
      </c>
    </row>
    <row r="961" spans="3:10" ht="15" hidden="1" customHeight="1" x14ac:dyDescent="0.35">
      <c r="C961" s="671" t="s">
        <v>1969</v>
      </c>
      <c r="D961" s="238">
        <v>44298</v>
      </c>
      <c r="E961" s="121" t="s">
        <v>1024</v>
      </c>
      <c r="F961" s="237">
        <v>44303</v>
      </c>
      <c r="G961" s="237">
        <f>Table1[[#This Row],[Start Date]]</f>
        <v>44303</v>
      </c>
      <c r="H961" s="251"/>
      <c r="I961" s="618"/>
      <c r="J961" s="179" t="str">
        <f>Table1[[#This Row],[Routine Activities (PM/ PMCAL, CM, Genba, Isotanker, Material Readiness, Sampling)]]</f>
        <v>Instrument stnd PMCAL</v>
      </c>
    </row>
    <row r="962" spans="3:10" ht="15" hidden="1" customHeight="1" x14ac:dyDescent="0.35">
      <c r="C962" s="671" t="s">
        <v>1970</v>
      </c>
      <c r="D962" s="238">
        <v>44298</v>
      </c>
      <c r="E962" s="121" t="s">
        <v>1905</v>
      </c>
      <c r="F962" s="237">
        <v>44304</v>
      </c>
      <c r="G962" s="237">
        <f>Table1[[#This Row],[Start Date]]</f>
        <v>44304</v>
      </c>
      <c r="H962" s="251"/>
      <c r="I962" s="618"/>
      <c r="J962" s="179" t="str">
        <f>Table1[[#This Row],[Routine Activities (PM/ PMCAL, CM, Genba, Isotanker, Material Readiness, Sampling)]]</f>
        <v>Scrubber pumps PM</v>
      </c>
    </row>
    <row r="963" spans="3:10" ht="15" hidden="1" customHeight="1" x14ac:dyDescent="0.35">
      <c r="C963" s="671" t="s">
        <v>1409</v>
      </c>
      <c r="D963" s="238">
        <v>44298</v>
      </c>
      <c r="E963" s="121" t="s">
        <v>1953</v>
      </c>
      <c r="F963" s="237"/>
      <c r="G963" s="237">
        <f>Table1[[#This Row],[Start Date]]</f>
        <v>0</v>
      </c>
      <c r="H963" s="251"/>
      <c r="I963" s="618"/>
      <c r="J963" s="179" t="str">
        <f>Table1[[#This Row],[Routine Activities (PM/ PMCAL, CM, Genba, Isotanker, Material Readiness, Sampling)]]</f>
        <v>Waste offloading - Aq (not req)</v>
      </c>
    </row>
    <row r="964" spans="3:10" ht="15" hidden="1" customHeight="1" x14ac:dyDescent="0.35">
      <c r="C964" s="671" t="s">
        <v>1658</v>
      </c>
      <c r="D964" s="238">
        <v>44298</v>
      </c>
      <c r="E964" s="121" t="s">
        <v>1953</v>
      </c>
      <c r="F964" s="237"/>
      <c r="G964" s="237">
        <f>Table1[[#This Row],[Start Date]]</f>
        <v>0</v>
      </c>
      <c r="H964" s="251"/>
      <c r="I964" s="618"/>
      <c r="J964" s="179" t="str">
        <f>Table1[[#This Row],[Routine Activities (PM/ PMCAL, CM, Genba, Isotanker, Material Readiness, Sampling)]]</f>
        <v>Waste offloading - Org (not req)</v>
      </c>
    </row>
    <row r="965" spans="3:10" ht="15" hidden="1" customHeight="1" x14ac:dyDescent="0.35">
      <c r="C965" s="671" t="s">
        <v>775</v>
      </c>
      <c r="D965" s="238">
        <v>44298</v>
      </c>
      <c r="E965" s="121" t="s">
        <v>377</v>
      </c>
      <c r="F965" s="237">
        <v>44301</v>
      </c>
      <c r="G965" s="237">
        <f>Table1[[#This Row],[Start Date]]</f>
        <v>44301</v>
      </c>
      <c r="H965" s="251"/>
      <c r="I965" s="618"/>
      <c r="J965" s="179" t="str">
        <f>Table1[[#This Row],[Routine Activities (PM/ PMCAL, CM, Genba, Isotanker, Material Readiness, Sampling)]]</f>
        <v>N2 loading</v>
      </c>
    </row>
    <row r="966" spans="3:10" ht="15" hidden="1" customHeight="1" x14ac:dyDescent="0.35">
      <c r="C966" s="671" t="s">
        <v>1925</v>
      </c>
      <c r="D966" s="238">
        <v>44298</v>
      </c>
      <c r="E966" s="121" t="s">
        <v>377</v>
      </c>
      <c r="F966" s="237">
        <v>44302</v>
      </c>
      <c r="G966" s="237">
        <f>Table1[[#This Row],[Start Date]]</f>
        <v>44302</v>
      </c>
      <c r="H966" s="251"/>
      <c r="I966" s="618"/>
      <c r="J966" s="179" t="str">
        <f>Table1[[#This Row],[Routine Activities (PM/ PMCAL, CM, Genba, Isotanker, Material Readiness, Sampling)]]</f>
        <v xml:space="preserve">Ethyl acetate loading </v>
      </c>
    </row>
    <row r="967" spans="3:10" ht="15" hidden="1" customHeight="1" x14ac:dyDescent="0.35">
      <c r="C967" s="671" t="s">
        <v>1971</v>
      </c>
      <c r="D967" s="238">
        <v>44298</v>
      </c>
      <c r="E967" s="121" t="s">
        <v>1885</v>
      </c>
      <c r="F967" s="237"/>
      <c r="G967" s="237">
        <f>Table1[[#This Row],[Start Date]]</f>
        <v>0</v>
      </c>
      <c r="H967" s="251"/>
      <c r="I967" s="618"/>
      <c r="J967" s="179" t="str">
        <f>Table1[[#This Row],[Routine Activities (PM/ PMCAL, CM, Genba, Isotanker, Material Readiness, Sampling)]]</f>
        <v>Genba - reagent line charging (TBD)</v>
      </c>
    </row>
    <row r="968" spans="3:10" ht="15" hidden="1" customHeight="1" x14ac:dyDescent="0.35">
      <c r="C968" s="671" t="s">
        <v>1972</v>
      </c>
      <c r="D968" s="238">
        <v>44298</v>
      </c>
      <c r="E968" s="121" t="s">
        <v>891</v>
      </c>
      <c r="F968" s="237">
        <v>44301</v>
      </c>
      <c r="G968" s="237">
        <f>Table1[[#This Row],[Start Date]]</f>
        <v>44301</v>
      </c>
      <c r="H968" s="251"/>
      <c r="I968" s="618"/>
      <c r="J968" s="179" t="str">
        <f>Table1[[#This Row],[Routine Activities (PM/ PMCAL, CM, Genba, Isotanker, Material Readiness, Sampling)]]</f>
        <v>QoP - packout</v>
      </c>
    </row>
    <row r="969" spans="3:10" ht="15" hidden="1" customHeight="1" x14ac:dyDescent="0.35">
      <c r="C969" s="671" t="s">
        <v>1973</v>
      </c>
      <c r="D969" s="238">
        <v>44298</v>
      </c>
      <c r="E969" s="121" t="s">
        <v>418</v>
      </c>
      <c r="F969" s="237">
        <v>44298</v>
      </c>
      <c r="G969" s="237">
        <f>Table1[[#This Row],[Start Date]]</f>
        <v>44298</v>
      </c>
      <c r="H969" s="251"/>
      <c r="I969" s="618"/>
      <c r="J969" s="179" t="str">
        <f>Table1[[#This Row],[Routine Activities (PM/ PMCAL, CM, Genba, Isotanker, Material Readiness, Sampling)]]</f>
        <v>A1-5 to A1-6 Material Readiness</v>
      </c>
    </row>
    <row r="970" spans="3:10" ht="15" hidden="1" customHeight="1" x14ac:dyDescent="0.35">
      <c r="C970" s="671" t="s">
        <v>1236</v>
      </c>
      <c r="D970" s="238">
        <v>44305</v>
      </c>
      <c r="E970" s="121" t="s">
        <v>1149</v>
      </c>
      <c r="F970" s="237">
        <v>44305</v>
      </c>
      <c r="G970" s="237">
        <f>Table1[[#This Row],[Start Date]]</f>
        <v>44305</v>
      </c>
      <c r="H970" s="251"/>
      <c r="I970" s="618"/>
      <c r="J970" s="179" t="str">
        <f>Table1[[#This Row],[Routine Activities (PM/ PMCAL, CM, Genba, Isotanker, Material Readiness, Sampling)]]</f>
        <v>QC Balance PMCAL</v>
      </c>
    </row>
    <row r="971" spans="3:10" ht="15" hidden="1" customHeight="1" x14ac:dyDescent="0.35">
      <c r="C971" s="671" t="s">
        <v>1234</v>
      </c>
      <c r="D971" s="238">
        <v>44305</v>
      </c>
      <c r="E971" s="121" t="s">
        <v>1937</v>
      </c>
      <c r="F971" s="237">
        <v>44305</v>
      </c>
      <c r="G971" s="237">
        <f>Table1[[#This Row],[Start Date]]</f>
        <v>44305</v>
      </c>
      <c r="H971" s="251"/>
      <c r="I971" s="618"/>
      <c r="J971" s="179" t="str">
        <f>Table1[[#This Row],[Routine Activities (PM/ PMCAL, CM, Genba, Isotanker, Material Readiness, Sampling)]]</f>
        <v>PD Balance PMCAL</v>
      </c>
    </row>
    <row r="972" spans="3:10" ht="15" hidden="1" customHeight="1" x14ac:dyDescent="0.35">
      <c r="C972" s="671" t="s">
        <v>1974</v>
      </c>
      <c r="D972" s="238">
        <v>44305</v>
      </c>
      <c r="E972" s="121" t="s">
        <v>1905</v>
      </c>
      <c r="F972" s="237">
        <v>44305</v>
      </c>
      <c r="G972" s="237">
        <f>Table1[[#This Row],[Start Date]]</f>
        <v>44305</v>
      </c>
      <c r="H972" s="251"/>
      <c r="I972" s="618"/>
      <c r="J972" s="179" t="str">
        <f>Table1[[#This Row],[Routine Activities (PM/ PMCAL, CM, Genba, Isotanker, Material Readiness, Sampling)]]</f>
        <v>Hydrog PM</v>
      </c>
    </row>
    <row r="973" spans="3:10" ht="15" hidden="1" customHeight="1" x14ac:dyDescent="0.35">
      <c r="C973" s="671" t="s">
        <v>1975</v>
      </c>
      <c r="D973" s="238">
        <v>44305</v>
      </c>
      <c r="E973" s="121" t="s">
        <v>1637</v>
      </c>
      <c r="F973" s="237">
        <v>44305</v>
      </c>
      <c r="G973" s="237">
        <f>Table1[[#This Row],[Start Date]]</f>
        <v>44305</v>
      </c>
      <c r="H973" s="251"/>
      <c r="I973" s="618"/>
      <c r="J973" s="179" t="str">
        <f>Table1[[#This Row],[Routine Activities (PM/ PMCAL, CM, Genba, Isotanker, Material Readiness, Sampling)]]</f>
        <v>CFH hose replacement</v>
      </c>
    </row>
    <row r="974" spans="3:10" ht="15" hidden="1" customHeight="1" x14ac:dyDescent="0.35">
      <c r="C974" s="671" t="s">
        <v>1918</v>
      </c>
      <c r="D974" s="238">
        <v>44305</v>
      </c>
      <c r="E974" s="121" t="s">
        <v>979</v>
      </c>
      <c r="F974" s="237">
        <v>44308</v>
      </c>
      <c r="G974" s="237">
        <f>Table1[[#This Row],[Start Date]]</f>
        <v>44308</v>
      </c>
      <c r="H974" s="251"/>
      <c r="I974" s="618"/>
      <c r="J974" s="179" t="str">
        <f>Table1[[#This Row],[Routine Activities (PM/ PMCAL, CM, Genba, Isotanker, Material Readiness, Sampling)]]</f>
        <v>Removal of chem can. Dome</v>
      </c>
    </row>
    <row r="975" spans="3:10" ht="15" hidden="1" customHeight="1" x14ac:dyDescent="0.35">
      <c r="C975" s="671" t="s">
        <v>1976</v>
      </c>
      <c r="D975" s="238">
        <v>44305</v>
      </c>
      <c r="E975" s="121" t="s">
        <v>1598</v>
      </c>
      <c r="F975" s="237">
        <v>44308</v>
      </c>
      <c r="G975" s="237">
        <f>Table1[[#This Row],[Start Date]]</f>
        <v>44308</v>
      </c>
      <c r="H975" s="251"/>
      <c r="I975" s="618"/>
      <c r="J975" s="179" t="str">
        <f>Table1[[#This Row],[Routine Activities (PM/ PMCAL, CM, Genba, Isotanker, Material Readiness, Sampling)]]</f>
        <v>Txformer PM</v>
      </c>
    </row>
    <row r="976" spans="3:10" ht="15" hidden="1" customHeight="1" x14ac:dyDescent="0.35">
      <c r="C976" s="671" t="s">
        <v>1977</v>
      </c>
      <c r="D976" s="238">
        <v>44305</v>
      </c>
      <c r="E976" s="121" t="s">
        <v>1978</v>
      </c>
      <c r="F976" s="237">
        <v>44309</v>
      </c>
      <c r="G976" s="237">
        <f>Table1[[#This Row],[Start Date]]</f>
        <v>44309</v>
      </c>
      <c r="H976" s="251"/>
      <c r="I976" s="618"/>
      <c r="J976" s="179" t="str">
        <f>Table1[[#This Row],[Routine Activities (PM/ PMCAL, CM, Genba, Isotanker, Material Readiness, Sampling)]]</f>
        <v>Lifter Statutory PM</v>
      </c>
    </row>
    <row r="977" spans="3:10" ht="15" hidden="1" customHeight="1" x14ac:dyDescent="0.35">
      <c r="C977" s="671" t="s">
        <v>1979</v>
      </c>
      <c r="D977" s="238">
        <v>44305</v>
      </c>
      <c r="E977" s="121" t="s">
        <v>1905</v>
      </c>
      <c r="F977" s="237">
        <v>44310</v>
      </c>
      <c r="G977" s="237">
        <f>Table1[[#This Row],[Start Date]]</f>
        <v>44310</v>
      </c>
      <c r="H977" s="251"/>
      <c r="I977" s="618"/>
      <c r="J977" s="179" t="str">
        <f>Table1[[#This Row],[Routine Activities (PM/ PMCAL, CM, Genba, Isotanker, Material Readiness, Sampling)]]</f>
        <v>MeOH tank/ pump PM/ PMCAL</v>
      </c>
    </row>
    <row r="978" spans="3:10" ht="15" hidden="1" customHeight="1" x14ac:dyDescent="0.35">
      <c r="C978" s="671" t="s">
        <v>1980</v>
      </c>
      <c r="D978" s="238">
        <v>44305</v>
      </c>
      <c r="E978" s="121" t="s">
        <v>1905</v>
      </c>
      <c r="F978" s="237">
        <v>44311</v>
      </c>
      <c r="G978" s="237">
        <f>Table1[[#This Row],[Start Date]]</f>
        <v>44311</v>
      </c>
      <c r="H978" s="251"/>
      <c r="I978" s="618"/>
      <c r="J978" s="179" t="str">
        <f>Table1[[#This Row],[Routine Activities (PM/ PMCAL, CM, Genba, Isotanker, Material Readiness, Sampling)]]</f>
        <v>EtOAc tank/pump PM/PMCAL</v>
      </c>
    </row>
    <row r="979" spans="3:10" ht="15" hidden="1" customHeight="1" x14ac:dyDescent="0.35">
      <c r="C979" s="671" t="s">
        <v>1981</v>
      </c>
      <c r="D979" s="238">
        <v>44305</v>
      </c>
      <c r="E979" s="121" t="s">
        <v>1637</v>
      </c>
      <c r="F979" s="237">
        <v>44311</v>
      </c>
      <c r="G979" s="237">
        <f>Table1[[#This Row],[Start Date]]</f>
        <v>44311</v>
      </c>
      <c r="H979" s="251"/>
      <c r="I979" s="618"/>
      <c r="J979" s="179" t="str">
        <f>Table1[[#This Row],[Routine Activities (PM/ PMCAL, CM, Genba, Isotanker, Material Readiness, Sampling)]]</f>
        <v>HVAC PM</v>
      </c>
    </row>
    <row r="980" spans="3:10" ht="15" hidden="1" customHeight="1" x14ac:dyDescent="0.35">
      <c r="C980" s="671" t="s">
        <v>1409</v>
      </c>
      <c r="D980" s="238">
        <v>44305</v>
      </c>
      <c r="E980" s="121" t="s">
        <v>1953</v>
      </c>
      <c r="F980" s="237"/>
      <c r="G980" s="237">
        <f>Table1[[#This Row],[Start Date]]</f>
        <v>0</v>
      </c>
      <c r="H980" s="251" t="s">
        <v>462</v>
      </c>
      <c r="I980" s="618"/>
      <c r="J980" s="179" t="str">
        <f>Table1[[#This Row],[Routine Activities (PM/ PMCAL, CM, Genba, Isotanker, Material Readiness, Sampling)]]</f>
        <v>Waste offloading - Aq (not req)</v>
      </c>
    </row>
    <row r="981" spans="3:10" ht="15" hidden="1" customHeight="1" x14ac:dyDescent="0.35">
      <c r="C981" s="671" t="s">
        <v>1099</v>
      </c>
      <c r="D981" s="238">
        <v>44305</v>
      </c>
      <c r="E981" s="121" t="s">
        <v>1953</v>
      </c>
      <c r="F981" s="237">
        <v>44308</v>
      </c>
      <c r="G981" s="237">
        <f>Table1[[#This Row],[Start Date]]</f>
        <v>44308</v>
      </c>
      <c r="H981" s="251"/>
      <c r="I981" s="618"/>
      <c r="J981" s="179" t="str">
        <f>Table1[[#This Row],[Routine Activities (PM/ PMCAL, CM, Genba, Isotanker, Material Readiness, Sampling)]]</f>
        <v xml:space="preserve">Waste offloading - Org </v>
      </c>
    </row>
    <row r="982" spans="3:10" ht="15" hidden="1" customHeight="1" x14ac:dyDescent="0.35">
      <c r="C982" s="671" t="s">
        <v>1750</v>
      </c>
      <c r="D982" s="238">
        <v>44305</v>
      </c>
      <c r="E982" s="121" t="s">
        <v>377</v>
      </c>
      <c r="F982" s="237">
        <v>44309</v>
      </c>
      <c r="G982" s="237">
        <f>Table1[[#This Row],[Start Date]]</f>
        <v>44309</v>
      </c>
      <c r="H982" s="251"/>
      <c r="I982" s="618"/>
      <c r="J982" s="179" t="str">
        <f>Table1[[#This Row],[Routine Activities (PM/ PMCAL, CM, Genba, Isotanker, Material Readiness, Sampling)]]</f>
        <v xml:space="preserve">N2 loading </v>
      </c>
    </row>
    <row r="983" spans="3:10" ht="15" hidden="1" customHeight="1" x14ac:dyDescent="0.35">
      <c r="C983" s="671" t="s">
        <v>1828</v>
      </c>
      <c r="D983" s="238">
        <v>44305</v>
      </c>
      <c r="E983" s="121" t="s">
        <v>377</v>
      </c>
      <c r="F983" s="237">
        <v>44307</v>
      </c>
      <c r="G983" s="237">
        <f>Table1[[#This Row],[Start Date]]</f>
        <v>44307</v>
      </c>
      <c r="H983" s="251"/>
      <c r="I983" s="618"/>
      <c r="J983" s="179" t="str">
        <f>Table1[[#This Row],[Routine Activities (PM/ PMCAL, CM, Genba, Isotanker, Material Readiness, Sampling)]]</f>
        <v xml:space="preserve">MeOH loading </v>
      </c>
    </row>
    <row r="984" spans="3:10" ht="15" hidden="1" customHeight="1" x14ac:dyDescent="0.35">
      <c r="C984" s="671" t="s">
        <v>1982</v>
      </c>
      <c r="D984" s="238">
        <v>44305</v>
      </c>
      <c r="E984" s="121" t="s">
        <v>1885</v>
      </c>
      <c r="F984" s="237">
        <v>44305</v>
      </c>
      <c r="G984" s="237">
        <f>Table1[[#This Row],[Start Date]]</f>
        <v>44305</v>
      </c>
      <c r="H984" s="251"/>
      <c r="I984" s="618"/>
      <c r="J984" s="179" t="str">
        <f>Table1[[#This Row],[Routine Activities (PM/ PMCAL, CM, Genba, Isotanker, Material Readiness, Sampling)]]</f>
        <v>Genba - cat pump PM</v>
      </c>
    </row>
    <row r="985" spans="3:10" ht="15" hidden="1" customHeight="1" x14ac:dyDescent="0.35">
      <c r="C985" s="671" t="s">
        <v>1983</v>
      </c>
      <c r="D985" s="238">
        <v>44305</v>
      </c>
      <c r="E985" s="121" t="s">
        <v>891</v>
      </c>
      <c r="F985" s="237">
        <v>44305</v>
      </c>
      <c r="G985" s="237">
        <f>Table1[[#This Row],[Start Date]]</f>
        <v>44305</v>
      </c>
      <c r="H985" s="251"/>
      <c r="I985" s="618"/>
      <c r="J985" s="179" t="str">
        <f>Table1[[#This Row],[Routine Activities (PM/ PMCAL, CM, Genba, Isotanker, Material Readiness, Sampling)]]</f>
        <v>QoP - solid/reagent charging</v>
      </c>
    </row>
    <row r="986" spans="3:10" ht="15" hidden="1" customHeight="1" x14ac:dyDescent="0.35">
      <c r="C986" s="671" t="s">
        <v>1409</v>
      </c>
      <c r="D986" s="238">
        <v>44312</v>
      </c>
      <c r="E986" s="121" t="s">
        <v>1953</v>
      </c>
      <c r="F986" s="237"/>
      <c r="G986" s="237">
        <f>Table1[[#This Row],[Start Date]]</f>
        <v>0</v>
      </c>
      <c r="H986" s="251"/>
      <c r="I986" s="618"/>
      <c r="J986" s="179" t="str">
        <f>Table1[[#This Row],[Routine Activities (PM/ PMCAL, CM, Genba, Isotanker, Material Readiness, Sampling)]]</f>
        <v>Waste offloading - Aq (not req)</v>
      </c>
    </row>
    <row r="987" spans="3:10" ht="15" hidden="1" customHeight="1" x14ac:dyDescent="0.35">
      <c r="C987" s="671" t="s">
        <v>1658</v>
      </c>
      <c r="D987" s="238">
        <v>44312</v>
      </c>
      <c r="E987" s="121" t="s">
        <v>1953</v>
      </c>
      <c r="F987" s="237"/>
      <c r="G987" s="237">
        <f>Table1[[#This Row],[Start Date]]</f>
        <v>0</v>
      </c>
      <c r="H987" s="251"/>
      <c r="I987" s="618"/>
      <c r="J987" s="179" t="str">
        <f>Table1[[#This Row],[Routine Activities (PM/ PMCAL, CM, Genba, Isotanker, Material Readiness, Sampling)]]</f>
        <v>Waste offloading - Org (not req)</v>
      </c>
    </row>
    <row r="988" spans="3:10" ht="15" hidden="1" customHeight="1" x14ac:dyDescent="0.35">
      <c r="C988" s="671" t="s">
        <v>1984</v>
      </c>
      <c r="D988" s="238">
        <v>44312</v>
      </c>
      <c r="E988" s="121" t="s">
        <v>368</v>
      </c>
      <c r="F988" s="237"/>
      <c r="G988" s="237">
        <f>Table1[[#This Row],[Start Date]]</f>
        <v>0</v>
      </c>
      <c r="H988" s="251"/>
      <c r="I988" s="618"/>
      <c r="J988" s="179" t="str">
        <f>Table1[[#This Row],[Routine Activities (PM/ PMCAL, CM, Genba, Isotanker, Material Readiness, Sampling)]]</f>
        <v>Genba - packout (Mon -  Wed)</v>
      </c>
    </row>
    <row r="989" spans="3:10" ht="15" hidden="1" customHeight="1" x14ac:dyDescent="0.35">
      <c r="C989" s="671" t="s">
        <v>1985</v>
      </c>
      <c r="D989" s="238">
        <v>44312</v>
      </c>
      <c r="E989" s="121" t="s">
        <v>891</v>
      </c>
      <c r="F989" s="237"/>
      <c r="G989" s="237">
        <f>Table1[[#This Row],[Start Date]]</f>
        <v>0</v>
      </c>
      <c r="H989" s="251"/>
      <c r="I989" s="618"/>
      <c r="J989" s="179" t="str">
        <f>Table1[[#This Row],[Routine Activities (PM/ PMCAL, CM, Genba, Isotanker, Material Readiness, Sampling)]]</f>
        <v>QoP - packout (Mon preferred)</v>
      </c>
    </row>
    <row r="990" spans="3:10" ht="15" hidden="1" customHeight="1" x14ac:dyDescent="0.35">
      <c r="C990" s="671" t="s">
        <v>775</v>
      </c>
      <c r="D990" s="238">
        <v>44312</v>
      </c>
      <c r="E990" s="121" t="s">
        <v>377</v>
      </c>
      <c r="F990" s="237">
        <v>44315</v>
      </c>
      <c r="G990" s="237">
        <f>Table1[[#This Row],[Start Date]]</f>
        <v>44315</v>
      </c>
      <c r="H990" s="251"/>
      <c r="I990" s="618"/>
      <c r="J990" s="179" t="str">
        <f>Table1[[#This Row],[Routine Activities (PM/ PMCAL, CM, Genba, Isotanker, Material Readiness, Sampling)]]</f>
        <v>N2 loading</v>
      </c>
    </row>
    <row r="991" spans="3:10" ht="15" hidden="1" customHeight="1" x14ac:dyDescent="0.35">
      <c r="C991" s="671" t="s">
        <v>1986</v>
      </c>
      <c r="D991" s="238">
        <v>44312</v>
      </c>
      <c r="E991" s="121" t="s">
        <v>372</v>
      </c>
      <c r="F991" s="237">
        <v>44314</v>
      </c>
      <c r="G991" s="237">
        <f>Table1[[#This Row],[Start Date]]</f>
        <v>44314</v>
      </c>
      <c r="H991" s="251"/>
      <c r="I991" s="618"/>
      <c r="J991" s="179" t="str">
        <f>Table1[[#This Row],[Routine Activities (PM/ PMCAL, CM, Genba, Isotanker, Material Readiness, Sampling)]]</f>
        <v>A2 Material Readiness (2 batch)</v>
      </c>
    </row>
    <row r="992" spans="3:10" ht="15" hidden="1" customHeight="1" x14ac:dyDescent="0.35">
      <c r="C992" s="671" t="s">
        <v>837</v>
      </c>
      <c r="D992" s="238">
        <v>44312</v>
      </c>
      <c r="E992" s="121" t="s">
        <v>737</v>
      </c>
      <c r="F992" s="237"/>
      <c r="G992" s="237">
        <f>Table1[[#This Row],[Start Date]]</f>
        <v>0</v>
      </c>
      <c r="H992" s="251" t="s">
        <v>340</v>
      </c>
      <c r="I992" s="618"/>
      <c r="J992" s="179" t="str">
        <f>Table1[[#This Row],[Routine Activities (PM/ PMCAL, CM, Genba, Isotanker, Material Readiness, Sampling)]]</f>
        <v>QC Testing Readiness</v>
      </c>
    </row>
    <row r="993" spans="3:10" ht="14.5" hidden="1" x14ac:dyDescent="0.35">
      <c r="C993" s="671" t="s">
        <v>1987</v>
      </c>
      <c r="D993" s="238">
        <v>44312</v>
      </c>
      <c r="E993" s="121" t="s">
        <v>1905</v>
      </c>
      <c r="F993" s="237">
        <v>44312</v>
      </c>
      <c r="G993" s="237">
        <f>Table1[[#This Row],[Start Date]]</f>
        <v>44312</v>
      </c>
      <c r="H993" s="251"/>
      <c r="I993" s="618"/>
      <c r="J993" s="179" t="str">
        <f>Table1[[#This Row],[Routine Activities (PM/ PMCAL, CM, Genba, Isotanker, Material Readiness, Sampling)]]</f>
        <v>Acetone tank PM</v>
      </c>
    </row>
    <row r="994" spans="3:10" ht="14.5" hidden="1" x14ac:dyDescent="0.35">
      <c r="C994" s="671" t="s">
        <v>1988</v>
      </c>
      <c r="D994" s="238">
        <v>44312</v>
      </c>
      <c r="E994" s="121" t="s">
        <v>1905</v>
      </c>
      <c r="F994" s="237">
        <v>44312</v>
      </c>
      <c r="G994" s="237">
        <f>Table1[[#This Row],[Start Date]]</f>
        <v>44312</v>
      </c>
      <c r="H994" s="251"/>
      <c r="I994" s="618"/>
      <c r="J994" s="179" t="str">
        <f>Table1[[#This Row],[Routine Activities (PM/ PMCAL, CM, Genba, Isotanker, Material Readiness, Sampling)]]</f>
        <v>Heptane PIT PMCAL</v>
      </c>
    </row>
    <row r="995" spans="3:10" ht="15" hidden="1" customHeight="1" x14ac:dyDescent="0.35">
      <c r="C995" s="671" t="s">
        <v>1989</v>
      </c>
      <c r="D995" s="238">
        <v>44312</v>
      </c>
      <c r="E995" s="121" t="s">
        <v>979</v>
      </c>
      <c r="F995" s="237">
        <v>44312</v>
      </c>
      <c r="G995" s="237">
        <f>Table1[[#This Row],[Start Date]]</f>
        <v>44312</v>
      </c>
      <c r="H995" s="251"/>
      <c r="I995" s="618"/>
      <c r="J995" s="179" t="str">
        <f>Table1[[#This Row],[Routine Activities (PM/ PMCAL, CM, Genba, Isotanker, Material Readiness, Sampling)]]</f>
        <v>CIP PM</v>
      </c>
    </row>
    <row r="996" spans="3:10" ht="15" hidden="1" customHeight="1" x14ac:dyDescent="0.35">
      <c r="C996" s="671" t="s">
        <v>1990</v>
      </c>
      <c r="D996" s="238">
        <v>44312</v>
      </c>
      <c r="E996" s="121" t="s">
        <v>1905</v>
      </c>
      <c r="F996" s="237">
        <v>44313</v>
      </c>
      <c r="G996" s="237">
        <f>Table1[[#This Row],[Start Date]]</f>
        <v>44313</v>
      </c>
      <c r="H996" s="251"/>
      <c r="I996" s="618"/>
      <c r="J996" s="179" t="str">
        <f>Table1[[#This Row],[Routine Activities (PM/ PMCAL, CM, Genba, Isotanker, Material Readiness, Sampling)]]</f>
        <v>Heptane tank PM</v>
      </c>
    </row>
    <row r="997" spans="3:10" ht="15" hidden="1" customHeight="1" x14ac:dyDescent="0.35">
      <c r="C997" s="671" t="s">
        <v>1991</v>
      </c>
      <c r="D997" s="238">
        <v>44312</v>
      </c>
      <c r="E997" s="121" t="s">
        <v>979</v>
      </c>
      <c r="F997" s="237">
        <v>44313</v>
      </c>
      <c r="G997" s="237">
        <f>Table1[[#This Row],[Start Date]]</f>
        <v>44313</v>
      </c>
      <c r="H997" s="251"/>
      <c r="I997" s="618"/>
      <c r="J997" s="179" t="str">
        <f>Table1[[#This Row],[Routine Activities (PM/ PMCAL, CM, Genba, Isotanker, Material Readiness, Sampling)]]</f>
        <v>Reactor 2 PM/PMCAL</v>
      </c>
    </row>
    <row r="998" spans="3:10" ht="15" hidden="1" customHeight="1" x14ac:dyDescent="0.35">
      <c r="C998" s="671" t="s">
        <v>1977</v>
      </c>
      <c r="D998" s="238">
        <v>44312</v>
      </c>
      <c r="E998" s="121" t="s">
        <v>1637</v>
      </c>
      <c r="F998" s="237">
        <v>44313</v>
      </c>
      <c r="G998" s="237">
        <f>Table1[[#This Row],[Start Date]]</f>
        <v>44313</v>
      </c>
      <c r="H998" s="251"/>
      <c r="I998" s="618"/>
      <c r="J998" s="179" t="str">
        <f>Table1[[#This Row],[Routine Activities (PM/ PMCAL, CM, Genba, Isotanker, Material Readiness, Sampling)]]</f>
        <v>Lifter Statutory PM</v>
      </c>
    </row>
    <row r="999" spans="3:10" ht="15" hidden="1" customHeight="1" x14ac:dyDescent="0.35">
      <c r="C999" s="671" t="s">
        <v>1992</v>
      </c>
      <c r="D999" s="238">
        <v>44312</v>
      </c>
      <c r="E999" s="121" t="s">
        <v>979</v>
      </c>
      <c r="F999" s="237">
        <v>44315</v>
      </c>
      <c r="G999" s="237">
        <f>Table1[[#This Row],[Start Date]]</f>
        <v>44315</v>
      </c>
      <c r="H999" s="251"/>
      <c r="I999" s="618"/>
      <c r="J999" s="179" t="str">
        <f>Table1[[#This Row],[Routine Activities (PM/ PMCAL, CM, Genba, Isotanker, Material Readiness, Sampling)]]</f>
        <v>FD/ glovebox PMCAL</v>
      </c>
    </row>
    <row r="1000" spans="3:10" ht="15" hidden="1" customHeight="1" x14ac:dyDescent="0.35">
      <c r="C1000" s="671" t="s">
        <v>1882</v>
      </c>
      <c r="D1000" s="238">
        <v>44312</v>
      </c>
      <c r="E1000" s="121" t="s">
        <v>1934</v>
      </c>
      <c r="F1000" s="237">
        <v>44315</v>
      </c>
      <c r="G1000" s="237">
        <f>Table1[[#This Row],[Start Date]]</f>
        <v>44315</v>
      </c>
      <c r="H1000" s="251"/>
      <c r="I1000" s="618"/>
      <c r="J1000" s="179" t="str">
        <f>Table1[[#This Row],[Routine Activities (PM/ PMCAL, CM, Genba, Isotanker, Material Readiness, Sampling)]]</f>
        <v>Compressed air gen system PM: B-01 to B-03</v>
      </c>
    </row>
    <row r="1001" spans="3:10" ht="15" hidden="1" customHeight="1" x14ac:dyDescent="0.35">
      <c r="C1001" s="671" t="s">
        <v>1993</v>
      </c>
      <c r="D1001" s="238">
        <v>44312</v>
      </c>
      <c r="E1001" s="121" t="s">
        <v>979</v>
      </c>
      <c r="F1001" s="237">
        <v>44316</v>
      </c>
      <c r="G1001" s="237">
        <f>Table1[[#This Row],[Start Date]]</f>
        <v>44316</v>
      </c>
      <c r="H1001" s="251"/>
      <c r="I1001" s="618"/>
      <c r="J1001" s="179" t="str">
        <f>Table1[[#This Row],[Routine Activities (PM/ PMCAL, CM, Genba, Isotanker, Material Readiness, Sampling)]]</f>
        <v>FD/ glovebox PM</v>
      </c>
    </row>
    <row r="1002" spans="3:10" ht="15" hidden="1" customHeight="1" x14ac:dyDescent="0.35">
      <c r="C1002" s="671" t="s">
        <v>1994</v>
      </c>
      <c r="D1002" s="238">
        <v>44319</v>
      </c>
      <c r="E1002" s="121" t="s">
        <v>773</v>
      </c>
      <c r="F1002" s="237">
        <v>44320</v>
      </c>
      <c r="G1002" s="237">
        <f>Table1[[#This Row],[Start Date]]</f>
        <v>44320</v>
      </c>
      <c r="H1002" s="251"/>
      <c r="I1002" s="618"/>
      <c r="J1002" s="179" t="str">
        <f>Table1[[#This Row],[Routine Activities (PM/ PMCAL, CM, Genba, Isotanker, Material Readiness, Sampling)]]</f>
        <v>Hydrog TCU PMCAL</v>
      </c>
    </row>
    <row r="1003" spans="3:10" ht="15" hidden="1" customHeight="1" x14ac:dyDescent="0.35">
      <c r="C1003" s="671" t="s">
        <v>1595</v>
      </c>
      <c r="D1003" s="238">
        <v>44319</v>
      </c>
      <c r="E1003" s="121" t="s">
        <v>1934</v>
      </c>
      <c r="F1003" s="237">
        <v>44322</v>
      </c>
      <c r="G1003" s="237">
        <f>Table1[[#This Row],[Start Date]]</f>
        <v>44322</v>
      </c>
      <c r="H1003" s="251"/>
      <c r="I1003" s="618"/>
      <c r="J1003" s="179" t="str">
        <f>Table1[[#This Row],[Routine Activities (PM/ PMCAL, CM, Genba, Isotanker, Material Readiness, Sampling)]]</f>
        <v>Chilled water gen PM</v>
      </c>
    </row>
    <row r="1004" spans="3:10" ht="15" hidden="1" customHeight="1" x14ac:dyDescent="0.35">
      <c r="C1004" s="671" t="s">
        <v>1995</v>
      </c>
      <c r="D1004" s="238">
        <v>44319</v>
      </c>
      <c r="E1004" s="121" t="s">
        <v>773</v>
      </c>
      <c r="F1004" s="237">
        <v>44324</v>
      </c>
      <c r="G1004" s="237">
        <f>Table1[[#This Row],[Start Date]]</f>
        <v>44324</v>
      </c>
      <c r="H1004" s="251"/>
      <c r="I1004" s="618"/>
      <c r="J1004" s="179" t="str">
        <f>Table1[[#This Row],[Routine Activities (PM/ PMCAL, CM, Genba, Isotanker, Material Readiness, Sampling)]]</f>
        <v>Scrubber FA PM</v>
      </c>
    </row>
    <row r="1005" spans="3:10" ht="15" hidden="1" customHeight="1" x14ac:dyDescent="0.35">
      <c r="C1005" s="671" t="s">
        <v>1996</v>
      </c>
      <c r="D1005" s="238">
        <v>44319</v>
      </c>
      <c r="E1005" s="121" t="s">
        <v>773</v>
      </c>
      <c r="F1005" s="237">
        <v>44325</v>
      </c>
      <c r="G1005" s="237">
        <f>Table1[[#This Row],[Start Date]]</f>
        <v>44325</v>
      </c>
      <c r="H1005" s="251"/>
      <c r="I1005" s="618"/>
      <c r="J1005" s="179" t="str">
        <f>Table1[[#This Row],[Routine Activities (PM/ PMCAL, CM, Genba, Isotanker, Material Readiness, Sampling)]]</f>
        <v>Scrubber PMCAL</v>
      </c>
    </row>
    <row r="1006" spans="3:10" ht="15" hidden="1" customHeight="1" x14ac:dyDescent="0.35">
      <c r="C1006" s="671" t="s">
        <v>792</v>
      </c>
      <c r="D1006" s="238">
        <v>44312</v>
      </c>
      <c r="E1006" s="121" t="s">
        <v>1953</v>
      </c>
      <c r="F1006" s="237">
        <v>44317</v>
      </c>
      <c r="G1006" s="237">
        <f>Table1[[#This Row],[Start Date]]</f>
        <v>44317</v>
      </c>
      <c r="H1006" s="251"/>
      <c r="I1006" s="618"/>
      <c r="J1006" s="179" t="str">
        <f>Table1[[#This Row],[Routine Activities (PM/ PMCAL, CM, Genba, Isotanker, Material Readiness, Sampling)]]</f>
        <v>Waste offloading - Aq</v>
      </c>
    </row>
    <row r="1007" spans="3:10" ht="15" hidden="1" customHeight="1" x14ac:dyDescent="0.35">
      <c r="C1007" s="671" t="s">
        <v>1099</v>
      </c>
      <c r="D1007" s="238">
        <v>44319</v>
      </c>
      <c r="E1007" s="121" t="s">
        <v>1953</v>
      </c>
      <c r="F1007" s="237">
        <v>44320</v>
      </c>
      <c r="G1007" s="237">
        <f>Table1[[#This Row],[Start Date]]</f>
        <v>44320</v>
      </c>
      <c r="H1007" s="251"/>
      <c r="I1007" s="618"/>
      <c r="J1007" s="179" t="str">
        <f>Table1[[#This Row],[Routine Activities (PM/ PMCAL, CM, Genba, Isotanker, Material Readiness, Sampling)]]</f>
        <v xml:space="preserve">Waste offloading - Org </v>
      </c>
    </row>
    <row r="1008" spans="3:10" ht="15" hidden="1" customHeight="1" x14ac:dyDescent="0.35">
      <c r="C1008" s="671" t="s">
        <v>1750</v>
      </c>
      <c r="D1008" s="238">
        <v>44319</v>
      </c>
      <c r="E1008" s="121" t="s">
        <v>377</v>
      </c>
      <c r="F1008" s="237">
        <v>44322</v>
      </c>
      <c r="G1008" s="237">
        <f>Table1[[#This Row],[Start Date]]</f>
        <v>44322</v>
      </c>
      <c r="H1008" s="251"/>
      <c r="I1008" s="618"/>
      <c r="J1008" s="179" t="str">
        <f>Table1[[#This Row],[Routine Activities (PM/ PMCAL, CM, Genba, Isotanker, Material Readiness, Sampling)]]</f>
        <v xml:space="preserve">N2 loading </v>
      </c>
    </row>
    <row r="1009" spans="3:10" ht="15" hidden="1" customHeight="1" x14ac:dyDescent="0.35">
      <c r="C1009" s="671" t="s">
        <v>1997</v>
      </c>
      <c r="D1009" s="238">
        <v>44319</v>
      </c>
      <c r="E1009" s="121" t="s">
        <v>1885</v>
      </c>
      <c r="F1009" s="237">
        <v>44319</v>
      </c>
      <c r="G1009" s="237">
        <f>Table1[[#This Row],[Start Date]]</f>
        <v>44319</v>
      </c>
      <c r="H1009" s="251"/>
      <c r="I1009" s="618"/>
      <c r="J1009" s="179" t="str">
        <f>Table1[[#This Row],[Routine Activities (PM/ PMCAL, CM, Genba, Isotanker, Material Readiness, Sampling)]]</f>
        <v>Genba - KHCO3 phase cuts</v>
      </c>
    </row>
    <row r="1010" spans="3:10" ht="15" hidden="1" customHeight="1" x14ac:dyDescent="0.35">
      <c r="C1010" s="671" t="s">
        <v>1998</v>
      </c>
      <c r="D1010" s="238">
        <v>44319</v>
      </c>
      <c r="E1010" s="121" t="s">
        <v>891</v>
      </c>
      <c r="F1010" s="237">
        <v>44319</v>
      </c>
      <c r="G1010" s="237">
        <f>Table1[[#This Row],[Start Date]]</f>
        <v>44319</v>
      </c>
      <c r="H1010" s="251"/>
      <c r="I1010" s="618"/>
      <c r="J1010" s="179" t="str">
        <f>Table1[[#This Row],[Routine Activities (PM/ PMCAL, CM, Genba, Isotanker, Material Readiness, Sampling)]]</f>
        <v>QoP - Solution prep</v>
      </c>
    </row>
    <row r="1011" spans="3:10" ht="15" hidden="1" customHeight="1" x14ac:dyDescent="0.35">
      <c r="C1011" s="671" t="s">
        <v>1409</v>
      </c>
      <c r="D1011" s="238">
        <v>44326</v>
      </c>
      <c r="E1011" s="121" t="s">
        <v>433</v>
      </c>
      <c r="F1011" s="237"/>
      <c r="G1011" s="237">
        <f>Table1[[#This Row],[Start Date]]</f>
        <v>0</v>
      </c>
      <c r="H1011" s="251" t="s">
        <v>462</v>
      </c>
      <c r="I1011" s="618"/>
      <c r="J1011" s="179" t="str">
        <f>Table1[[#This Row],[Routine Activities (PM/ PMCAL, CM, Genba, Isotanker, Material Readiness, Sampling)]]</f>
        <v>Waste offloading - Aq (not req)</v>
      </c>
    </row>
    <row r="1012" spans="3:10" ht="15" hidden="1" customHeight="1" x14ac:dyDescent="0.35">
      <c r="C1012" s="671" t="s">
        <v>1658</v>
      </c>
      <c r="D1012" s="238">
        <v>44326</v>
      </c>
      <c r="E1012" s="121" t="s">
        <v>433</v>
      </c>
      <c r="F1012" s="237"/>
      <c r="G1012" s="237">
        <f>Table1[[#This Row],[Start Date]]</f>
        <v>0</v>
      </c>
      <c r="H1012" s="251" t="s">
        <v>462</v>
      </c>
      <c r="I1012" s="618"/>
      <c r="J1012" s="179" t="str">
        <f>Table1[[#This Row],[Routine Activities (PM/ PMCAL, CM, Genba, Isotanker, Material Readiness, Sampling)]]</f>
        <v>Waste offloading - Org (not req)</v>
      </c>
    </row>
    <row r="1013" spans="3:10" ht="15" hidden="1" customHeight="1" x14ac:dyDescent="0.35">
      <c r="C1013" s="671" t="s">
        <v>1750</v>
      </c>
      <c r="D1013" s="238">
        <v>44326</v>
      </c>
      <c r="E1013" s="121" t="s">
        <v>377</v>
      </c>
      <c r="F1013" s="237">
        <v>44328</v>
      </c>
      <c r="G1013" s="237">
        <f>Table1[[#This Row],[Start Date]]</f>
        <v>44328</v>
      </c>
      <c r="H1013" s="251"/>
      <c r="I1013" s="618"/>
      <c r="J1013" s="179" t="str">
        <f>Table1[[#This Row],[Routine Activities (PM/ PMCAL, CM, Genba, Isotanker, Material Readiness, Sampling)]]</f>
        <v xml:space="preserve">N2 loading </v>
      </c>
    </row>
    <row r="1014" spans="3:10" ht="15" hidden="1" customHeight="1" x14ac:dyDescent="0.35">
      <c r="C1014" s="671" t="s">
        <v>957</v>
      </c>
      <c r="D1014" s="238">
        <v>44326</v>
      </c>
      <c r="E1014" s="121" t="s">
        <v>377</v>
      </c>
      <c r="F1014" s="237">
        <v>44327</v>
      </c>
      <c r="G1014" s="237">
        <f>Table1[[#This Row],[Start Date]]</f>
        <v>44327</v>
      </c>
      <c r="H1014" s="251"/>
      <c r="I1014" s="618"/>
      <c r="J1014" s="179" t="str">
        <f>Table1[[#This Row],[Routine Activities (PM/ PMCAL, CM, Genba, Isotanker, Material Readiness, Sampling)]]</f>
        <v xml:space="preserve">Solvent loading - MeOH </v>
      </c>
    </row>
    <row r="1015" spans="3:10" ht="15" hidden="1" customHeight="1" x14ac:dyDescent="0.35">
      <c r="C1015" s="671" t="s">
        <v>1999</v>
      </c>
      <c r="D1015" s="238">
        <v>44326</v>
      </c>
      <c r="E1015" s="121" t="s">
        <v>1885</v>
      </c>
      <c r="F1015" s="237">
        <v>44328</v>
      </c>
      <c r="G1015" s="237">
        <f>Table1[[#This Row],[Start Date]]</f>
        <v>44328</v>
      </c>
      <c r="H1015" s="251"/>
      <c r="I1015" s="618"/>
      <c r="J1015" s="179" t="str">
        <f>Table1[[#This Row],[Routine Activities (PM/ PMCAL, CM, Genba, Isotanker, Material Readiness, Sampling)]]</f>
        <v>Genba - nitrogen loading (duty tech)</v>
      </c>
    </row>
    <row r="1016" spans="3:10" ht="15" hidden="1" customHeight="1" x14ac:dyDescent="0.35">
      <c r="C1016" s="671" t="s">
        <v>2000</v>
      </c>
      <c r="D1016" s="238">
        <v>44326</v>
      </c>
      <c r="E1016" s="121" t="s">
        <v>891</v>
      </c>
      <c r="F1016" s="237">
        <v>44327</v>
      </c>
      <c r="G1016" s="237">
        <f>Table1[[#This Row],[Start Date]]</f>
        <v>44327</v>
      </c>
      <c r="H1016" s="251"/>
      <c r="I1016" s="618"/>
      <c r="J1016" s="179" t="str">
        <f>Table1[[#This Row],[Routine Activities (PM/ PMCAL, CM, Genba, Isotanker, Material Readiness, Sampling)]]</f>
        <v>QoP - IPC sampling</v>
      </c>
    </row>
    <row r="1017" spans="3:10" ht="15" hidden="1" customHeight="1" x14ac:dyDescent="0.35">
      <c r="C1017" s="671" t="s">
        <v>2001</v>
      </c>
      <c r="D1017" s="238">
        <v>44326</v>
      </c>
      <c r="E1017" s="121" t="s">
        <v>2002</v>
      </c>
      <c r="F1017" s="237">
        <v>44330</v>
      </c>
      <c r="G1017" s="237">
        <f>Table1[[#This Row],[Start Date]]</f>
        <v>44330</v>
      </c>
      <c r="H1017" s="251"/>
      <c r="I1017" s="618"/>
      <c r="J1017" s="179" t="str">
        <f>Table1[[#This Row],[Routine Activities (PM/ PMCAL, CM, Genba, Isotanker, Material Readiness, Sampling)]]</f>
        <v>Inspection readiness walk - M103 and M101</v>
      </c>
    </row>
    <row r="1018" spans="3:10" ht="15" hidden="1" customHeight="1" x14ac:dyDescent="0.35">
      <c r="C1018" s="671" t="s">
        <v>2003</v>
      </c>
      <c r="D1018" s="238">
        <v>44326</v>
      </c>
      <c r="E1018" s="121" t="s">
        <v>418</v>
      </c>
      <c r="F1018" s="237">
        <v>44328</v>
      </c>
      <c r="G1018" s="237">
        <f>Table1[[#This Row],[Start Date]]</f>
        <v>44328</v>
      </c>
      <c r="H1018" s="251"/>
      <c r="I1018" s="618"/>
      <c r="J1018" s="179" t="str">
        <f>Table1[[#This Row],[Routine Activities (PM/ PMCAL, CM, Genba, Isotanker, Material Readiness, Sampling)]]</f>
        <v>Material Readiness for next batch (A2-5 &amp; A2-6)</v>
      </c>
    </row>
    <row r="1019" spans="3:10" ht="15" hidden="1" customHeight="1" x14ac:dyDescent="0.35">
      <c r="C1019" s="671" t="s">
        <v>2004</v>
      </c>
      <c r="D1019" s="238">
        <v>44326</v>
      </c>
      <c r="E1019" s="121" t="s">
        <v>979</v>
      </c>
      <c r="F1019" s="237">
        <v>44326</v>
      </c>
      <c r="G1019" s="237">
        <f>Table1[[#This Row],[Start Date]]</f>
        <v>44326</v>
      </c>
      <c r="H1019" s="251"/>
      <c r="I1019" s="618"/>
      <c r="J1019" s="179" t="str">
        <f>Table1[[#This Row],[Routine Activities (PM/ PMCAL, CM, Genba, Isotanker, Material Readiness, Sampling)]]</f>
        <v>Balance &amp; floor scale PMCAL</v>
      </c>
    </row>
    <row r="1020" spans="3:10" ht="15" hidden="1" customHeight="1" x14ac:dyDescent="0.35">
      <c r="C1020" s="671" t="s">
        <v>2005</v>
      </c>
      <c r="D1020" s="238">
        <v>44326</v>
      </c>
      <c r="E1020" s="121" t="s">
        <v>1922</v>
      </c>
      <c r="F1020" s="237">
        <v>44326</v>
      </c>
      <c r="G1020" s="237">
        <f>Table1[[#This Row],[Start Date]]</f>
        <v>44326</v>
      </c>
      <c r="H1020" s="251"/>
      <c r="I1020" s="618"/>
      <c r="J1020" s="179" t="str">
        <f>Table1[[#This Row],[Routine Activities (PM/ PMCAL, CM, Genba, Isotanker, Material Readiness, Sampling)]]</f>
        <v>WH lifter PMCAL</v>
      </c>
    </row>
    <row r="1021" spans="3:10" ht="15" hidden="1" customHeight="1" x14ac:dyDescent="0.35">
      <c r="C1021" s="671" t="s">
        <v>2006</v>
      </c>
      <c r="D1021" s="238">
        <v>44326</v>
      </c>
      <c r="E1021" s="121" t="s">
        <v>1637</v>
      </c>
      <c r="F1021" s="237">
        <v>44327</v>
      </c>
      <c r="G1021" s="237">
        <f>Table1[[#This Row],[Start Date]]</f>
        <v>44327</v>
      </c>
      <c r="H1021" s="251"/>
      <c r="I1021" s="618"/>
      <c r="J1021" s="179" t="str">
        <f>Table1[[#This Row],[Routine Activities (PM/ PMCAL, CM, Genba, Isotanker, Material Readiness, Sampling)]]</f>
        <v>PD hood filter change</v>
      </c>
    </row>
    <row r="1022" spans="3:10" ht="15" hidden="1" customHeight="1" x14ac:dyDescent="0.35">
      <c r="C1022" s="671" t="s">
        <v>2007</v>
      </c>
      <c r="D1022" s="238">
        <v>44326</v>
      </c>
      <c r="E1022" s="121" t="s">
        <v>854</v>
      </c>
      <c r="F1022" s="237">
        <v>44327</v>
      </c>
      <c r="G1022" s="237">
        <f>Table1[[#This Row],[Start Date]]</f>
        <v>44327</v>
      </c>
      <c r="H1022" s="251"/>
      <c r="I1022" s="618"/>
      <c r="J1022" s="179" t="str">
        <f>Table1[[#This Row],[Routine Activities (PM/ PMCAL, CM, Genba, Isotanker, Material Readiness, Sampling)]]</f>
        <v>Pur water skid PM</v>
      </c>
    </row>
    <row r="1023" spans="3:10" ht="15" hidden="1" customHeight="1" x14ac:dyDescent="0.35">
      <c r="C1023" s="671" t="s">
        <v>1892</v>
      </c>
      <c r="D1023" s="238">
        <v>44326</v>
      </c>
      <c r="E1023" s="121" t="s">
        <v>1149</v>
      </c>
      <c r="F1023" s="237">
        <v>44331</v>
      </c>
      <c r="G1023" s="237">
        <f>Table1[[#This Row],[Start Date]]</f>
        <v>44331</v>
      </c>
      <c r="H1023" s="251"/>
      <c r="I1023" s="618"/>
      <c r="J1023" s="179" t="str">
        <f>Table1[[#This Row],[Routine Activities (PM/ PMCAL, CM, Genba, Isotanker, Material Readiness, Sampling)]]</f>
        <v>QC pipette PMCAL</v>
      </c>
    </row>
    <row r="1024" spans="3:10" ht="15" hidden="1" customHeight="1" x14ac:dyDescent="0.35">
      <c r="C1024" s="671" t="s">
        <v>2008</v>
      </c>
      <c r="D1024" s="238">
        <v>44326</v>
      </c>
      <c r="E1024" s="121" t="s">
        <v>854</v>
      </c>
      <c r="F1024" s="237">
        <v>44331</v>
      </c>
      <c r="G1024" s="237">
        <v>44332</v>
      </c>
      <c r="H1024" s="251"/>
      <c r="I1024" s="618"/>
      <c r="J1024" s="179" t="str">
        <f>Table1[[#This Row],[Routine Activities (PM/ PMCAL, CM, Genba, Isotanker, Material Readiness, Sampling)]]</f>
        <v>Pur water skid PMCAL</v>
      </c>
    </row>
    <row r="1025" spans="3:10" ht="15" hidden="1" customHeight="1" x14ac:dyDescent="0.35">
      <c r="C1025" s="671" t="s">
        <v>2009</v>
      </c>
      <c r="D1025" s="238">
        <v>44326</v>
      </c>
      <c r="E1025" s="121" t="s">
        <v>1149</v>
      </c>
      <c r="F1025" s="237">
        <v>44331</v>
      </c>
      <c r="G1025" s="237">
        <f>Table1[[#This Row],[Start Date]]</f>
        <v>44331</v>
      </c>
      <c r="H1025" s="251"/>
      <c r="I1025" s="618"/>
      <c r="J1025" s="179" t="str">
        <f>Table1[[#This Row],[Routine Activities (PM/ PMCAL, CM, Genba, Isotanker, Material Readiness, Sampling)]]</f>
        <v>QC quartz plate</v>
      </c>
    </row>
    <row r="1026" spans="3:10" ht="15" hidden="1" customHeight="1" x14ac:dyDescent="0.35">
      <c r="C1026" s="671" t="s">
        <v>1409</v>
      </c>
      <c r="D1026" s="238">
        <v>44333</v>
      </c>
      <c r="E1026" s="121" t="s">
        <v>433</v>
      </c>
      <c r="F1026" s="237"/>
      <c r="G1026" s="237">
        <f>Table1[[#This Row],[Start Date]]</f>
        <v>0</v>
      </c>
      <c r="H1026" s="251" t="s">
        <v>462</v>
      </c>
      <c r="I1026" s="618"/>
      <c r="J1026" s="179" t="str">
        <f>Table1[[#This Row],[Routine Activities (PM/ PMCAL, CM, Genba, Isotanker, Material Readiness, Sampling)]]</f>
        <v>Waste offloading - Aq (not req)</v>
      </c>
    </row>
    <row r="1027" spans="3:10" ht="15" hidden="1" customHeight="1" x14ac:dyDescent="0.35">
      <c r="C1027" s="671" t="s">
        <v>1658</v>
      </c>
      <c r="D1027" s="238">
        <v>44333</v>
      </c>
      <c r="E1027" s="121" t="s">
        <v>433</v>
      </c>
      <c r="F1027" s="237"/>
      <c r="G1027" s="237">
        <f>Table1[[#This Row],[Start Date]]</f>
        <v>0</v>
      </c>
      <c r="H1027" s="251" t="s">
        <v>462</v>
      </c>
      <c r="I1027" s="618"/>
      <c r="J1027" s="179" t="str">
        <f>Table1[[#This Row],[Routine Activities (PM/ PMCAL, CM, Genba, Isotanker, Material Readiness, Sampling)]]</f>
        <v>Waste offloading - Org (not req)</v>
      </c>
    </row>
    <row r="1028" spans="3:10" ht="15" hidden="1" customHeight="1" x14ac:dyDescent="0.35">
      <c r="C1028" s="671" t="s">
        <v>1750</v>
      </c>
      <c r="D1028" s="238">
        <v>44333</v>
      </c>
      <c r="E1028" s="121" t="s">
        <v>377</v>
      </c>
      <c r="F1028" s="237">
        <v>44337</v>
      </c>
      <c r="G1028" s="237">
        <f>Table1[[#This Row],[Start Date]]</f>
        <v>44337</v>
      </c>
      <c r="H1028" s="251"/>
      <c r="I1028" s="618"/>
      <c r="J1028" s="179" t="str">
        <f>Table1[[#This Row],[Routine Activities (PM/ PMCAL, CM, Genba, Isotanker, Material Readiness, Sampling)]]</f>
        <v xml:space="preserve">N2 loading </v>
      </c>
    </row>
    <row r="1029" spans="3:10" ht="15" hidden="1" customHeight="1" x14ac:dyDescent="0.35">
      <c r="C1029" s="671" t="s">
        <v>2010</v>
      </c>
      <c r="D1029" s="238">
        <v>44333</v>
      </c>
      <c r="E1029" s="121" t="s">
        <v>377</v>
      </c>
      <c r="F1029" s="237">
        <v>44335</v>
      </c>
      <c r="G1029" s="237">
        <f>Table1[[#This Row],[Start Date]]</f>
        <v>44335</v>
      </c>
      <c r="H1029" s="251"/>
      <c r="I1029" s="618"/>
      <c r="J1029" s="179" t="str">
        <f>Table1[[#This Row],[Routine Activities (PM/ PMCAL, CM, Genba, Isotanker, Material Readiness, Sampling)]]</f>
        <v xml:space="preserve">Ethyl acetate top up </v>
      </c>
    </row>
    <row r="1030" spans="3:10" ht="15" hidden="1" customHeight="1" x14ac:dyDescent="0.35">
      <c r="C1030" s="671" t="s">
        <v>2011</v>
      </c>
      <c r="D1030" s="238">
        <v>44333</v>
      </c>
      <c r="E1030" s="121" t="s">
        <v>1885</v>
      </c>
      <c r="F1030" s="237">
        <v>44337</v>
      </c>
      <c r="G1030" s="237">
        <f>Table1[[#This Row],[Start Date]]</f>
        <v>44337</v>
      </c>
      <c r="H1030" s="251"/>
      <c r="I1030" s="618"/>
      <c r="J1030" s="179" t="str">
        <f>Table1[[#This Row],[Routine Activities (PM/ PMCAL, CM, Genba, Isotanker, Material Readiness, Sampling)]]</f>
        <v>Genba - N2 loading</v>
      </c>
    </row>
    <row r="1031" spans="3:10" ht="15" hidden="1" customHeight="1" x14ac:dyDescent="0.35">
      <c r="C1031" s="671" t="s">
        <v>2012</v>
      </c>
      <c r="D1031" s="238">
        <v>44333</v>
      </c>
      <c r="E1031" s="121" t="s">
        <v>1885</v>
      </c>
      <c r="F1031" s="237">
        <v>44336</v>
      </c>
      <c r="G1031" s="237">
        <f>Table1[[#This Row],[Start Date]]</f>
        <v>44336</v>
      </c>
      <c r="H1031" s="251"/>
      <c r="I1031" s="618"/>
      <c r="J1031" s="179" t="str">
        <f>Table1[[#This Row],[Routine Activities (PM/ PMCAL, CM, Genba, Isotanker, Material Readiness, Sampling)]]</f>
        <v>Genba - Scrubber draining (CI)</v>
      </c>
    </row>
    <row r="1032" spans="3:10" ht="15" hidden="1" customHeight="1" x14ac:dyDescent="0.35">
      <c r="C1032" s="671" t="s">
        <v>2013</v>
      </c>
      <c r="D1032" s="238">
        <v>44333</v>
      </c>
      <c r="E1032" s="121" t="s">
        <v>1761</v>
      </c>
      <c r="F1032" s="237">
        <v>44334</v>
      </c>
      <c r="G1032" s="237">
        <f>Table1[[#This Row],[Start Date]]</f>
        <v>44334</v>
      </c>
      <c r="H1032" s="251"/>
      <c r="I1032" s="618"/>
      <c r="J1032" s="179" t="str">
        <f>Table1[[#This Row],[Routine Activities (PM/ PMCAL, CM, Genba, Isotanker, Material Readiness, Sampling)]]</f>
        <v>QoP - TBD</v>
      </c>
    </row>
    <row r="1033" spans="3:10" ht="15" hidden="1" customHeight="1" x14ac:dyDescent="0.35">
      <c r="C1033" s="671" t="s">
        <v>2014</v>
      </c>
      <c r="D1033" s="238">
        <v>44333</v>
      </c>
      <c r="E1033" s="121" t="s">
        <v>1356</v>
      </c>
      <c r="F1033" s="237">
        <v>44334</v>
      </c>
      <c r="G1033" s="237">
        <f>Table1[[#This Row],[Start Date]]</f>
        <v>44334</v>
      </c>
      <c r="H1033" s="251"/>
      <c r="I1033" s="618"/>
      <c r="J1033" s="179" t="str">
        <f>Table1[[#This Row],[Routine Activities (PM/ PMCAL, CM, Genba, Isotanker, Material Readiness, Sampling)]]</f>
        <v>Inspection Readiness walk - Remaining production rooms (except M101 &amp; M103)</v>
      </c>
    </row>
    <row r="1034" spans="3:10" ht="15" hidden="1" customHeight="1" x14ac:dyDescent="0.35">
      <c r="C1034" s="671" t="s">
        <v>2015</v>
      </c>
      <c r="D1034" s="238">
        <v>44333</v>
      </c>
      <c r="E1034" s="121" t="s">
        <v>1934</v>
      </c>
      <c r="F1034" s="237">
        <v>44333</v>
      </c>
      <c r="G1034" s="237">
        <f>Table1[[#This Row],[Start Date]]</f>
        <v>44333</v>
      </c>
      <c r="H1034" s="251"/>
      <c r="I1034" s="618"/>
      <c r="J1034" s="179" t="str">
        <f>Table1[[#This Row],[Routine Activities (PM/ PMCAL, CM, Genba, Isotanker, Material Readiness, Sampling)]]</f>
        <v>Nitrogen pressure switch PMCAL</v>
      </c>
    </row>
    <row r="1035" spans="3:10" ht="15" hidden="1" customHeight="1" x14ac:dyDescent="0.35">
      <c r="C1035" s="671" t="s">
        <v>2016</v>
      </c>
      <c r="D1035" s="238">
        <v>44333</v>
      </c>
      <c r="E1035" s="121" t="s">
        <v>1934</v>
      </c>
      <c r="F1035" s="237">
        <v>44333</v>
      </c>
      <c r="G1035" s="237">
        <f>Table1[[#This Row],[Start Date]]</f>
        <v>44333</v>
      </c>
      <c r="H1035" s="251"/>
      <c r="I1035" s="618"/>
      <c r="J1035" s="179" t="str">
        <f>Table1[[#This Row],[Routine Activities (PM/ PMCAL, CM, Genba, Isotanker, Material Readiness, Sampling)]]</f>
        <v>Cold room TT PMCAL</v>
      </c>
    </row>
    <row r="1036" spans="3:10" ht="15" hidden="1" customHeight="1" x14ac:dyDescent="0.35">
      <c r="C1036" s="671" t="s">
        <v>2017</v>
      </c>
      <c r="D1036" s="238">
        <v>44333</v>
      </c>
      <c r="E1036" s="121" t="s">
        <v>854</v>
      </c>
      <c r="F1036" s="237">
        <v>44334</v>
      </c>
      <c r="G1036" s="237">
        <f>Table1[[#This Row],[Start Date]]</f>
        <v>44334</v>
      </c>
      <c r="H1036" s="251"/>
      <c r="I1036" s="618"/>
      <c r="J1036" s="179" t="str">
        <f>Table1[[#This Row],[Routine Activities (PM/ PMCAL, CM, Genba, Isotanker, Material Readiness, Sampling)]]</f>
        <v>Local vent hose replacement</v>
      </c>
    </row>
    <row r="1037" spans="3:10" ht="15" hidden="1" customHeight="1" x14ac:dyDescent="0.35">
      <c r="C1037" s="671" t="s">
        <v>2018</v>
      </c>
      <c r="D1037" s="238">
        <v>44333</v>
      </c>
      <c r="E1037" s="121" t="s">
        <v>1934</v>
      </c>
      <c r="F1037" s="237">
        <v>44334</v>
      </c>
      <c r="G1037" s="237">
        <f>Table1[[#This Row],[Start Date]]</f>
        <v>44334</v>
      </c>
      <c r="H1037" s="251"/>
      <c r="I1037" s="618"/>
      <c r="J1037" s="179" t="str">
        <f>Table1[[#This Row],[Routine Activities (PM/ PMCAL, CM, Genba, Isotanker, Material Readiness, Sampling)]]</f>
        <v>Hydrog cylin skid flame arrester PM</v>
      </c>
    </row>
    <row r="1038" spans="3:10" ht="15" hidden="1" customHeight="1" x14ac:dyDescent="0.35">
      <c r="C1038" s="671" t="s">
        <v>913</v>
      </c>
      <c r="D1038" s="238">
        <v>44333</v>
      </c>
      <c r="E1038" s="121" t="s">
        <v>1598</v>
      </c>
      <c r="F1038" s="237">
        <v>44335</v>
      </c>
      <c r="G1038" s="237">
        <f>Table1[[#This Row],[Start Date]]</f>
        <v>44335</v>
      </c>
      <c r="H1038" s="251"/>
      <c r="I1038" s="618"/>
      <c r="J1038" s="179" t="str">
        <f>Table1[[#This Row],[Routine Activities (PM/ PMCAL, CM, Genba, Isotanker, Material Readiness, Sampling)]]</f>
        <v>Standby gen PM</v>
      </c>
    </row>
    <row r="1039" spans="3:10" ht="15" hidden="1" customHeight="1" x14ac:dyDescent="0.35">
      <c r="C1039" s="671" t="s">
        <v>2019</v>
      </c>
      <c r="D1039" s="238">
        <v>44333</v>
      </c>
      <c r="E1039" s="121" t="s">
        <v>773</v>
      </c>
      <c r="F1039" s="237">
        <v>44335</v>
      </c>
      <c r="G1039" s="237">
        <f>Table1[[#This Row],[Start Date]]</f>
        <v>44335</v>
      </c>
      <c r="H1039" s="251"/>
      <c r="I1039" s="618"/>
      <c r="J1039" s="179" t="str">
        <f>Table1[[#This Row],[Routine Activities (PM/ PMCAL, CM, Genba, Isotanker, Material Readiness, Sampling)]]</f>
        <v>Tank farm PI CM</v>
      </c>
    </row>
    <row r="1040" spans="3:10" ht="15" hidden="1" customHeight="1" x14ac:dyDescent="0.35">
      <c r="C1040" s="671" t="s">
        <v>2020</v>
      </c>
      <c r="D1040" s="238">
        <v>44333</v>
      </c>
      <c r="E1040" s="121" t="s">
        <v>854</v>
      </c>
      <c r="F1040" s="237">
        <v>44335</v>
      </c>
      <c r="G1040" s="237">
        <f>Table1[[#This Row],[Start Date]]</f>
        <v>44335</v>
      </c>
      <c r="H1040" s="251"/>
      <c r="I1040" s="618"/>
      <c r="J1040" s="179" t="str">
        <f>Table1[[#This Row],[Routine Activities (PM/ PMCAL, CM, Genba, Isotanker, Material Readiness, Sampling)]]</f>
        <v>PUR water skid PMCAL</v>
      </c>
    </row>
    <row r="1041" spans="3:10" ht="15" hidden="1" customHeight="1" x14ac:dyDescent="0.35">
      <c r="C1041" s="671" t="s">
        <v>2021</v>
      </c>
      <c r="D1041" s="238">
        <v>44333</v>
      </c>
      <c r="E1041" s="121" t="s">
        <v>854</v>
      </c>
      <c r="F1041" s="237">
        <v>44338</v>
      </c>
      <c r="G1041" s="237">
        <f>Table1[[#This Row],[Start Date]]</f>
        <v>44338</v>
      </c>
      <c r="H1041" s="251"/>
      <c r="I1041" s="618"/>
      <c r="J1041" s="179" t="str">
        <f>Table1[[#This Row],[Routine Activities (PM/ PMCAL, CM, Genba, Isotanker, Material Readiness, Sampling)]]</f>
        <v>PUR water skid PM</v>
      </c>
    </row>
    <row r="1042" spans="3:10" ht="15" hidden="1" customHeight="1" x14ac:dyDescent="0.35">
      <c r="C1042" s="671" t="s">
        <v>1969</v>
      </c>
      <c r="D1042" s="238">
        <v>44333</v>
      </c>
      <c r="E1042" s="121" t="s">
        <v>1024</v>
      </c>
      <c r="F1042" s="237">
        <v>44339</v>
      </c>
      <c r="G1042" s="237">
        <f>Table1[[#This Row],[Start Date]]</f>
        <v>44339</v>
      </c>
      <c r="H1042" s="251"/>
      <c r="I1042" s="618"/>
      <c r="J1042" s="179" t="str">
        <f>Table1[[#This Row],[Routine Activities (PM/ PMCAL, CM, Genba, Isotanker, Material Readiness, Sampling)]]</f>
        <v>Instrument stnd PMCAL</v>
      </c>
    </row>
    <row r="1043" spans="3:10" ht="15" hidden="1" customHeight="1" x14ac:dyDescent="0.35">
      <c r="C1043" s="671" t="s">
        <v>1099</v>
      </c>
      <c r="D1043" s="238">
        <v>44340</v>
      </c>
      <c r="E1043" s="121" t="s">
        <v>433</v>
      </c>
      <c r="F1043" s="237">
        <v>44344</v>
      </c>
      <c r="G1043" s="237">
        <f>Table1[[#This Row],[Start Date]]</f>
        <v>44344</v>
      </c>
      <c r="H1043" s="251"/>
      <c r="I1043" s="618"/>
      <c r="J1043" s="179" t="str">
        <f>Table1[[#This Row],[Routine Activities (PM/ PMCAL, CM, Genba, Isotanker, Material Readiness, Sampling)]]</f>
        <v xml:space="preserve">Waste offloading - Org </v>
      </c>
    </row>
    <row r="1044" spans="3:10" ht="15" hidden="1" customHeight="1" x14ac:dyDescent="0.35">
      <c r="C1044" s="671" t="s">
        <v>1750</v>
      </c>
      <c r="D1044" s="238">
        <v>44340</v>
      </c>
      <c r="E1044" s="121" t="s">
        <v>377</v>
      </c>
      <c r="F1044" s="237">
        <v>44343</v>
      </c>
      <c r="G1044" s="237">
        <f>Table1[[#This Row],[Start Date]]</f>
        <v>44343</v>
      </c>
      <c r="H1044" s="251"/>
      <c r="I1044" s="618"/>
      <c r="J1044" s="179" t="str">
        <f>Table1[[#This Row],[Routine Activities (PM/ PMCAL, CM, Genba, Isotanker, Material Readiness, Sampling)]]</f>
        <v xml:space="preserve">N2 loading </v>
      </c>
    </row>
    <row r="1045" spans="3:10" ht="15" hidden="1" customHeight="1" x14ac:dyDescent="0.35">
      <c r="C1045" s="671" t="s">
        <v>2022</v>
      </c>
      <c r="D1045" s="238">
        <v>44340</v>
      </c>
      <c r="E1045" s="121" t="s">
        <v>1356</v>
      </c>
      <c r="F1045" s="237"/>
      <c r="G1045" s="237">
        <f>Table1[[#This Row],[Start Date]]</f>
        <v>0</v>
      </c>
      <c r="H1045" s="251"/>
      <c r="I1045" s="618"/>
      <c r="J1045" s="179" t="str">
        <f>Table1[[#This Row],[Routine Activities (PM/ PMCAL, CM, Genba, Isotanker, Material Readiness, Sampling)]]</f>
        <v>Genba - hydrog &amp; hydrog shed</v>
      </c>
    </row>
    <row r="1046" spans="3:10" ht="15" hidden="1" customHeight="1" x14ac:dyDescent="0.35">
      <c r="C1046" s="671" t="s">
        <v>2023</v>
      </c>
      <c r="D1046" s="238">
        <v>44340</v>
      </c>
      <c r="E1046" s="121" t="s">
        <v>891</v>
      </c>
      <c r="F1046" s="237"/>
      <c r="G1046" s="237">
        <f>Table1[[#This Row],[Start Date]]</f>
        <v>0</v>
      </c>
      <c r="H1046" s="251"/>
      <c r="I1046" s="618"/>
      <c r="J1046" s="179" t="str">
        <f>Table1[[#This Row],[Routine Activities (PM/ PMCAL, CM, Genba, Isotanker, Material Readiness, Sampling)]]</f>
        <v>QoP - M105 walkdown</v>
      </c>
    </row>
    <row r="1047" spans="3:10" ht="15" hidden="1" customHeight="1" x14ac:dyDescent="0.35">
      <c r="C1047" s="671" t="s">
        <v>2024</v>
      </c>
      <c r="D1047" s="238">
        <v>44340</v>
      </c>
      <c r="E1047" s="121" t="s">
        <v>2025</v>
      </c>
      <c r="F1047" s="237">
        <v>44343</v>
      </c>
      <c r="G1047" s="237">
        <f>Table1[[#This Row],[Start Date]]</f>
        <v>44343</v>
      </c>
      <c r="H1047" s="251"/>
      <c r="I1047" s="618"/>
      <c r="J1047" s="179" t="str">
        <f>Table1[[#This Row],[Routine Activities (PM/ PMCAL, CM, Genba, Isotanker, Material Readiness, Sampling)]]</f>
        <v>Inspection readiness walkdown (M201 &amp; Tank Farm)</v>
      </c>
    </row>
    <row r="1048" spans="3:10" ht="15" hidden="1" customHeight="1" x14ac:dyDescent="0.35">
      <c r="C1048" s="671" t="s">
        <v>2026</v>
      </c>
      <c r="D1048" s="238">
        <v>44340</v>
      </c>
      <c r="E1048" s="121" t="s">
        <v>418</v>
      </c>
      <c r="F1048" s="237"/>
      <c r="G1048" s="237">
        <f>Table1[[#This Row],[Start Date]]</f>
        <v>0</v>
      </c>
      <c r="H1048" s="251" t="s">
        <v>462</v>
      </c>
      <c r="I1048" s="618"/>
      <c r="J1048" s="179" t="str">
        <f>Table1[[#This Row],[Routine Activities (PM/ PMCAL, CM, Genba, Isotanker, Material Readiness, Sampling)]]</f>
        <v>A2-7 Material Readiness (KIV)</v>
      </c>
    </row>
    <row r="1049" spans="3:10" ht="15" hidden="1" customHeight="1" x14ac:dyDescent="0.35">
      <c r="C1049" s="671" t="s">
        <v>837</v>
      </c>
      <c r="D1049" s="238">
        <v>44340</v>
      </c>
      <c r="E1049" s="121" t="s">
        <v>737</v>
      </c>
      <c r="F1049" s="237"/>
      <c r="G1049" s="237">
        <f>Table1[[#This Row],[Start Date]]</f>
        <v>0</v>
      </c>
      <c r="H1049" s="251" t="s">
        <v>340</v>
      </c>
      <c r="I1049" s="618"/>
      <c r="J1049" s="179" t="str">
        <f>Table1[[#This Row],[Routine Activities (PM/ PMCAL, CM, Genba, Isotanker, Material Readiness, Sampling)]]</f>
        <v>QC Testing Readiness</v>
      </c>
    </row>
    <row r="1050" spans="3:10" ht="15" hidden="1" customHeight="1" x14ac:dyDescent="0.35">
      <c r="C1050" s="671" t="s">
        <v>1383</v>
      </c>
      <c r="D1050" s="238">
        <v>44347</v>
      </c>
      <c r="E1050" s="121" t="s">
        <v>433</v>
      </c>
      <c r="F1050" s="237">
        <v>44347</v>
      </c>
      <c r="G1050" s="237">
        <f>Table1[[#This Row],[Start Date]]</f>
        <v>44347</v>
      </c>
      <c r="H1050" s="251"/>
      <c r="I1050" s="618"/>
      <c r="J1050" s="179" t="str">
        <f>Table1[[#This Row],[Routine Activities (PM/ PMCAL, CM, Genba, Isotanker, Material Readiness, Sampling)]]</f>
        <v xml:space="preserve">Waste offloading - Aq </v>
      </c>
    </row>
    <row r="1051" spans="3:10" ht="15" hidden="1" customHeight="1" x14ac:dyDescent="0.35">
      <c r="C1051" s="671" t="s">
        <v>1099</v>
      </c>
      <c r="D1051" s="238">
        <v>44347</v>
      </c>
      <c r="E1051" s="121" t="s">
        <v>433</v>
      </c>
      <c r="F1051" s="237">
        <v>44349</v>
      </c>
      <c r="G1051" s="237">
        <f>Table1[[#This Row],[Start Date]]</f>
        <v>44349</v>
      </c>
      <c r="H1051" s="251"/>
      <c r="I1051" s="618"/>
      <c r="J1051" s="179" t="str">
        <f>Table1[[#This Row],[Routine Activities (PM/ PMCAL, CM, Genba, Isotanker, Material Readiness, Sampling)]]</f>
        <v xml:space="preserve">Waste offloading - Org </v>
      </c>
    </row>
    <row r="1052" spans="3:10" ht="15" hidden="1" customHeight="1" x14ac:dyDescent="0.35">
      <c r="C1052" s="671" t="s">
        <v>775</v>
      </c>
      <c r="D1052" s="238">
        <v>44347</v>
      </c>
      <c r="E1052" s="121" t="s">
        <v>377</v>
      </c>
      <c r="F1052" s="237">
        <v>44351</v>
      </c>
      <c r="G1052" s="237">
        <f>Table1[[#This Row],[Start Date]]</f>
        <v>44351</v>
      </c>
      <c r="H1052" s="251"/>
      <c r="I1052" s="618"/>
      <c r="J1052" s="179" t="str">
        <f>Table1[[#This Row],[Routine Activities (PM/ PMCAL, CM, Genba, Isotanker, Material Readiness, Sampling)]]</f>
        <v>N2 loading</v>
      </c>
    </row>
    <row r="1053" spans="3:10" ht="15" hidden="1" customHeight="1" x14ac:dyDescent="0.35">
      <c r="C1053" s="671" t="s">
        <v>1926</v>
      </c>
      <c r="D1053" s="238">
        <v>44347</v>
      </c>
      <c r="E1053" s="121" t="s">
        <v>377</v>
      </c>
      <c r="F1053" s="237">
        <v>44348</v>
      </c>
      <c r="G1053" s="237">
        <f>Table1[[#This Row],[Start Date]]</f>
        <v>44348</v>
      </c>
      <c r="H1053" s="251"/>
      <c r="I1053" s="618"/>
      <c r="J1053" s="179" t="str">
        <f>Table1[[#This Row],[Routine Activities (PM/ PMCAL, CM, Genba, Isotanker, Material Readiness, Sampling)]]</f>
        <v xml:space="preserve">Methanol loading </v>
      </c>
    </row>
    <row r="1054" spans="3:10" ht="15" hidden="1" customHeight="1" x14ac:dyDescent="0.35">
      <c r="C1054" s="671" t="s">
        <v>2027</v>
      </c>
      <c r="D1054" s="238">
        <v>44347</v>
      </c>
      <c r="E1054" s="121" t="s">
        <v>418</v>
      </c>
      <c r="F1054" s="237">
        <v>44347</v>
      </c>
      <c r="G1054" s="237">
        <f>Table1[[#This Row],[Start Date]]</f>
        <v>44347</v>
      </c>
      <c r="H1054" s="251"/>
      <c r="I1054" s="618"/>
      <c r="J1054" s="179" t="str">
        <f>Table1[[#This Row],[Routine Activities (PM/ PMCAL, CM, Genba, Isotanker, Material Readiness, Sampling)]]</f>
        <v xml:space="preserve">A3-3 and A3-4 material readiness </v>
      </c>
    </row>
    <row r="1055" spans="3:10" ht="15" hidden="1" customHeight="1" x14ac:dyDescent="0.35">
      <c r="C1055" s="671" t="s">
        <v>2028</v>
      </c>
      <c r="D1055" s="238">
        <v>44347</v>
      </c>
      <c r="E1055" s="121" t="s">
        <v>1885</v>
      </c>
      <c r="F1055" s="237"/>
      <c r="G1055" s="237">
        <f>Table1[[#This Row],[Start Date]]</f>
        <v>0</v>
      </c>
      <c r="H1055" s="251"/>
      <c r="I1055" s="618"/>
      <c r="J1055" s="179" t="str">
        <f>Table1[[#This Row],[Routine Activities (PM/ PMCAL, CM, Genba, Isotanker, Material Readiness, Sampling)]]</f>
        <v>Genba - packout</v>
      </c>
    </row>
    <row r="1056" spans="3:10" ht="15" hidden="1" customHeight="1" x14ac:dyDescent="0.35">
      <c r="C1056" s="671" t="s">
        <v>890</v>
      </c>
      <c r="D1056" s="238">
        <v>44347</v>
      </c>
      <c r="E1056" s="121" t="s">
        <v>2029</v>
      </c>
      <c r="F1056" s="237"/>
      <c r="G1056" s="237">
        <f>Table1[[#This Row],[Start Date]]</f>
        <v>0</v>
      </c>
      <c r="H1056" s="251"/>
      <c r="I1056" s="618"/>
      <c r="J1056" s="179" t="str">
        <f>Table1[[#This Row],[Routine Activities (PM/ PMCAL, CM, Genba, Isotanker, Material Readiness, Sampling)]]</f>
        <v>QoP - R1 EVI</v>
      </c>
    </row>
    <row r="1057" spans="3:10" ht="15" hidden="1" customHeight="1" x14ac:dyDescent="0.35">
      <c r="C1057" s="671" t="s">
        <v>2030</v>
      </c>
      <c r="D1057" s="238">
        <v>44347</v>
      </c>
      <c r="E1057" s="121" t="s">
        <v>1356</v>
      </c>
      <c r="F1057" s="237"/>
      <c r="G1057" s="237">
        <f>Table1[[#This Row],[Start Date]]</f>
        <v>0</v>
      </c>
      <c r="H1057" s="251"/>
      <c r="I1057" s="618"/>
      <c r="J1057" s="179" t="str">
        <f>Table1[[#This Row],[Routine Activities (PM/ PMCAL, CM, Genba, Isotanker, Material Readiness, Sampling)]]</f>
        <v>Inspection readiness walk - M104 &amp; M105</v>
      </c>
    </row>
    <row r="1058" spans="3:10" ht="15" hidden="1" customHeight="1" x14ac:dyDescent="0.35">
      <c r="C1058" s="671" t="s">
        <v>2031</v>
      </c>
      <c r="D1058" s="238">
        <v>44347</v>
      </c>
      <c r="E1058" s="121" t="s">
        <v>368</v>
      </c>
      <c r="F1058" s="237">
        <v>44349</v>
      </c>
      <c r="G1058" s="237">
        <f>Table1[[#This Row],[Start Date]]</f>
        <v>44349</v>
      </c>
      <c r="H1058" s="251"/>
      <c r="I1058" s="618"/>
      <c r="J1058" s="179" t="str">
        <f>Table1[[#This Row],[Routine Activities (PM/ PMCAL, CM, Genba, Isotanker, Material Readiness, Sampling)]]</f>
        <v>ADL packout</v>
      </c>
    </row>
    <row r="1059" spans="3:10" ht="15" hidden="1" customHeight="1" x14ac:dyDescent="0.35">
      <c r="C1059" s="671" t="s">
        <v>1671</v>
      </c>
      <c r="D1059" s="238">
        <v>44347</v>
      </c>
      <c r="E1059" s="121" t="s">
        <v>979</v>
      </c>
      <c r="F1059" s="237">
        <v>44348</v>
      </c>
      <c r="G1059" s="237">
        <f>Table1[[#This Row],[Start Date]]</f>
        <v>44348</v>
      </c>
      <c r="H1059" s="251"/>
      <c r="I1059" s="618"/>
      <c r="J1059" s="179" t="str">
        <f>Table1[[#This Row],[Routine Activities (PM/ PMCAL, CM, Genba, Isotanker, Material Readiness, Sampling)]]</f>
        <v>Chem canister dome removal</v>
      </c>
    </row>
    <row r="1060" spans="3:10" ht="15" hidden="1" customHeight="1" x14ac:dyDescent="0.35">
      <c r="C1060" s="671" t="s">
        <v>1891</v>
      </c>
      <c r="D1060" s="238">
        <v>44347</v>
      </c>
      <c r="E1060" s="121" t="s">
        <v>979</v>
      </c>
      <c r="F1060" s="237">
        <v>44348</v>
      </c>
      <c r="G1060" s="237">
        <f>Table1[[#This Row],[Start Date]]</f>
        <v>44348</v>
      </c>
      <c r="H1060" s="251"/>
      <c r="I1060" s="618"/>
      <c r="J1060" s="179" t="str">
        <f>Table1[[#This Row],[Routine Activities (PM/ PMCAL, CM, Genba, Isotanker, Material Readiness, Sampling)]]</f>
        <v>Chem canister PM</v>
      </c>
    </row>
    <row r="1061" spans="3:10" ht="15" hidden="1" customHeight="1" x14ac:dyDescent="0.35">
      <c r="C1061" s="671" t="s">
        <v>2032</v>
      </c>
      <c r="D1061" s="238">
        <v>44347</v>
      </c>
      <c r="E1061" s="121" t="s">
        <v>1637</v>
      </c>
      <c r="F1061" s="237">
        <v>44351</v>
      </c>
      <c r="G1061" s="237">
        <f>Table1[[#This Row],[Start Date]]</f>
        <v>44351</v>
      </c>
      <c r="H1061" s="251"/>
      <c r="I1061" s="618"/>
      <c r="J1061" s="179" t="str">
        <f>Table1[[#This Row],[Routine Activities (PM/ PMCAL, CM, Genba, Isotanker, Material Readiness, Sampling)]]</f>
        <v>Chem fumehood pump PM</v>
      </c>
    </row>
    <row r="1062" spans="3:10" ht="15" hidden="1" customHeight="1" x14ac:dyDescent="0.35">
      <c r="C1062" s="671" t="s">
        <v>1409</v>
      </c>
      <c r="D1062" s="238">
        <v>44354</v>
      </c>
      <c r="E1062" s="121" t="s">
        <v>1953</v>
      </c>
      <c r="F1062" s="237"/>
      <c r="G1062" s="237">
        <f>Table1[[#This Row],[Start Date]]</f>
        <v>0</v>
      </c>
      <c r="H1062" s="251" t="s">
        <v>462</v>
      </c>
      <c r="I1062" s="618"/>
      <c r="J1062" s="179" t="str">
        <f>Table1[[#This Row],[Routine Activities (PM/ PMCAL, CM, Genba, Isotanker, Material Readiness, Sampling)]]</f>
        <v>Waste offloading - Aq (not req)</v>
      </c>
    </row>
    <row r="1063" spans="3:10" ht="15" hidden="1" customHeight="1" x14ac:dyDescent="0.35">
      <c r="C1063" s="671" t="s">
        <v>1658</v>
      </c>
      <c r="D1063" s="238">
        <v>44354</v>
      </c>
      <c r="E1063" s="121" t="s">
        <v>1953</v>
      </c>
      <c r="F1063" s="237"/>
      <c r="G1063" s="237">
        <f>Table1[[#This Row],[Start Date]]</f>
        <v>0</v>
      </c>
      <c r="H1063" s="251" t="s">
        <v>462</v>
      </c>
      <c r="I1063" s="618"/>
      <c r="J1063" s="179" t="str">
        <f>Table1[[#This Row],[Routine Activities (PM/ PMCAL, CM, Genba, Isotanker, Material Readiness, Sampling)]]</f>
        <v>Waste offloading - Org (not req)</v>
      </c>
    </row>
    <row r="1064" spans="3:10" ht="15" hidden="1" customHeight="1" x14ac:dyDescent="0.35">
      <c r="C1064" s="671" t="s">
        <v>1750</v>
      </c>
      <c r="D1064" s="238">
        <v>44354</v>
      </c>
      <c r="E1064" s="121" t="s">
        <v>377</v>
      </c>
      <c r="F1064" s="237">
        <v>44357</v>
      </c>
      <c r="G1064" s="237">
        <f>Table1[[#This Row],[Start Date]]</f>
        <v>44357</v>
      </c>
      <c r="H1064" s="251"/>
      <c r="I1064" s="618"/>
      <c r="J1064" s="179" t="str">
        <f>Table1[[#This Row],[Routine Activities (PM/ PMCAL, CM, Genba, Isotanker, Material Readiness, Sampling)]]</f>
        <v xml:space="preserve">N2 loading </v>
      </c>
    </row>
    <row r="1065" spans="3:10" ht="15" hidden="1" customHeight="1" x14ac:dyDescent="0.35">
      <c r="C1065" s="671" t="s">
        <v>1778</v>
      </c>
      <c r="D1065" s="238">
        <v>44354</v>
      </c>
      <c r="E1065" s="121" t="s">
        <v>377</v>
      </c>
      <c r="F1065" s="237"/>
      <c r="G1065" s="237">
        <f>Table1[[#This Row],[Start Date]]</f>
        <v>0</v>
      </c>
      <c r="H1065" s="251" t="s">
        <v>462</v>
      </c>
      <c r="I1065" s="618"/>
      <c r="J1065" s="179" t="str">
        <f>Table1[[#This Row],[Routine Activities (PM/ PMCAL, CM, Genba, Isotanker, Material Readiness, Sampling)]]</f>
        <v>Solvent loading (not req)</v>
      </c>
    </row>
    <row r="1066" spans="3:10" ht="15" hidden="1" customHeight="1" x14ac:dyDescent="0.35">
      <c r="C1066" s="671" t="s">
        <v>2033</v>
      </c>
      <c r="D1066" s="238">
        <v>44354</v>
      </c>
      <c r="E1066" s="121" t="s">
        <v>1885</v>
      </c>
      <c r="F1066" s="237">
        <v>44356</v>
      </c>
      <c r="G1066" s="237">
        <f>Table1[[#This Row],[Start Date]]</f>
        <v>44356</v>
      </c>
      <c r="H1066" s="251"/>
      <c r="I1066" s="618"/>
      <c r="J1066" s="179" t="str">
        <f>Table1[[#This Row],[Routine Activities (PM/ PMCAL, CM, Genba, Isotanker, Material Readiness, Sampling)]]</f>
        <v xml:space="preserve">Genba - Area </v>
      </c>
    </row>
    <row r="1067" spans="3:10" ht="15" hidden="1" customHeight="1" x14ac:dyDescent="0.35">
      <c r="C1067" s="671" t="s">
        <v>2034</v>
      </c>
      <c r="D1067" s="238">
        <v>44354</v>
      </c>
      <c r="E1067" s="121" t="s">
        <v>368</v>
      </c>
      <c r="F1067" s="237">
        <v>44358</v>
      </c>
      <c r="G1067" s="237">
        <f>Table1[[#This Row],[Start Date]]</f>
        <v>44358</v>
      </c>
      <c r="H1067" s="251"/>
      <c r="I1067" s="618"/>
      <c r="J1067" s="179" t="str">
        <f>Table1[[#This Row],[Routine Activities (PM/ PMCAL, CM, Genba, Isotanker, Material Readiness, Sampling)]]</f>
        <v>A3-4 Dispensing</v>
      </c>
    </row>
    <row r="1068" spans="3:10" ht="15" hidden="1" customHeight="1" x14ac:dyDescent="0.35">
      <c r="C1068" s="671" t="s">
        <v>994</v>
      </c>
      <c r="D1068" s="238">
        <v>44354</v>
      </c>
      <c r="E1068" s="121" t="s">
        <v>773</v>
      </c>
      <c r="F1068" s="237">
        <v>44355</v>
      </c>
      <c r="G1068" s="237">
        <f>Table1[[#This Row],[Start Date]]</f>
        <v>44355</v>
      </c>
      <c r="H1068" s="251"/>
      <c r="I1068" s="618"/>
      <c r="J1068" s="179" t="str">
        <f>Table1[[#This Row],[Routine Activities (PM/ PMCAL, CM, Genba, Isotanker, Material Readiness, Sampling)]]</f>
        <v>Cat filter replacement</v>
      </c>
    </row>
    <row r="1069" spans="3:10" ht="15" hidden="1" customHeight="1" x14ac:dyDescent="0.35">
      <c r="C1069" s="671" t="s">
        <v>1337</v>
      </c>
      <c r="D1069" s="238">
        <v>44354</v>
      </c>
      <c r="E1069" s="121" t="s">
        <v>1598</v>
      </c>
      <c r="F1069" s="237">
        <v>44356</v>
      </c>
      <c r="G1069" s="237">
        <f>Table1[[#This Row],[Start Date]]</f>
        <v>44356</v>
      </c>
      <c r="H1069" s="251"/>
      <c r="I1069" s="618"/>
      <c r="J1069" s="179" t="str">
        <f>Table1[[#This Row],[Routine Activities (PM/ PMCAL, CM, Genba, Isotanker, Material Readiness, Sampling)]]</f>
        <v>UPS PM</v>
      </c>
    </row>
    <row r="1070" spans="3:10" ht="15" hidden="1" customHeight="1" x14ac:dyDescent="0.35">
      <c r="C1070" s="671" t="s">
        <v>1595</v>
      </c>
      <c r="D1070" s="238">
        <v>44354</v>
      </c>
      <c r="E1070" s="121" t="s">
        <v>1934</v>
      </c>
      <c r="F1070" s="237">
        <v>44356</v>
      </c>
      <c r="G1070" s="237">
        <f>Table1[[#This Row],[Start Date]]</f>
        <v>44356</v>
      </c>
      <c r="H1070" s="251"/>
      <c r="I1070" s="618"/>
      <c r="J1070" s="179" t="str">
        <f>Table1[[#This Row],[Routine Activities (PM/ PMCAL, CM, Genba, Isotanker, Material Readiness, Sampling)]]</f>
        <v>Chilled water gen PM</v>
      </c>
    </row>
    <row r="1071" spans="3:10" ht="15" hidden="1" customHeight="1" x14ac:dyDescent="0.35">
      <c r="C1071" s="671" t="s">
        <v>2035</v>
      </c>
      <c r="D1071" s="238">
        <v>44354</v>
      </c>
      <c r="E1071" s="121" t="s">
        <v>979</v>
      </c>
      <c r="F1071" s="237">
        <v>44357</v>
      </c>
      <c r="G1071" s="237">
        <f>Table1[[#This Row],[Start Date]]</f>
        <v>44357</v>
      </c>
      <c r="H1071" s="251"/>
      <c r="I1071" s="618"/>
      <c r="J1071" s="179" t="str">
        <f>Table1[[#This Row],[Routine Activities (PM/ PMCAL, CM, Genba, Isotanker, Material Readiness, Sampling)]]</f>
        <v>Mix tank 1 PM/ PMCAL</v>
      </c>
    </row>
    <row r="1072" spans="3:10" ht="15" hidden="1" customHeight="1" x14ac:dyDescent="0.35">
      <c r="C1072" s="671" t="s">
        <v>2036</v>
      </c>
      <c r="D1072" s="238">
        <v>44354</v>
      </c>
      <c r="E1072" s="121" t="s">
        <v>1637</v>
      </c>
      <c r="F1072" s="237">
        <v>44359</v>
      </c>
      <c r="G1072" s="237">
        <f>Table1[[#This Row],[Start Date]]</f>
        <v>44359</v>
      </c>
      <c r="H1072" s="251"/>
      <c r="I1072" s="618"/>
      <c r="J1072" s="179" t="str">
        <f>Table1[[#This Row],[Routine Activities (PM/ PMCAL, CM, Genba, Isotanker, Material Readiness, Sampling)]]</f>
        <v>AHU-33 filter replacement</v>
      </c>
    </row>
    <row r="1073" spans="3:10" ht="15" hidden="1" customHeight="1" x14ac:dyDescent="0.35">
      <c r="C1073" s="671" t="s">
        <v>2037</v>
      </c>
      <c r="D1073" s="238">
        <v>44354</v>
      </c>
      <c r="E1073" s="121" t="s">
        <v>1149</v>
      </c>
      <c r="F1073" s="237">
        <v>44360</v>
      </c>
      <c r="G1073" s="237">
        <f>Table1[[#This Row],[Start Date]]</f>
        <v>44360</v>
      </c>
      <c r="H1073" s="251"/>
      <c r="I1073" s="618"/>
      <c r="J1073" s="179" t="str">
        <f>Table1[[#This Row],[Routine Activities (PM/ PMCAL, CM, Genba, Isotanker, Material Readiness, Sampling)]]</f>
        <v>QC endo plate PMCAL</v>
      </c>
    </row>
    <row r="1074" spans="3:10" ht="15" hidden="1" customHeight="1" x14ac:dyDescent="0.35">
      <c r="C1074" s="671" t="s">
        <v>2038</v>
      </c>
      <c r="D1074" s="238">
        <v>44354</v>
      </c>
      <c r="E1074" s="121"/>
      <c r="F1074" s="237">
        <v>44360</v>
      </c>
      <c r="G1074" s="237">
        <f>Table1[[#This Row],[Start Date]]</f>
        <v>44360</v>
      </c>
      <c r="H1074" s="251"/>
      <c r="I1074" s="618"/>
      <c r="J1074" s="179" t="str">
        <f>Table1[[#This Row],[Routine Activities (PM/ PMCAL, CM, Genba, Isotanker, Material Readiness, Sampling)]]</f>
        <v>Floor drain pump replacement</v>
      </c>
    </row>
    <row r="1075" spans="3:10" ht="15" hidden="1" customHeight="1" x14ac:dyDescent="0.35">
      <c r="C1075" s="671" t="s">
        <v>2039</v>
      </c>
      <c r="D1075" s="238">
        <v>44361</v>
      </c>
      <c r="E1075" s="121" t="s">
        <v>1953</v>
      </c>
      <c r="F1075" s="237"/>
      <c r="G1075" s="237">
        <f>Table1[[#This Row],[Start Date]]</f>
        <v>0</v>
      </c>
      <c r="H1075" s="251"/>
      <c r="I1075" s="618"/>
      <c r="J1075" s="179" t="str">
        <f>Table1[[#This Row],[Routine Activities (PM/ PMCAL, CM, Genba, Isotanker, Material Readiness, Sampling)]]</f>
        <v>Waste offloading - Aq (KIV)</v>
      </c>
    </row>
    <row r="1076" spans="3:10" ht="15" hidden="1" customHeight="1" x14ac:dyDescent="0.35">
      <c r="C1076" s="671" t="s">
        <v>777</v>
      </c>
      <c r="D1076" s="238">
        <v>44361</v>
      </c>
      <c r="E1076" s="121" t="s">
        <v>1953</v>
      </c>
      <c r="F1076" s="237">
        <v>44365</v>
      </c>
      <c r="G1076" s="237">
        <f>Table1[[#This Row],[Start Date]]</f>
        <v>44365</v>
      </c>
      <c r="H1076" s="251"/>
      <c r="I1076" s="618"/>
      <c r="J1076" s="179" t="str">
        <f>Table1[[#This Row],[Routine Activities (PM/ PMCAL, CM, Genba, Isotanker, Material Readiness, Sampling)]]</f>
        <v>Waste offloading - Org</v>
      </c>
    </row>
    <row r="1077" spans="3:10" ht="15" hidden="1" customHeight="1" x14ac:dyDescent="0.35">
      <c r="C1077" s="671" t="s">
        <v>1750</v>
      </c>
      <c r="D1077" s="238">
        <v>44361</v>
      </c>
      <c r="E1077" s="121" t="s">
        <v>377</v>
      </c>
      <c r="F1077" s="237">
        <v>44364</v>
      </c>
      <c r="G1077" s="237">
        <f>Table1[[#This Row],[Start Date]]</f>
        <v>44364</v>
      </c>
      <c r="H1077" s="251"/>
      <c r="I1077" s="618"/>
      <c r="J1077" s="179" t="str">
        <f>Table1[[#This Row],[Routine Activities (PM/ PMCAL, CM, Genba, Isotanker, Material Readiness, Sampling)]]</f>
        <v xml:space="preserve">N2 loading </v>
      </c>
    </row>
    <row r="1078" spans="3:10" ht="15" hidden="1" customHeight="1" x14ac:dyDescent="0.35">
      <c r="C1078" s="671" t="s">
        <v>1787</v>
      </c>
      <c r="D1078" s="238">
        <v>44361</v>
      </c>
      <c r="E1078" s="121" t="s">
        <v>377</v>
      </c>
      <c r="F1078" s="237">
        <v>44363</v>
      </c>
      <c r="G1078" s="237">
        <f>Table1[[#This Row],[Start Date]]</f>
        <v>44363</v>
      </c>
      <c r="H1078" s="251"/>
      <c r="I1078" s="618"/>
      <c r="J1078" s="179" t="str">
        <f>Table1[[#This Row],[Routine Activities (PM/ PMCAL, CM, Genba, Isotanker, Material Readiness, Sampling)]]</f>
        <v>MeOH loading</v>
      </c>
    </row>
    <row r="1079" spans="3:10" ht="15" hidden="1" customHeight="1" x14ac:dyDescent="0.35">
      <c r="C1079" s="671" t="s">
        <v>2040</v>
      </c>
      <c r="D1079" s="238">
        <v>44361</v>
      </c>
      <c r="E1079" s="121" t="s">
        <v>1885</v>
      </c>
      <c r="F1079" s="237"/>
      <c r="G1079" s="237">
        <f>Table1[[#This Row],[Start Date]]</f>
        <v>0</v>
      </c>
      <c r="H1079" s="251"/>
      <c r="I1079" s="618"/>
      <c r="J1079" s="179" t="str">
        <f>Table1[[#This Row],[Routine Activities (PM/ PMCAL, CM, Genba, Isotanker, Material Readiness, Sampling)]]</f>
        <v>Genba - Hydrog cylinder (TBD)</v>
      </c>
    </row>
    <row r="1080" spans="3:10" ht="15" hidden="1" customHeight="1" x14ac:dyDescent="0.35">
      <c r="C1080" s="671" t="s">
        <v>2041</v>
      </c>
      <c r="D1080" s="238">
        <v>44361</v>
      </c>
      <c r="E1080" s="121" t="s">
        <v>1356</v>
      </c>
      <c r="F1080" s="237">
        <v>44363</v>
      </c>
      <c r="G1080" s="237">
        <f>Table1[[#This Row],[Start Date]]</f>
        <v>44363</v>
      </c>
      <c r="H1080" s="251"/>
      <c r="I1080" s="618"/>
      <c r="J1080" s="179" t="str">
        <f>Table1[[#This Row],[Routine Activities (PM/ PMCAL, CM, Genba, Isotanker, Material Readiness, Sampling)]]</f>
        <v>A3-5 Dispensing</v>
      </c>
    </row>
    <row r="1081" spans="3:10" ht="15" hidden="1" customHeight="1" x14ac:dyDescent="0.35">
      <c r="C1081" s="671" t="s">
        <v>2042</v>
      </c>
      <c r="D1081" s="238">
        <v>44361</v>
      </c>
      <c r="E1081" s="121" t="s">
        <v>1356</v>
      </c>
      <c r="F1081" s="237"/>
      <c r="G1081" s="237">
        <f>Table1[[#This Row],[Start Date]]</f>
        <v>0</v>
      </c>
      <c r="H1081" s="251"/>
      <c r="I1081" s="618"/>
      <c r="J1081" s="179" t="str">
        <f>Table1[[#This Row],[Routine Activities (PM/ PMCAL, CM, Genba, Isotanker, Material Readiness, Sampling)]]</f>
        <v>Catalyst waste drum removal</v>
      </c>
    </row>
    <row r="1082" spans="3:10" ht="15" hidden="1" customHeight="1" x14ac:dyDescent="0.35">
      <c r="C1082" s="671" t="s">
        <v>2043</v>
      </c>
      <c r="D1082" s="238">
        <v>44361</v>
      </c>
      <c r="E1082" s="121" t="s">
        <v>418</v>
      </c>
      <c r="F1082" s="237">
        <v>44362</v>
      </c>
      <c r="G1082" s="237">
        <f>Table1[[#This Row],[Start Date]]</f>
        <v>44362</v>
      </c>
      <c r="H1082" s="251"/>
      <c r="I1082" s="618"/>
      <c r="J1082" s="179" t="str">
        <f>Table1[[#This Row],[Routine Activities (PM/ PMCAL, CM, Genba, Isotanker, Material Readiness, Sampling)]]</f>
        <v>A3-5 and A3-6 Material Readiness (Tues)</v>
      </c>
    </row>
    <row r="1083" spans="3:10" ht="15" hidden="1" customHeight="1" x14ac:dyDescent="0.35">
      <c r="C1083" s="671" t="s">
        <v>994</v>
      </c>
      <c r="D1083" s="238">
        <v>44361</v>
      </c>
      <c r="E1083" s="121" t="s">
        <v>773</v>
      </c>
      <c r="F1083" s="237">
        <v>44362</v>
      </c>
      <c r="G1083" s="237">
        <f>Table1[[#This Row],[Start Date]]</f>
        <v>44362</v>
      </c>
      <c r="H1083" s="251"/>
      <c r="I1083" s="618"/>
      <c r="J1083" s="179" t="str">
        <f>Table1[[#This Row],[Routine Activities (PM/ PMCAL, CM, Genba, Isotanker, Material Readiness, Sampling)]]</f>
        <v>Cat filter replacement</v>
      </c>
    </row>
    <row r="1084" spans="3:10" ht="15" hidden="1" customHeight="1" x14ac:dyDescent="0.35">
      <c r="C1084" s="671" t="s">
        <v>2044</v>
      </c>
      <c r="D1084" s="238">
        <v>44361</v>
      </c>
      <c r="E1084" s="121" t="s">
        <v>979</v>
      </c>
      <c r="F1084" s="237">
        <v>44363</v>
      </c>
      <c r="G1084" s="237">
        <f>Table1[[#This Row],[Start Date]]</f>
        <v>44363</v>
      </c>
      <c r="H1084" s="251"/>
      <c r="I1084" s="618"/>
      <c r="J1084" s="179" t="str">
        <f>Table1[[#This Row],[Routine Activities (PM/ PMCAL, CM, Genba, Isotanker, Material Readiness, Sampling)]]</f>
        <v>Workup receiver PMCAL</v>
      </c>
    </row>
    <row r="1085" spans="3:10" ht="15" hidden="1" customHeight="1" x14ac:dyDescent="0.35">
      <c r="C1085" s="671" t="s">
        <v>2045</v>
      </c>
      <c r="D1085" s="238">
        <v>44361</v>
      </c>
      <c r="E1085" s="121" t="s">
        <v>1637</v>
      </c>
      <c r="F1085" s="237">
        <v>44363</v>
      </c>
      <c r="G1085" s="237">
        <f>Table1[[#This Row],[Start Date]]</f>
        <v>44363</v>
      </c>
      <c r="H1085" s="251"/>
      <c r="I1085" s="618"/>
      <c r="J1085" s="179" t="str">
        <f>Table1[[#This Row],[Routine Activities (PM/ PMCAL, CM, Genba, Isotanker, Material Readiness, Sampling)]]</f>
        <v>PD VBSE PMCERT</v>
      </c>
    </row>
    <row r="1086" spans="3:10" ht="15" hidden="1" customHeight="1" x14ac:dyDescent="0.35">
      <c r="C1086" s="671" t="s">
        <v>2046</v>
      </c>
      <c r="D1086" s="238">
        <v>44361</v>
      </c>
      <c r="E1086" s="121" t="s">
        <v>979</v>
      </c>
      <c r="F1086" s="237">
        <v>44364</v>
      </c>
      <c r="G1086" s="237">
        <f>Table1[[#This Row],[Start Date]]</f>
        <v>44364</v>
      </c>
      <c r="H1086" s="251"/>
      <c r="I1086" s="618"/>
      <c r="J1086" s="179" t="str">
        <f>Table1[[#This Row],[Routine Activities (PM/ PMCAL, CM, Genba, Isotanker, Material Readiness, Sampling)]]</f>
        <v>Mix tank 2 PMCAL</v>
      </c>
    </row>
    <row r="1087" spans="3:10" ht="15" hidden="1" customHeight="1" x14ac:dyDescent="0.35">
      <c r="C1087" s="671" t="s">
        <v>2007</v>
      </c>
      <c r="D1087" s="238">
        <v>44361</v>
      </c>
      <c r="E1087" s="121" t="s">
        <v>854</v>
      </c>
      <c r="F1087" s="237">
        <v>44366</v>
      </c>
      <c r="G1087" s="237">
        <f>Table1[[#This Row],[Start Date]]</f>
        <v>44366</v>
      </c>
      <c r="H1087" s="251"/>
      <c r="I1087" s="618"/>
      <c r="J1087" s="179" t="str">
        <f>Table1[[#This Row],[Routine Activities (PM/ PMCAL, CM, Genba, Isotanker, Material Readiness, Sampling)]]</f>
        <v>Pur water skid PM</v>
      </c>
    </row>
    <row r="1088" spans="3:10" ht="15" hidden="1" customHeight="1" x14ac:dyDescent="0.35">
      <c r="C1088" s="671" t="s">
        <v>1969</v>
      </c>
      <c r="D1088" s="238">
        <v>44361</v>
      </c>
      <c r="E1088" s="121" t="s">
        <v>1024</v>
      </c>
      <c r="F1088" s="237">
        <v>44367</v>
      </c>
      <c r="G1088" s="237">
        <f>Table1[[#This Row],[Start Date]]</f>
        <v>44367</v>
      </c>
      <c r="H1088" s="251"/>
      <c r="I1088" s="618"/>
      <c r="J1088" s="179" t="str">
        <f>Table1[[#This Row],[Routine Activities (PM/ PMCAL, CM, Genba, Isotanker, Material Readiness, Sampling)]]</f>
        <v>Instrument stnd PMCAL</v>
      </c>
    </row>
    <row r="1089" spans="3:10" ht="15" hidden="1" customHeight="1" x14ac:dyDescent="0.35">
      <c r="C1089" s="671" t="s">
        <v>2047</v>
      </c>
      <c r="D1089" s="238">
        <v>44361</v>
      </c>
      <c r="E1089" s="121" t="s">
        <v>979</v>
      </c>
      <c r="F1089" s="237">
        <v>44367</v>
      </c>
      <c r="G1089" s="237">
        <f>Table1[[#This Row],[Start Date]]</f>
        <v>44367</v>
      </c>
      <c r="H1089" s="251"/>
      <c r="I1089" s="618"/>
      <c r="J1089" s="179" t="str">
        <f>Table1[[#This Row],[Routine Activities (PM/ PMCAL, CM, Genba, Isotanker, Material Readiness, Sampling)]]</f>
        <v>FD isolator glove &amp; hose replacement</v>
      </c>
    </row>
    <row r="1090" spans="3:10" ht="15" hidden="1" customHeight="1" x14ac:dyDescent="0.35">
      <c r="C1090" s="671" t="s">
        <v>2048</v>
      </c>
      <c r="D1090" s="238">
        <v>44368</v>
      </c>
      <c r="E1090" s="121" t="s">
        <v>1953</v>
      </c>
      <c r="F1090" s="237">
        <v>44372</v>
      </c>
      <c r="G1090" s="237">
        <f>Table1[[#This Row],[Start Date]]</f>
        <v>44372</v>
      </c>
      <c r="H1090" s="251"/>
      <c r="I1090" s="618"/>
      <c r="J1090" s="179" t="str">
        <f>Table1[[#This Row],[Routine Activities (PM/ PMCAL, CM, Genba, Isotanker, Material Readiness, Sampling)]]</f>
        <v>Waste offloading - Aq (Fri)</v>
      </c>
    </row>
    <row r="1091" spans="3:10" ht="15" hidden="1" customHeight="1" x14ac:dyDescent="0.35">
      <c r="C1091" s="671" t="s">
        <v>1658</v>
      </c>
      <c r="D1091" s="238">
        <v>44368</v>
      </c>
      <c r="E1091" s="121" t="s">
        <v>1953</v>
      </c>
      <c r="F1091" s="237"/>
      <c r="G1091" s="237">
        <f>Table1[[#This Row],[Start Date]]</f>
        <v>0</v>
      </c>
      <c r="H1091" s="251"/>
      <c r="I1091" s="618"/>
      <c r="J1091" s="179" t="str">
        <f>Table1[[#This Row],[Routine Activities (PM/ PMCAL, CM, Genba, Isotanker, Material Readiness, Sampling)]]</f>
        <v>Waste offloading - Org (not req)</v>
      </c>
    </row>
    <row r="1092" spans="3:10" ht="15" hidden="1" customHeight="1" x14ac:dyDescent="0.35">
      <c r="C1092" s="671" t="s">
        <v>1693</v>
      </c>
      <c r="D1092" s="238">
        <v>44368</v>
      </c>
      <c r="E1092" s="121" t="s">
        <v>377</v>
      </c>
      <c r="F1092" s="237">
        <v>44371</v>
      </c>
      <c r="G1092" s="237">
        <f>Table1[[#This Row],[Start Date]]</f>
        <v>44371</v>
      </c>
      <c r="H1092" s="251"/>
      <c r="I1092" s="618"/>
      <c r="J1092" s="179" t="str">
        <f>Table1[[#This Row],[Routine Activities (PM/ PMCAL, CM, Genba, Isotanker, Material Readiness, Sampling)]]</f>
        <v>N2 loading (Thurs)</v>
      </c>
    </row>
    <row r="1093" spans="3:10" ht="15" hidden="1" customHeight="1" x14ac:dyDescent="0.35">
      <c r="C1093" s="671" t="s">
        <v>2049</v>
      </c>
      <c r="D1093" s="238">
        <v>44368</v>
      </c>
      <c r="E1093" s="121" t="s">
        <v>377</v>
      </c>
      <c r="F1093" s="237"/>
      <c r="G1093" s="237">
        <f>Table1[[#This Row],[Start Date]]</f>
        <v>0</v>
      </c>
      <c r="H1093" s="251"/>
      <c r="I1093" s="618"/>
      <c r="J1093" s="179" t="str">
        <f>Table1[[#This Row],[Routine Activities (PM/ PMCAL, CM, Genba, Isotanker, Material Readiness, Sampling)]]</f>
        <v>H2 cylinder bank top up (not req)</v>
      </c>
    </row>
    <row r="1094" spans="3:10" ht="15" hidden="1" customHeight="1" x14ac:dyDescent="0.35">
      <c r="C1094" s="671" t="s">
        <v>2033</v>
      </c>
      <c r="D1094" s="238">
        <v>44368</v>
      </c>
      <c r="E1094" s="121" t="s">
        <v>1885</v>
      </c>
      <c r="F1094" s="237">
        <v>44370</v>
      </c>
      <c r="G1094" s="237">
        <f>Table1[[#This Row],[Start Date]]</f>
        <v>44370</v>
      </c>
      <c r="H1094" s="251"/>
      <c r="I1094" s="618"/>
      <c r="J1094" s="179" t="str">
        <f>Table1[[#This Row],[Routine Activities (PM/ PMCAL, CM, Genba, Isotanker, Material Readiness, Sampling)]]</f>
        <v xml:space="preserve">Genba - Area </v>
      </c>
    </row>
    <row r="1095" spans="3:10" ht="15" hidden="1" customHeight="1" x14ac:dyDescent="0.35">
      <c r="C1095" s="671" t="s">
        <v>2050</v>
      </c>
      <c r="D1095" s="238">
        <v>44368</v>
      </c>
      <c r="E1095" s="121" t="s">
        <v>2051</v>
      </c>
      <c r="F1095" s="237">
        <v>44370</v>
      </c>
      <c r="G1095" s="237">
        <f>Table1[[#This Row],[Start Date]]</f>
        <v>44370</v>
      </c>
      <c r="H1095" s="251"/>
      <c r="I1095" s="618"/>
      <c r="J1095" s="179" t="str">
        <f>Table1[[#This Row],[Routine Activities (PM/ PMCAL, CM, Genba, Isotanker, Material Readiness, Sampling)]]</f>
        <v>A3-6 Dispensing</v>
      </c>
    </row>
    <row r="1096" spans="3:10" ht="15" hidden="1" customHeight="1" x14ac:dyDescent="0.35">
      <c r="C1096" s="671" t="s">
        <v>1977</v>
      </c>
      <c r="D1096" s="238">
        <v>44368</v>
      </c>
      <c r="E1096" s="121" t="s">
        <v>1947</v>
      </c>
      <c r="F1096" s="237">
        <v>44368</v>
      </c>
      <c r="G1096" s="237">
        <f>Table1[[#This Row],[Start Date]]</f>
        <v>44368</v>
      </c>
      <c r="H1096" s="251"/>
      <c r="I1096" s="618"/>
      <c r="J1096" s="179" t="str">
        <f>Table1[[#This Row],[Routine Activities (PM/ PMCAL, CM, Genba, Isotanker, Material Readiness, Sampling)]]</f>
        <v>Lifter Statutory PM</v>
      </c>
    </row>
    <row r="1097" spans="3:10" ht="15" hidden="1" customHeight="1" x14ac:dyDescent="0.35">
      <c r="C1097" s="671" t="s">
        <v>1889</v>
      </c>
      <c r="D1097" s="238">
        <v>44368</v>
      </c>
      <c r="E1097" s="121" t="s">
        <v>773</v>
      </c>
      <c r="F1097" s="237">
        <v>44369</v>
      </c>
      <c r="G1097" s="237">
        <f>Table1[[#This Row],[Start Date]]</f>
        <v>44369</v>
      </c>
      <c r="H1097" s="251"/>
      <c r="I1097" s="618"/>
      <c r="J1097" s="179" t="str">
        <f>Table1[[#This Row],[Routine Activities (PM/ PMCAL, CM, Genba, Isotanker, Material Readiness, Sampling)]]</f>
        <v>Polishing filter replacement</v>
      </c>
    </row>
    <row r="1098" spans="3:10" ht="15" hidden="1" customHeight="1" x14ac:dyDescent="0.35">
      <c r="C1098" s="671" t="s">
        <v>2052</v>
      </c>
      <c r="D1098" s="238">
        <v>44368</v>
      </c>
      <c r="E1098" s="121" t="s">
        <v>854</v>
      </c>
      <c r="F1098" s="237">
        <v>44369</v>
      </c>
      <c r="G1098" s="237">
        <f>Table1[[#This Row],[Start Date]]</f>
        <v>44369</v>
      </c>
      <c r="H1098" s="251"/>
      <c r="I1098" s="618"/>
      <c r="J1098" s="179" t="str">
        <f>Table1[[#This Row],[Routine Activities (PM/ PMCAL, CM, Genba, Isotanker, Material Readiness, Sampling)]]</f>
        <v>PUR water tank filter replacement PM</v>
      </c>
    </row>
    <row r="1099" spans="3:10" ht="15" hidden="1" customHeight="1" x14ac:dyDescent="0.35">
      <c r="C1099" s="671" t="s">
        <v>2053</v>
      </c>
      <c r="D1099" s="238">
        <v>44368</v>
      </c>
      <c r="E1099" s="121" t="s">
        <v>979</v>
      </c>
      <c r="F1099" s="237">
        <v>44369</v>
      </c>
      <c r="G1099" s="237">
        <f>Table1[[#This Row],[Start Date]]</f>
        <v>44369</v>
      </c>
      <c r="H1099" s="251"/>
      <c r="I1099" s="618"/>
      <c r="J1099" s="179" t="str">
        <f>Table1[[#This Row],[Routine Activities (PM/ PMCAL, CM, Genba, Isotanker, Material Readiness, Sampling)]]</f>
        <v>DFB PM</v>
      </c>
    </row>
    <row r="1100" spans="3:10" ht="15" hidden="1" customHeight="1" x14ac:dyDescent="0.35">
      <c r="C1100" s="671" t="s">
        <v>2054</v>
      </c>
      <c r="D1100" s="238">
        <v>44368</v>
      </c>
      <c r="E1100" s="121" t="s">
        <v>979</v>
      </c>
      <c r="F1100" s="237">
        <v>44369</v>
      </c>
      <c r="G1100" s="237">
        <f>Table1[[#This Row],[Start Date]]</f>
        <v>44369</v>
      </c>
      <c r="H1100" s="251"/>
      <c r="I1100" s="618"/>
      <c r="J1100" s="179" t="str">
        <f>Table1[[#This Row],[Routine Activities (PM/ PMCAL, CM, Genba, Isotanker, Material Readiness, Sampling)]]</f>
        <v>Disp. Isolator hose replacement</v>
      </c>
    </row>
    <row r="1101" spans="3:10" ht="15" hidden="1" customHeight="1" x14ac:dyDescent="0.35">
      <c r="C1101" s="671" t="s">
        <v>2055</v>
      </c>
      <c r="D1101" s="238">
        <v>44368</v>
      </c>
      <c r="E1101" s="121" t="s">
        <v>1934</v>
      </c>
      <c r="F1101" s="237">
        <v>44370</v>
      </c>
      <c r="G1101" s="237">
        <f>Table1[[#This Row],[Start Date]]</f>
        <v>44370</v>
      </c>
      <c r="H1101" s="251"/>
      <c r="I1101" s="618"/>
      <c r="J1101" s="179" t="str">
        <f>Table1[[#This Row],[Routine Activities (PM/ PMCAL, CM, Genba, Isotanker, Material Readiness, Sampling)]]</f>
        <v>Cold room evaporator PM</v>
      </c>
    </row>
    <row r="1102" spans="3:10" ht="15" hidden="1" customHeight="1" x14ac:dyDescent="0.35">
      <c r="C1102" s="671" t="s">
        <v>2056</v>
      </c>
      <c r="D1102" s="238">
        <v>44368</v>
      </c>
      <c r="E1102" s="121" t="s">
        <v>979</v>
      </c>
      <c r="F1102" s="237">
        <v>44371</v>
      </c>
      <c r="G1102" s="237">
        <f>Table1[[#This Row],[Start Date]]</f>
        <v>44371</v>
      </c>
      <c r="H1102" s="251"/>
      <c r="I1102" s="618"/>
      <c r="J1102" s="179" t="str">
        <f>Table1[[#This Row],[Routine Activities (PM/ PMCAL, CM, Genba, Isotanker, Material Readiness, Sampling)]]</f>
        <v>Filter dryer hose replacement</v>
      </c>
    </row>
    <row r="1103" spans="3:10" ht="15" hidden="1" customHeight="1" x14ac:dyDescent="0.35">
      <c r="C1103" s="671" t="s">
        <v>2057</v>
      </c>
      <c r="D1103" s="238">
        <v>44368</v>
      </c>
      <c r="E1103" s="121" t="s">
        <v>979</v>
      </c>
      <c r="F1103" s="237">
        <v>44371</v>
      </c>
      <c r="G1103" s="237">
        <f>Table1[[#This Row],[Start Date]]</f>
        <v>44371</v>
      </c>
      <c r="H1103" s="251"/>
      <c r="I1103" s="618"/>
      <c r="J1103" s="179" t="str">
        <f>Table1[[#This Row],[Routine Activities (PM/ PMCAL, CM, Genba, Isotanker, Material Readiness, Sampling)]]</f>
        <v>Distillate receiver PMCAL</v>
      </c>
    </row>
    <row r="1104" spans="3:10" ht="15" hidden="1" customHeight="1" x14ac:dyDescent="0.35">
      <c r="C1104" s="671" t="s">
        <v>2058</v>
      </c>
      <c r="D1104" s="238">
        <v>44368</v>
      </c>
      <c r="E1104" s="121" t="s">
        <v>1637</v>
      </c>
      <c r="F1104" s="237">
        <v>44372</v>
      </c>
      <c r="G1104" s="237">
        <f>Table1[[#This Row],[Start Date]]</f>
        <v>44372</v>
      </c>
      <c r="H1104" s="251"/>
      <c r="I1104" s="618"/>
      <c r="J1104" s="179" t="str">
        <f>Table1[[#This Row],[Routine Activities (PM/ PMCAL, CM, Genba, Isotanker, Material Readiness, Sampling)]]</f>
        <v>AHU filter replacement</v>
      </c>
    </row>
    <row r="1105" spans="3:10" ht="15" hidden="1" customHeight="1" x14ac:dyDescent="0.35">
      <c r="C1105" s="671" t="s">
        <v>2021</v>
      </c>
      <c r="D1105" s="238">
        <v>44368</v>
      </c>
      <c r="E1105" s="121" t="s">
        <v>854</v>
      </c>
      <c r="F1105" s="237">
        <v>44372</v>
      </c>
      <c r="G1105" s="237">
        <f>Table1[[#This Row],[Start Date]]</f>
        <v>44372</v>
      </c>
      <c r="H1105" s="251"/>
      <c r="I1105" s="618"/>
      <c r="J1105" s="179" t="str">
        <f>Table1[[#This Row],[Routine Activities (PM/ PMCAL, CM, Genba, Isotanker, Material Readiness, Sampling)]]</f>
        <v>PUR water skid PM</v>
      </c>
    </row>
    <row r="1106" spans="3:10" ht="15" hidden="1" customHeight="1" x14ac:dyDescent="0.35">
      <c r="C1106" s="671" t="s">
        <v>2059</v>
      </c>
      <c r="D1106" s="238">
        <v>44368</v>
      </c>
      <c r="E1106" s="121" t="s">
        <v>979</v>
      </c>
      <c r="F1106" s="237">
        <v>44372</v>
      </c>
      <c r="G1106" s="237">
        <f>Table1[[#This Row],[Start Date]]</f>
        <v>44372</v>
      </c>
      <c r="H1106" s="251"/>
      <c r="I1106" s="618"/>
      <c r="J1106" s="179" t="str">
        <f>Table1[[#This Row],[Routine Activities (PM/ PMCAL, CM, Genba, Isotanker, Material Readiness, Sampling)]]</f>
        <v>CIP skid hose replacement</v>
      </c>
    </row>
    <row r="1107" spans="3:10" ht="15" hidden="1" customHeight="1" x14ac:dyDescent="0.35">
      <c r="C1107" s="671" t="s">
        <v>2060</v>
      </c>
      <c r="D1107" s="238">
        <v>44368</v>
      </c>
      <c r="E1107" s="121" t="s">
        <v>1637</v>
      </c>
      <c r="F1107" s="237">
        <v>44372</v>
      </c>
      <c r="G1107" s="237">
        <f>Table1[[#This Row],[Start Date]]</f>
        <v>44372</v>
      </c>
      <c r="H1107" s="251"/>
      <c r="I1107" s="618"/>
      <c r="J1107" s="179" t="str">
        <f>Table1[[#This Row],[Routine Activities (PM/ PMCAL, CM, Genba, Isotanker, Material Readiness, Sampling)]]</f>
        <v>FCU PM</v>
      </c>
    </row>
    <row r="1108" spans="3:10" ht="15" hidden="1" customHeight="1" x14ac:dyDescent="0.35">
      <c r="C1108" s="671" t="s">
        <v>2061</v>
      </c>
      <c r="D1108" s="238">
        <v>44368</v>
      </c>
      <c r="E1108" s="121" t="s">
        <v>979</v>
      </c>
      <c r="F1108" s="237">
        <v>44373</v>
      </c>
      <c r="G1108" s="237">
        <f>Table1[[#This Row],[Start Date]]</f>
        <v>44373</v>
      </c>
      <c r="H1108" s="251"/>
      <c r="I1108" s="618"/>
      <c r="J1108" s="179" t="str">
        <f>Table1[[#This Row],[Routine Activities (PM/ PMCAL, CM, Genba, Isotanker, Material Readiness, Sampling)]]</f>
        <v>Mfg hose replacement</v>
      </c>
    </row>
    <row r="1109" spans="3:10" ht="15" hidden="1" customHeight="1" x14ac:dyDescent="0.35">
      <c r="C1109" s="671" t="s">
        <v>1889</v>
      </c>
      <c r="D1109" s="238">
        <v>44375</v>
      </c>
      <c r="E1109" s="121" t="s">
        <v>773</v>
      </c>
      <c r="F1109" s="237">
        <v>44376</v>
      </c>
      <c r="G1109" s="237">
        <f>Table1[[#This Row],[Start Date]]</f>
        <v>44376</v>
      </c>
      <c r="H1109" s="251"/>
      <c r="I1109" s="618"/>
      <c r="J1109" s="179" t="str">
        <f>Table1[[#This Row],[Routine Activities (PM/ PMCAL, CM, Genba, Isotanker, Material Readiness, Sampling)]]</f>
        <v>Polishing filter replacement</v>
      </c>
    </row>
    <row r="1110" spans="3:10" ht="15" hidden="1" customHeight="1" x14ac:dyDescent="0.35">
      <c r="C1110" s="671" t="s">
        <v>2061</v>
      </c>
      <c r="D1110" s="238">
        <v>44375</v>
      </c>
      <c r="E1110" s="121" t="s">
        <v>979</v>
      </c>
      <c r="F1110" s="237">
        <v>44376</v>
      </c>
      <c r="G1110" s="237">
        <f>Table1[[#This Row],[Start Date]]</f>
        <v>44376</v>
      </c>
      <c r="H1110" s="251"/>
      <c r="I1110" s="618"/>
      <c r="J1110" s="179" t="str">
        <f>Table1[[#This Row],[Routine Activities (PM/ PMCAL, CM, Genba, Isotanker, Material Readiness, Sampling)]]</f>
        <v>Mfg hose replacement</v>
      </c>
    </row>
    <row r="1111" spans="3:10" ht="15" hidden="1" customHeight="1" x14ac:dyDescent="0.35">
      <c r="C1111" s="671" t="s">
        <v>2062</v>
      </c>
      <c r="D1111" s="238">
        <v>44375</v>
      </c>
      <c r="E1111" s="121" t="s">
        <v>1598</v>
      </c>
      <c r="F1111" s="237">
        <v>44378</v>
      </c>
      <c r="G1111" s="237">
        <f>Table1[[#This Row],[Start Date]]</f>
        <v>44378</v>
      </c>
      <c r="H1111" s="251"/>
      <c r="I1111" s="618"/>
      <c r="J1111" s="179" t="str">
        <f>Table1[[#This Row],[Routine Activities (PM/ PMCAL, CM, Genba, Isotanker, Material Readiness, Sampling)]]</f>
        <v>Switchboard GM (power reading)</v>
      </c>
    </row>
    <row r="1112" spans="3:10" ht="15" hidden="1" customHeight="1" x14ac:dyDescent="0.35">
      <c r="C1112" s="671" t="s">
        <v>2063</v>
      </c>
      <c r="D1112" s="238">
        <v>44375</v>
      </c>
      <c r="E1112" s="121" t="s">
        <v>979</v>
      </c>
      <c r="F1112" s="237">
        <v>44379</v>
      </c>
      <c r="G1112" s="237">
        <f>Table1[[#This Row],[Start Date]]</f>
        <v>44379</v>
      </c>
      <c r="H1112" s="251"/>
      <c r="I1112" s="618"/>
      <c r="J1112" s="179" t="str">
        <f>Table1[[#This Row],[Routine Activities (PM/ PMCAL, CM, Genba, Isotanker, Material Readiness, Sampling)]]</f>
        <v>Dispensing isolator PM</v>
      </c>
    </row>
    <row r="1113" spans="3:10" ht="15" hidden="1" customHeight="1" x14ac:dyDescent="0.35">
      <c r="C1113" s="671" t="s">
        <v>1409</v>
      </c>
      <c r="D1113" s="238">
        <v>44375</v>
      </c>
      <c r="E1113" s="121" t="s">
        <v>1953</v>
      </c>
      <c r="F1113" s="237"/>
      <c r="G1113" s="237">
        <f>Table1[[#This Row],[Start Date]]</f>
        <v>0</v>
      </c>
      <c r="H1113" s="251"/>
      <c r="I1113" s="618"/>
      <c r="J1113" s="179" t="str">
        <f>Table1[[#This Row],[Routine Activities (PM/ PMCAL, CM, Genba, Isotanker, Material Readiness, Sampling)]]</f>
        <v>Waste offloading - Aq (not req)</v>
      </c>
    </row>
    <row r="1114" spans="3:10" ht="15" hidden="1" customHeight="1" x14ac:dyDescent="0.35">
      <c r="C1114" s="671" t="s">
        <v>1658</v>
      </c>
      <c r="D1114" s="238">
        <v>44375</v>
      </c>
      <c r="E1114" s="121" t="s">
        <v>1953</v>
      </c>
      <c r="F1114" s="237"/>
      <c r="G1114" s="237">
        <f>Table1[[#This Row],[Start Date]]</f>
        <v>0</v>
      </c>
      <c r="H1114" s="251"/>
      <c r="I1114" s="618"/>
      <c r="J1114" s="179" t="str">
        <f>Table1[[#This Row],[Routine Activities (PM/ PMCAL, CM, Genba, Isotanker, Material Readiness, Sampling)]]</f>
        <v>Waste offloading - Org (not req)</v>
      </c>
    </row>
    <row r="1115" spans="3:10" ht="15" hidden="1" customHeight="1" x14ac:dyDescent="0.35">
      <c r="C1115" s="671" t="s">
        <v>775</v>
      </c>
      <c r="D1115" s="238">
        <v>44375</v>
      </c>
      <c r="E1115" s="121" t="s">
        <v>377</v>
      </c>
      <c r="F1115" s="237">
        <v>44378</v>
      </c>
      <c r="G1115" s="237">
        <f>Table1[[#This Row],[Start Date]]</f>
        <v>44378</v>
      </c>
      <c r="H1115" s="251"/>
      <c r="I1115" s="618"/>
      <c r="J1115" s="179" t="str">
        <f>Table1[[#This Row],[Routine Activities (PM/ PMCAL, CM, Genba, Isotanker, Material Readiness, Sampling)]]</f>
        <v>N2 loading</v>
      </c>
    </row>
    <row r="1116" spans="3:10" ht="15" hidden="1" customHeight="1" x14ac:dyDescent="0.35">
      <c r="C1116" s="671" t="s">
        <v>1828</v>
      </c>
      <c r="D1116" s="238">
        <v>44375</v>
      </c>
      <c r="E1116" s="121" t="s">
        <v>377</v>
      </c>
      <c r="F1116" s="237">
        <v>44379</v>
      </c>
      <c r="G1116" s="237">
        <f>Table1[[#This Row],[Start Date]]</f>
        <v>44379</v>
      </c>
      <c r="H1116" s="251"/>
      <c r="I1116" s="618"/>
      <c r="J1116" s="179" t="str">
        <f>Table1[[#This Row],[Routine Activities (PM/ PMCAL, CM, Genba, Isotanker, Material Readiness, Sampling)]]</f>
        <v xml:space="preserve">MeOH loading </v>
      </c>
    </row>
    <row r="1117" spans="3:10" ht="15" hidden="1" customHeight="1" x14ac:dyDescent="0.35">
      <c r="C1117" s="671" t="s">
        <v>2064</v>
      </c>
      <c r="D1117" s="238">
        <v>44375</v>
      </c>
      <c r="E1117" s="121" t="s">
        <v>1885</v>
      </c>
      <c r="F1117" s="237">
        <v>44377</v>
      </c>
      <c r="G1117" s="237">
        <f>Table1[[#This Row],[Start Date]]</f>
        <v>44377</v>
      </c>
      <c r="H1117" s="251"/>
      <c r="I1117" s="618"/>
      <c r="J1117" s="179" t="str">
        <f>Table1[[#This Row],[Routine Activities (PM/ PMCAL, CM, Genba, Isotanker, Material Readiness, Sampling)]]</f>
        <v>Genba - expoxy painting on tank farm</v>
      </c>
    </row>
    <row r="1118" spans="3:10" ht="15" hidden="1" customHeight="1" x14ac:dyDescent="0.35">
      <c r="C1118" s="671" t="s">
        <v>2065</v>
      </c>
      <c r="D1118" s="238">
        <v>44375</v>
      </c>
      <c r="E1118" s="121" t="s">
        <v>1953</v>
      </c>
      <c r="F1118" s="237">
        <v>44379</v>
      </c>
      <c r="G1118" s="237">
        <f>Table1[[#This Row],[Start Date]]</f>
        <v>44379</v>
      </c>
      <c r="H1118" s="251"/>
      <c r="I1118" s="618"/>
      <c r="J1118" s="179" t="str">
        <f>Table1[[#This Row],[Routine Activities (PM/ PMCAL, CM, Genba, Isotanker, Material Readiness, Sampling)]]</f>
        <v>DCM waste drums (top up)</v>
      </c>
    </row>
    <row r="1119" spans="3:10" ht="15" hidden="1" customHeight="1" x14ac:dyDescent="0.35">
      <c r="C1119" s="671" t="s">
        <v>1409</v>
      </c>
      <c r="D1119" s="238">
        <v>44382</v>
      </c>
      <c r="E1119" s="121" t="s">
        <v>1953</v>
      </c>
      <c r="F1119" s="237"/>
      <c r="G1119" s="237">
        <f>Table1[[#This Row],[Start Date]]</f>
        <v>0</v>
      </c>
      <c r="H1119" s="251"/>
      <c r="I1119" s="618"/>
      <c r="J1119" s="179" t="str">
        <f>Table1[[#This Row],[Routine Activities (PM/ PMCAL, CM, Genba, Isotanker, Material Readiness, Sampling)]]</f>
        <v>Waste offloading - Aq (not req)</v>
      </c>
    </row>
    <row r="1120" spans="3:10" ht="15" hidden="1" customHeight="1" x14ac:dyDescent="0.35">
      <c r="C1120" s="671" t="s">
        <v>1627</v>
      </c>
      <c r="D1120" s="238">
        <v>44382</v>
      </c>
      <c r="E1120" s="121" t="s">
        <v>1953</v>
      </c>
      <c r="F1120" s="237">
        <v>44382</v>
      </c>
      <c r="G1120" s="237">
        <f>Table1[[#This Row],[Start Date]]</f>
        <v>44382</v>
      </c>
      <c r="H1120" s="251"/>
      <c r="I1120" s="618"/>
      <c r="J1120" s="179" t="str">
        <f>Table1[[#This Row],[Routine Activities (PM/ PMCAL, CM, Genba, Isotanker, Material Readiness, Sampling)]]</f>
        <v>Waste offloading - Org (Mon)</v>
      </c>
    </row>
    <row r="1121" spans="3:10" ht="15" hidden="1" customHeight="1" x14ac:dyDescent="0.35">
      <c r="C1121" s="671" t="s">
        <v>2066</v>
      </c>
      <c r="D1121" s="238">
        <v>44382</v>
      </c>
      <c r="E1121" s="121" t="s">
        <v>1953</v>
      </c>
      <c r="F1121" s="237">
        <v>44385</v>
      </c>
      <c r="G1121" s="237">
        <f>Table1[[#This Row],[Start Date]]</f>
        <v>44385</v>
      </c>
      <c r="H1121" s="251"/>
      <c r="I1121" s="618"/>
      <c r="J1121" s="179" t="str">
        <f>Table1[[#This Row],[Routine Activities (PM/ PMCAL, CM, Genba, Isotanker, Material Readiness, Sampling)]]</f>
        <v>Waste offloading - Org (Thurs evening)</v>
      </c>
    </row>
    <row r="1122" spans="3:10" ht="15" hidden="1" customHeight="1" x14ac:dyDescent="0.35">
      <c r="C1122" s="671" t="s">
        <v>2067</v>
      </c>
      <c r="D1122" s="238">
        <v>44382</v>
      </c>
      <c r="E1122" s="121" t="s">
        <v>377</v>
      </c>
      <c r="F1122" s="237">
        <v>44385</v>
      </c>
      <c r="G1122" s="237">
        <f>Table1[[#This Row],[Start Date]]</f>
        <v>44385</v>
      </c>
      <c r="H1122" s="251"/>
      <c r="I1122" s="618"/>
      <c r="J1122" s="179" t="str">
        <f>Table1[[#This Row],[Routine Activities (PM/ PMCAL, CM, Genba, Isotanker, Material Readiness, Sampling)]]</f>
        <v>N2 loading (Thurs morn)</v>
      </c>
    </row>
    <row r="1123" spans="3:10" ht="15" hidden="1" customHeight="1" x14ac:dyDescent="0.35">
      <c r="C1123" s="671" t="s">
        <v>2068</v>
      </c>
      <c r="D1123" s="238">
        <v>44382</v>
      </c>
      <c r="E1123" s="121" t="s">
        <v>377</v>
      </c>
      <c r="F1123" s="237">
        <v>44386</v>
      </c>
      <c r="G1123" s="237">
        <f>Table1[[#This Row],[Start Date]]</f>
        <v>44386</v>
      </c>
      <c r="H1123" s="251"/>
      <c r="I1123" s="618"/>
      <c r="J1123" s="179" t="str">
        <f>Table1[[#This Row],[Routine Activities (PM/ PMCAL, CM, Genba, Isotanker, Material Readiness, Sampling)]]</f>
        <v>Solvent loading - heptane (Fri)</v>
      </c>
    </row>
    <row r="1124" spans="3:10" ht="15" hidden="1" customHeight="1" x14ac:dyDescent="0.35">
      <c r="C1124" s="671" t="s">
        <v>2069</v>
      </c>
      <c r="D1124" s="238"/>
      <c r="E1124" s="121"/>
      <c r="F1124" s="237"/>
      <c r="G1124" s="237">
        <f>Table1[[#This Row],[Start Date]]</f>
        <v>0</v>
      </c>
      <c r="H1124" s="251"/>
      <c r="I1124" s="618"/>
      <c r="J1124" s="179" t="str">
        <f>Table1[[#This Row],[Routine Activities (PM/ PMCAL, CM, Genba, Isotanker, Material Readiness, Sampling)]]</f>
        <v>Solvent loading - Methanol (Tues even)</v>
      </c>
    </row>
    <row r="1125" spans="3:10" ht="15" hidden="1" customHeight="1" x14ac:dyDescent="0.35">
      <c r="C1125" s="671" t="s">
        <v>2070</v>
      </c>
      <c r="D1125" s="238">
        <v>44382</v>
      </c>
      <c r="E1125" s="121" t="s">
        <v>377</v>
      </c>
      <c r="F1125" s="237">
        <v>44383</v>
      </c>
      <c r="G1125" s="237">
        <f>Table1[[#This Row],[Start Date]]</f>
        <v>44383</v>
      </c>
      <c r="H1125" s="251"/>
      <c r="I1125" s="618"/>
      <c r="J1125" s="179" t="str">
        <f>Table1[[#This Row],[Routine Activities (PM/ PMCAL, CM, Genba, Isotanker, Material Readiness, Sampling)]]</f>
        <v>Solvent loading - Methanol (Tues even, Wed morn truck out)</v>
      </c>
    </row>
    <row r="1126" spans="3:10" ht="15" hidden="1" customHeight="1" x14ac:dyDescent="0.35">
      <c r="C1126" s="671" t="s">
        <v>2071</v>
      </c>
      <c r="D1126" s="238">
        <v>44382</v>
      </c>
      <c r="E1126" s="121" t="s">
        <v>2072</v>
      </c>
      <c r="F1126" s="237"/>
      <c r="G1126" s="237">
        <f>Table1[[#This Row],[Start Date]]</f>
        <v>0</v>
      </c>
      <c r="H1126" s="251"/>
      <c r="I1126" s="618"/>
      <c r="J1126" s="179" t="str">
        <f>Table1[[#This Row],[Routine Activities (PM/ PMCAL, CM, Genba, Isotanker, Material Readiness, Sampling)]]</f>
        <v>Genba - swab (Date TBD)</v>
      </c>
    </row>
    <row r="1127" spans="3:10" ht="15" hidden="1" customHeight="1" x14ac:dyDescent="0.35">
      <c r="C1127" s="671" t="s">
        <v>2073</v>
      </c>
      <c r="D1127" s="238">
        <v>44382</v>
      </c>
      <c r="E1127" s="121" t="s">
        <v>418</v>
      </c>
      <c r="F1127" s="237">
        <v>44386</v>
      </c>
      <c r="G1127" s="237">
        <f>Table1[[#This Row],[Start Date]]</f>
        <v>44386</v>
      </c>
      <c r="H1127" s="251"/>
      <c r="I1127" s="618"/>
      <c r="J1127" s="179" t="str">
        <f>Table1[[#This Row],[Routine Activities (PM/ PMCAL, CM, Genba, Isotanker, Material Readiness, Sampling)]]</f>
        <v>Step B Material Readiness (9th Jul)</v>
      </c>
    </row>
    <row r="1128" spans="3:10" ht="15" hidden="1" customHeight="1" x14ac:dyDescent="0.35">
      <c r="C1128" s="671" t="s">
        <v>837</v>
      </c>
      <c r="D1128" s="238">
        <v>44382</v>
      </c>
      <c r="E1128" s="121" t="s">
        <v>737</v>
      </c>
      <c r="F1128" s="237"/>
      <c r="G1128" s="237">
        <f>Table1[[#This Row],[Start Date]]</f>
        <v>0</v>
      </c>
      <c r="H1128" s="251" t="s">
        <v>340</v>
      </c>
      <c r="I1128" s="618"/>
      <c r="J1128" s="179" t="str">
        <f>Table1[[#This Row],[Routine Activities (PM/ PMCAL, CM, Genba, Isotanker, Material Readiness, Sampling)]]</f>
        <v>QC Testing Readiness</v>
      </c>
    </row>
    <row r="1129" spans="3:10" ht="15" hidden="1" customHeight="1" x14ac:dyDescent="0.35">
      <c r="C1129" s="671"/>
      <c r="D1129" s="238"/>
      <c r="E1129" s="121"/>
      <c r="F1129" s="237"/>
      <c r="G1129" s="237">
        <f>Table1[[#This Row],[Start Date]]</f>
        <v>0</v>
      </c>
      <c r="H1129" s="251"/>
      <c r="I1129" s="618"/>
      <c r="J1129" s="179">
        <f>Table1[[#This Row],[Routine Activities (PM/ PMCAL, CM, Genba, Isotanker, Material Readiness, Sampling)]]</f>
        <v>0</v>
      </c>
    </row>
    <row r="1130" spans="3:10" ht="15" hidden="1" customHeight="1" x14ac:dyDescent="0.35">
      <c r="C1130" s="671" t="s">
        <v>2074</v>
      </c>
      <c r="D1130" s="238">
        <v>44403</v>
      </c>
      <c r="E1130" s="121" t="s">
        <v>854</v>
      </c>
      <c r="F1130" s="237">
        <v>44403</v>
      </c>
      <c r="G1130" s="237">
        <f>Table1[[#This Row],[Start Date]]</f>
        <v>44403</v>
      </c>
      <c r="H1130" s="251"/>
      <c r="I1130" s="618"/>
      <c r="J1130" s="179" t="str">
        <f>Table1[[#This Row],[Routine Activities (PM/ PMCAL, CM, Genba, Isotanker, Material Readiness, Sampling)]]</f>
        <v>Pur water skid FIT PMCAL</v>
      </c>
    </row>
    <row r="1131" spans="3:10" ht="15" hidden="1" customHeight="1" x14ac:dyDescent="0.35">
      <c r="C1131" s="671" t="s">
        <v>2075</v>
      </c>
      <c r="D1131" s="238">
        <v>44403</v>
      </c>
      <c r="E1131" s="121" t="s">
        <v>979</v>
      </c>
      <c r="F1131" s="237">
        <v>44414</v>
      </c>
      <c r="G1131" s="237">
        <f>Table1[[#This Row],[Start Date]]</f>
        <v>44414</v>
      </c>
      <c r="H1131" s="251"/>
      <c r="I1131" s="618"/>
      <c r="J1131" s="179" t="str">
        <f>Table1[[#This Row],[Routine Activities (PM/ PMCAL, CM, Genba, Isotanker, Material Readiness, Sampling)]]</f>
        <v>R1 glycol flowserve valve airleak</v>
      </c>
    </row>
    <row r="1132" spans="3:10" ht="15" hidden="1" customHeight="1" x14ac:dyDescent="0.35">
      <c r="C1132" s="671" t="s">
        <v>2076</v>
      </c>
      <c r="D1132" s="238">
        <v>44403</v>
      </c>
      <c r="E1132" s="121" t="s">
        <v>773</v>
      </c>
      <c r="F1132" s="237">
        <v>44407</v>
      </c>
      <c r="G1132" s="237">
        <f>Table1[[#This Row],[Start Date]]</f>
        <v>44407</v>
      </c>
      <c r="H1132" s="251"/>
      <c r="I1132" s="618"/>
      <c r="J1132" s="179" t="str">
        <f>Table1[[#This Row],[Routine Activities (PM/ PMCAL, CM, Genba, Isotanker, Material Readiness, Sampling)]]</f>
        <v>Methanol PSV PM</v>
      </c>
    </row>
    <row r="1133" spans="3:10" ht="15" hidden="1" customHeight="1" x14ac:dyDescent="0.35">
      <c r="C1133" s="671" t="s">
        <v>2077</v>
      </c>
      <c r="D1133" s="238">
        <v>44403</v>
      </c>
      <c r="E1133" s="121" t="s">
        <v>979</v>
      </c>
      <c r="F1133" s="237">
        <v>44404</v>
      </c>
      <c r="G1133" s="237">
        <f>Table1[[#This Row],[Start Date]]</f>
        <v>44404</v>
      </c>
      <c r="H1133" s="251"/>
      <c r="I1133" s="618"/>
      <c r="J1133" s="179" t="str">
        <f>Table1[[#This Row],[Routine Activities (PM/ PMCAL, CM, Genba, Isotanker, Material Readiness, Sampling)]]</f>
        <v>Removal of chem can. dome</v>
      </c>
    </row>
    <row r="1134" spans="3:10" ht="15" hidden="1" customHeight="1" x14ac:dyDescent="0.35">
      <c r="C1134" s="671" t="s">
        <v>2078</v>
      </c>
      <c r="D1134" s="238">
        <v>44403</v>
      </c>
      <c r="E1134" s="121" t="s">
        <v>773</v>
      </c>
      <c r="F1134" s="237">
        <v>44407</v>
      </c>
      <c r="G1134" s="237">
        <f>Table1[[#This Row],[Start Date]]</f>
        <v>44407</v>
      </c>
      <c r="H1134" s="251"/>
      <c r="I1134" s="618"/>
      <c r="J1134" s="179" t="str">
        <f>Table1[[#This Row],[Routine Activities (PM/ PMCAL, CM, Genba, Isotanker, Material Readiness, Sampling)]]</f>
        <v>Heptane flex hose replacement</v>
      </c>
    </row>
    <row r="1135" spans="3:10" ht="15" hidden="1" customHeight="1" x14ac:dyDescent="0.35">
      <c r="C1135" s="671" t="s">
        <v>1851</v>
      </c>
      <c r="D1135" s="238">
        <v>44410</v>
      </c>
      <c r="E1135" s="121" t="s">
        <v>1953</v>
      </c>
      <c r="F1135" s="237"/>
      <c r="G1135" s="237">
        <f>Table1[[#This Row],[Start Date]]</f>
        <v>0</v>
      </c>
      <c r="H1135" s="251"/>
      <c r="I1135" s="618"/>
      <c r="J1135" s="179" t="str">
        <f>Table1[[#This Row],[Routine Activities (PM/ PMCAL, CM, Genba, Isotanker, Material Readiness, Sampling)]]</f>
        <v>Org waste offloading (not req)</v>
      </c>
    </row>
    <row r="1136" spans="3:10" ht="15" hidden="1" customHeight="1" x14ac:dyDescent="0.35">
      <c r="C1136" s="671" t="s">
        <v>2079</v>
      </c>
      <c r="D1136" s="238">
        <v>44410</v>
      </c>
      <c r="E1136" s="121" t="s">
        <v>1953</v>
      </c>
      <c r="F1136" s="237">
        <v>44415</v>
      </c>
      <c r="G1136" s="237">
        <f>Table1[[#This Row],[Start Date]]</f>
        <v>44415</v>
      </c>
      <c r="H1136" s="251"/>
      <c r="I1136" s="618"/>
      <c r="J1136" s="179" t="str">
        <f>Table1[[#This Row],[Routine Activities (PM/ PMCAL, CM, Genba, Isotanker, Material Readiness, Sampling)]]</f>
        <v>Aq waste offloading (Sat)</v>
      </c>
    </row>
    <row r="1137" spans="3:10" ht="15" hidden="1" customHeight="1" x14ac:dyDescent="0.35">
      <c r="C1137" s="671" t="s">
        <v>2080</v>
      </c>
      <c r="D1137" s="238">
        <v>44410</v>
      </c>
      <c r="E1137" s="121" t="s">
        <v>377</v>
      </c>
      <c r="F1137" s="237">
        <v>44410</v>
      </c>
      <c r="G1137" s="237">
        <f>Table1[[#This Row],[Start Date]]</f>
        <v>44410</v>
      </c>
      <c r="H1137" s="251"/>
      <c r="I1137" s="618"/>
      <c r="J1137" s="179" t="str">
        <f>Table1[[#This Row],[Routine Activities (PM/ PMCAL, CM, Genba, Isotanker, Material Readiness, Sampling)]]</f>
        <v>Solvent top up (MeOH)</v>
      </c>
    </row>
    <row r="1138" spans="3:10" ht="15" hidden="1" customHeight="1" x14ac:dyDescent="0.35">
      <c r="C1138" s="671" t="s">
        <v>2081</v>
      </c>
      <c r="D1138" s="238">
        <v>44410</v>
      </c>
      <c r="E1138" s="121" t="s">
        <v>377</v>
      </c>
      <c r="F1138" s="237">
        <v>44413</v>
      </c>
      <c r="G1138" s="237">
        <f>Table1[[#This Row],[Start Date]]</f>
        <v>44413</v>
      </c>
      <c r="H1138" s="251"/>
      <c r="I1138" s="618"/>
      <c r="J1138" s="179" t="str">
        <f>Table1[[#This Row],[Routine Activities (PM/ PMCAL, CM, Genba, Isotanker, Material Readiness, Sampling)]]</f>
        <v>N2 top up</v>
      </c>
    </row>
    <row r="1139" spans="3:10" ht="15" hidden="1" customHeight="1" x14ac:dyDescent="0.35">
      <c r="C1139" s="671" t="s">
        <v>2082</v>
      </c>
      <c r="D1139" s="238">
        <v>44410</v>
      </c>
      <c r="E1139" s="121" t="s">
        <v>1885</v>
      </c>
      <c r="F1139" s="237">
        <v>44411</v>
      </c>
      <c r="G1139" s="237">
        <f>Table1[[#This Row],[Start Date]]</f>
        <v>44411</v>
      </c>
      <c r="H1139" s="251"/>
      <c r="I1139" s="618"/>
      <c r="J1139" s="179" t="str">
        <f>Table1[[#This Row],[Routine Activities (PM/ PMCAL, CM, Genba, Isotanker, Material Readiness, Sampling)]]</f>
        <v>Genba - mobile equipment caster wheel walkdown</v>
      </c>
    </row>
    <row r="1140" spans="3:10" ht="15" hidden="1" customHeight="1" x14ac:dyDescent="0.35">
      <c r="C1140" s="671" t="s">
        <v>2083</v>
      </c>
      <c r="D1140" s="238">
        <v>44403</v>
      </c>
      <c r="E1140" s="121" t="s">
        <v>737</v>
      </c>
      <c r="F1140" s="237">
        <v>44407</v>
      </c>
      <c r="G1140" s="237">
        <f>Table1[[#This Row],[Start Date]]</f>
        <v>44407</v>
      </c>
      <c r="H1140" s="251"/>
      <c r="I1140" s="618"/>
      <c r="J1140" s="179" t="str">
        <f>Table1[[#This Row],[Routine Activities (PM/ PMCAL, CM, Genba, Isotanker, Material Readiness, Sampling)]]</f>
        <v>QC testing readiness - on track</v>
      </c>
    </row>
    <row r="1141" spans="3:10" ht="15" hidden="1" customHeight="1" x14ac:dyDescent="0.35">
      <c r="C1141" s="671" t="s">
        <v>1519</v>
      </c>
      <c r="D1141" s="238">
        <v>44410</v>
      </c>
      <c r="E1141" s="121" t="s">
        <v>979</v>
      </c>
      <c r="F1141" s="237">
        <v>44413</v>
      </c>
      <c r="G1141" s="237">
        <f>Table1[[#This Row],[Start Date]]</f>
        <v>44413</v>
      </c>
      <c r="H1141" s="251"/>
      <c r="I1141" s="618"/>
      <c r="J1141" s="179" t="str">
        <f>Table1[[#This Row],[Routine Activities (PM/ PMCAL, CM, Genba, Isotanker, Material Readiness, Sampling)]]</f>
        <v>Workup receiver PM</v>
      </c>
    </row>
    <row r="1142" spans="3:10" ht="15" hidden="1" customHeight="1" x14ac:dyDescent="0.35">
      <c r="C1142" s="671" t="s">
        <v>2084</v>
      </c>
      <c r="D1142" s="238">
        <v>44410</v>
      </c>
      <c r="E1142" s="121" t="s">
        <v>979</v>
      </c>
      <c r="F1142" s="237">
        <v>44414</v>
      </c>
      <c r="G1142" s="237">
        <f>Table1[[#This Row],[Start Date]]</f>
        <v>44414</v>
      </c>
      <c r="H1142" s="251"/>
      <c r="I1142" s="618"/>
      <c r="J1142" s="179" t="str">
        <f>Table1[[#This Row],[Routine Activities (PM/ PMCAL, CM, Genba, Isotanker, Material Readiness, Sampling)]]</f>
        <v>Rx1 PM</v>
      </c>
    </row>
    <row r="1143" spans="3:10" ht="15" hidden="1" customHeight="1" x14ac:dyDescent="0.35">
      <c r="C1143" s="671" t="s">
        <v>913</v>
      </c>
      <c r="D1143" s="238">
        <v>44410</v>
      </c>
      <c r="E1143" s="121" t="s">
        <v>1598</v>
      </c>
      <c r="F1143" s="237">
        <v>44414</v>
      </c>
      <c r="G1143" s="237">
        <f>Table1[[#This Row],[Start Date]]</f>
        <v>44414</v>
      </c>
      <c r="H1143" s="251"/>
      <c r="I1143" s="618"/>
      <c r="J1143" s="179" t="str">
        <f>Table1[[#This Row],[Routine Activities (PM/ PMCAL, CM, Genba, Isotanker, Material Readiness, Sampling)]]</f>
        <v>Standby gen PM</v>
      </c>
    </row>
    <row r="1144" spans="3:10" ht="15" hidden="1" customHeight="1" x14ac:dyDescent="0.35">
      <c r="C1144" s="671" t="s">
        <v>2085</v>
      </c>
      <c r="D1144" s="238">
        <v>44410</v>
      </c>
      <c r="E1144" s="121" t="s">
        <v>1149</v>
      </c>
      <c r="F1144" s="237">
        <v>44414</v>
      </c>
      <c r="G1144" s="237">
        <f>Table1[[#This Row],[Start Date]]</f>
        <v>44414</v>
      </c>
      <c r="H1144" s="251"/>
      <c r="I1144" s="618"/>
      <c r="J1144" s="179" t="str">
        <f>Table1[[#This Row],[Routine Activities (PM/ PMCAL, CM, Genba, Isotanker, Material Readiness, Sampling)]]</f>
        <v>pH meter PMCAL</v>
      </c>
    </row>
    <row r="1145" spans="3:10" ht="15" hidden="1" customHeight="1" x14ac:dyDescent="0.35">
      <c r="C1145" s="671" t="s">
        <v>2086</v>
      </c>
      <c r="D1145" s="238">
        <v>44410</v>
      </c>
      <c r="E1145" s="121" t="s">
        <v>979</v>
      </c>
      <c r="F1145" s="237">
        <v>44414</v>
      </c>
      <c r="G1145" s="237">
        <f>Table1[[#This Row],[Start Date]]</f>
        <v>44414</v>
      </c>
      <c r="H1145" s="251"/>
      <c r="I1145" s="618"/>
      <c r="J1145" s="179" t="str">
        <f>Table1[[#This Row],[Routine Activities (PM/ PMCAL, CM, Genba, Isotanker, Material Readiness, Sampling)]]</f>
        <v>Dist receiver PM</v>
      </c>
    </row>
    <row r="1146" spans="3:10" ht="15" hidden="1" customHeight="1" x14ac:dyDescent="0.35">
      <c r="C1146" s="671" t="s">
        <v>1936</v>
      </c>
      <c r="D1146" s="238">
        <v>44410</v>
      </c>
      <c r="E1146" s="121" t="s">
        <v>1937</v>
      </c>
      <c r="F1146" s="237">
        <v>44415</v>
      </c>
      <c r="G1146" s="237">
        <f>Table1[[#This Row],[Start Date]]</f>
        <v>44415</v>
      </c>
      <c r="H1146" s="251"/>
      <c r="I1146" s="618"/>
      <c r="J1146" s="179" t="str">
        <f>Table1[[#This Row],[Routine Activities (PM/ PMCAL, CM, Genba, Isotanker, Material Readiness, Sampling)]]</f>
        <v>PD reactor PMCAL</v>
      </c>
    </row>
    <row r="1147" spans="3:10" ht="15" hidden="1" customHeight="1" x14ac:dyDescent="0.35">
      <c r="C1147" s="671" t="s">
        <v>1892</v>
      </c>
      <c r="D1147" s="238">
        <v>44410</v>
      </c>
      <c r="E1147" s="121" t="s">
        <v>1149</v>
      </c>
      <c r="F1147" s="237">
        <v>44415</v>
      </c>
      <c r="G1147" s="237">
        <f>Table1[[#This Row],[Start Date]]</f>
        <v>44415</v>
      </c>
      <c r="H1147" s="251"/>
      <c r="I1147" s="618"/>
      <c r="J1147" s="179" t="str">
        <f>Table1[[#This Row],[Routine Activities (PM/ PMCAL, CM, Genba, Isotanker, Material Readiness, Sampling)]]</f>
        <v>QC pipette PMCAL</v>
      </c>
    </row>
    <row r="1148" spans="3:10" ht="15" hidden="1" customHeight="1" x14ac:dyDescent="0.35">
      <c r="C1148" s="671" t="s">
        <v>2087</v>
      </c>
      <c r="D1148" s="238">
        <v>44410</v>
      </c>
      <c r="E1148" s="121" t="s">
        <v>773</v>
      </c>
      <c r="F1148" s="237">
        <v>44415</v>
      </c>
      <c r="G1148" s="237">
        <f>Table1[[#This Row],[Start Date]]</f>
        <v>44415</v>
      </c>
      <c r="H1148" s="251"/>
      <c r="I1148" s="618"/>
      <c r="J1148" s="179" t="str">
        <f>Table1[[#This Row],[Routine Activities (PM/ PMCAL, CM, Genba, Isotanker, Material Readiness, Sampling)]]</f>
        <v>Relief catch tank PM</v>
      </c>
    </row>
    <row r="1149" spans="3:10" ht="15" hidden="1" customHeight="1" x14ac:dyDescent="0.35">
      <c r="C1149" s="671" t="s">
        <v>2088</v>
      </c>
      <c r="D1149" s="238">
        <v>44410</v>
      </c>
      <c r="E1149" s="121" t="s">
        <v>773</v>
      </c>
      <c r="F1149" s="237">
        <v>44415</v>
      </c>
      <c r="G1149" s="237">
        <f>Table1[[#This Row],[Start Date]]</f>
        <v>44415</v>
      </c>
      <c r="H1149" s="251"/>
      <c r="I1149" s="618"/>
      <c r="J1149" s="179" t="str">
        <f>Table1[[#This Row],[Routine Activities (PM/ PMCAL, CM, Genba, Isotanker, Material Readiness, Sampling)]]</f>
        <v>Solvent tank flame arrestor PM</v>
      </c>
    </row>
    <row r="1150" spans="3:10" ht="15" hidden="1" customHeight="1" x14ac:dyDescent="0.35">
      <c r="C1150" s="671" t="s">
        <v>2089</v>
      </c>
      <c r="D1150" s="238">
        <v>44410</v>
      </c>
      <c r="E1150" s="121" t="s">
        <v>1149</v>
      </c>
      <c r="F1150" s="237">
        <v>44416</v>
      </c>
      <c r="G1150" s="237">
        <f>Table1[[#This Row],[Start Date]]</f>
        <v>44416</v>
      </c>
      <c r="H1150" s="251"/>
      <c r="I1150" s="618"/>
      <c r="J1150" s="179" t="str">
        <f>Table1[[#This Row],[Routine Activities (PM/ PMCAL, CM, Genba, Isotanker, Material Readiness, Sampling)]]</f>
        <v>QC quartz plate PMCAL</v>
      </c>
    </row>
    <row r="1151" spans="3:10" ht="15" hidden="1" customHeight="1" x14ac:dyDescent="0.35">
      <c r="C1151" s="671" t="s">
        <v>1897</v>
      </c>
      <c r="D1151" s="238">
        <v>44410</v>
      </c>
      <c r="E1151" s="121" t="s">
        <v>1149</v>
      </c>
      <c r="F1151" s="237">
        <v>44416</v>
      </c>
      <c r="G1151" s="237">
        <f>Table1[[#This Row],[Start Date]]</f>
        <v>44416</v>
      </c>
      <c r="H1151" s="251"/>
      <c r="I1151" s="618"/>
      <c r="J1151" s="179" t="str">
        <f>Table1[[#This Row],[Routine Activities (PM/ PMCAL, CM, Genba, Isotanker, Material Readiness, Sampling)]]</f>
        <v>QC analytical weight PM</v>
      </c>
    </row>
    <row r="1152" spans="3:10" ht="15" hidden="1" customHeight="1" x14ac:dyDescent="0.35">
      <c r="C1152" s="671" t="s">
        <v>2090</v>
      </c>
      <c r="D1152" s="238">
        <v>44410</v>
      </c>
      <c r="E1152" s="121" t="s">
        <v>979</v>
      </c>
      <c r="F1152" s="237">
        <v>44411</v>
      </c>
      <c r="G1152" s="237">
        <f>Table1[[#This Row],[Start Date]]</f>
        <v>44411</v>
      </c>
      <c r="H1152" s="251"/>
      <c r="I1152" s="618"/>
      <c r="J1152" s="179" t="str">
        <f>Table1[[#This Row],[Routine Activities (PM/ PMCAL, CM, Genba, Isotanker, Material Readiness, Sampling)]]</f>
        <v>Drum station pump PM</v>
      </c>
    </row>
    <row r="1153" spans="3:10" ht="15" hidden="1" customHeight="1" x14ac:dyDescent="0.35">
      <c r="C1153" s="671" t="s">
        <v>1990</v>
      </c>
      <c r="D1153" s="238">
        <v>44410</v>
      </c>
      <c r="E1153" s="121" t="s">
        <v>773</v>
      </c>
      <c r="F1153" s="237">
        <v>44411</v>
      </c>
      <c r="G1153" s="237">
        <f>Table1[[#This Row],[Start Date]]</f>
        <v>44411</v>
      </c>
      <c r="H1153" s="251"/>
      <c r="I1153" s="618"/>
      <c r="J1153" s="179" t="str">
        <f>Table1[[#This Row],[Routine Activities (PM/ PMCAL, CM, Genba, Isotanker, Material Readiness, Sampling)]]</f>
        <v>Heptane tank PM</v>
      </c>
    </row>
    <row r="1154" spans="3:10" ht="15" hidden="1" customHeight="1" x14ac:dyDescent="0.35">
      <c r="C1154" s="671" t="s">
        <v>1722</v>
      </c>
      <c r="D1154" s="238">
        <v>44410</v>
      </c>
      <c r="E1154" s="121"/>
      <c r="F1154" s="237">
        <v>44413</v>
      </c>
      <c r="G1154" s="237">
        <f>Table1[[#This Row],[Start Date]]</f>
        <v>44413</v>
      </c>
      <c r="H1154" s="251"/>
      <c r="I1154" s="618"/>
      <c r="J1154" s="179" t="str">
        <f>Table1[[#This Row],[Routine Activities (PM/ PMCAL, CM, Genba, Isotanker, Material Readiness, Sampling)]]</f>
        <v>Chiller PM</v>
      </c>
    </row>
    <row r="1155" spans="3:10" ht="15" hidden="1" customHeight="1" x14ac:dyDescent="0.35">
      <c r="C1155" s="671" t="s">
        <v>1851</v>
      </c>
      <c r="D1155" s="238">
        <v>44424</v>
      </c>
      <c r="E1155" s="121" t="s">
        <v>1953</v>
      </c>
      <c r="F1155" s="237"/>
      <c r="G1155" s="237">
        <f>Table1[[#This Row],[Start Date]]</f>
        <v>0</v>
      </c>
      <c r="H1155" s="251"/>
      <c r="I1155" s="618"/>
      <c r="J1155" s="179" t="str">
        <f>Table1[[#This Row],[Routine Activities (PM/ PMCAL, CM, Genba, Isotanker, Material Readiness, Sampling)]]</f>
        <v>Org waste offloading (not req)</v>
      </c>
    </row>
    <row r="1156" spans="3:10" ht="15" hidden="1" customHeight="1" x14ac:dyDescent="0.35">
      <c r="C1156" s="671" t="s">
        <v>1822</v>
      </c>
      <c r="D1156" s="238">
        <v>44424</v>
      </c>
      <c r="E1156" s="121" t="s">
        <v>1953</v>
      </c>
      <c r="F1156" s="237"/>
      <c r="G1156" s="237">
        <f>Table1[[#This Row],[Start Date]]</f>
        <v>0</v>
      </c>
      <c r="H1156" s="251"/>
      <c r="I1156" s="618"/>
      <c r="J1156" s="179" t="str">
        <f>Table1[[#This Row],[Routine Activities (PM/ PMCAL, CM, Genba, Isotanker, Material Readiness, Sampling)]]</f>
        <v>Aq Waste offloading (not req)</v>
      </c>
    </row>
    <row r="1157" spans="3:10" ht="15" hidden="1" customHeight="1" x14ac:dyDescent="0.35">
      <c r="C1157" s="671" t="s">
        <v>2091</v>
      </c>
      <c r="D1157" s="238">
        <v>44424</v>
      </c>
      <c r="E1157" s="121" t="s">
        <v>377</v>
      </c>
      <c r="F1157" s="237"/>
      <c r="G1157" s="237">
        <f>Table1[[#This Row],[Start Date]]</f>
        <v>0</v>
      </c>
      <c r="H1157" s="251"/>
      <c r="I1157" s="618"/>
      <c r="J1157" s="179" t="str">
        <f>Table1[[#This Row],[Routine Activities (PM/ PMCAL, CM, Genba, Isotanker, Material Readiness, Sampling)]]</f>
        <v>Solvent top up (not req)</v>
      </c>
    </row>
    <row r="1158" spans="3:10" ht="15" hidden="1" customHeight="1" x14ac:dyDescent="0.35">
      <c r="C1158" s="671" t="s">
        <v>2092</v>
      </c>
      <c r="D1158" s="238">
        <v>44424</v>
      </c>
      <c r="E1158" s="121" t="s">
        <v>377</v>
      </c>
      <c r="F1158" s="237">
        <v>44427</v>
      </c>
      <c r="G1158" s="237">
        <f>Table1[[#This Row],[Start Date]]</f>
        <v>44427</v>
      </c>
      <c r="H1158" s="251"/>
      <c r="I1158" s="618"/>
      <c r="J1158" s="179" t="str">
        <f>Table1[[#This Row],[Routine Activities (PM/ PMCAL, CM, Genba, Isotanker, Material Readiness, Sampling)]]</f>
        <v xml:space="preserve">N2 top up </v>
      </c>
    </row>
    <row r="1159" spans="3:10" ht="15" hidden="1" customHeight="1" x14ac:dyDescent="0.35">
      <c r="C1159" s="671" t="s">
        <v>2093</v>
      </c>
      <c r="D1159" s="238">
        <v>44424</v>
      </c>
      <c r="E1159" s="121" t="s">
        <v>1885</v>
      </c>
      <c r="F1159" s="237">
        <v>44426</v>
      </c>
      <c r="G1159" s="237">
        <f>Table1[[#This Row],[Start Date]]</f>
        <v>44426</v>
      </c>
      <c r="H1159" s="251"/>
      <c r="I1159" s="618"/>
      <c r="J1159" s="179" t="str">
        <f>Table1[[#This Row],[Routine Activities (PM/ PMCAL, CM, Genba, Isotanker, Material Readiness, Sampling)]]</f>
        <v>Genba - tank farm epoxy</v>
      </c>
    </row>
    <row r="1160" spans="3:10" ht="15" hidden="1" customHeight="1" x14ac:dyDescent="0.35">
      <c r="C1160" s="671" t="s">
        <v>736</v>
      </c>
      <c r="D1160" s="238">
        <v>44424</v>
      </c>
      <c r="E1160" s="121" t="s">
        <v>737</v>
      </c>
      <c r="F1160" s="237"/>
      <c r="G1160" s="237">
        <f>Table1[[#This Row],[Start Date]]</f>
        <v>0</v>
      </c>
      <c r="H1160" s="251" t="s">
        <v>340</v>
      </c>
      <c r="I1160" s="618"/>
      <c r="J1160" s="179" t="str">
        <f>Table1[[#This Row],[Routine Activities (PM/ PMCAL, CM, Genba, Isotanker, Material Readiness, Sampling)]]</f>
        <v>QC testing readiness</v>
      </c>
    </row>
    <row r="1161" spans="3:10" ht="15" hidden="1" customHeight="1" x14ac:dyDescent="0.35">
      <c r="C1161" s="671" t="s">
        <v>1480</v>
      </c>
      <c r="D1161" s="238">
        <v>44424</v>
      </c>
      <c r="E1161" s="121" t="s">
        <v>2094</v>
      </c>
      <c r="F1161" s="755">
        <v>44424</v>
      </c>
      <c r="G1161" s="237">
        <f>Table1[[#This Row],[Start Date]]</f>
        <v>44424</v>
      </c>
      <c r="H1161" s="251"/>
      <c r="I1161" s="618"/>
      <c r="J1161" s="179" t="str">
        <f>Table1[[#This Row],[Routine Activities (PM/ PMCAL, CM, Genba, Isotanker, Material Readiness, Sampling)]]</f>
        <v>PD moisture analyzer PMCAL</v>
      </c>
    </row>
    <row r="1162" spans="3:10" ht="15" hidden="1" customHeight="1" x14ac:dyDescent="0.35">
      <c r="C1162" s="671" t="s">
        <v>2095</v>
      </c>
      <c r="D1162" s="238">
        <v>44424</v>
      </c>
      <c r="E1162" s="121" t="s">
        <v>2094</v>
      </c>
      <c r="F1162" s="755">
        <v>44426</v>
      </c>
      <c r="G1162" s="237">
        <f>Table1[[#This Row],[Start Date]]</f>
        <v>44426</v>
      </c>
      <c r="H1162" s="251"/>
      <c r="I1162" s="618"/>
      <c r="J1162" s="179" t="str">
        <f>Table1[[#This Row],[Routine Activities (PM/ PMCAL, CM, Genba, Isotanker, Material Readiness, Sampling)]]</f>
        <v>PD pH conductivity meter PMCAL</v>
      </c>
    </row>
    <row r="1163" spans="3:10" ht="15" hidden="1" customHeight="1" x14ac:dyDescent="0.35">
      <c r="C1163" s="671" t="s">
        <v>2096</v>
      </c>
      <c r="D1163" s="238">
        <v>44424</v>
      </c>
      <c r="E1163" s="121" t="s">
        <v>979</v>
      </c>
      <c r="F1163" s="755">
        <v>44428</v>
      </c>
      <c r="G1163" s="237">
        <f>Table1[[#This Row],[Start Date]]</f>
        <v>44428</v>
      </c>
      <c r="H1163" s="251"/>
      <c r="I1163" s="618"/>
      <c r="J1163" s="179" t="str">
        <f>Table1[[#This Row],[Routine Activities (PM/ PMCAL, CM, Genba, Isotanker, Material Readiness, Sampling)]]</f>
        <v>FD isolator PM</v>
      </c>
    </row>
    <row r="1164" spans="3:10" ht="15" hidden="1" customHeight="1" x14ac:dyDescent="0.35">
      <c r="C1164" s="671" t="s">
        <v>1833</v>
      </c>
      <c r="D1164" s="238">
        <v>44431</v>
      </c>
      <c r="E1164" s="121" t="s">
        <v>1953</v>
      </c>
      <c r="F1164" s="755">
        <v>44433</v>
      </c>
      <c r="G1164" s="237">
        <f>Table1[[#This Row],[Start Date]]</f>
        <v>44433</v>
      </c>
      <c r="H1164" s="251"/>
      <c r="I1164" s="618"/>
      <c r="J1164" s="179" t="str">
        <f>Table1[[#This Row],[Routine Activities (PM/ PMCAL, CM, Genba, Isotanker, Material Readiness, Sampling)]]</f>
        <v xml:space="preserve">Org waste offloading </v>
      </c>
    </row>
    <row r="1165" spans="3:10" ht="15" hidden="1" customHeight="1" x14ac:dyDescent="0.35">
      <c r="C1165" s="671" t="s">
        <v>1822</v>
      </c>
      <c r="D1165" s="238">
        <v>44431</v>
      </c>
      <c r="E1165" s="121" t="s">
        <v>1953</v>
      </c>
      <c r="F1165" s="755"/>
      <c r="G1165" s="237">
        <f>Table1[[#This Row],[Start Date]]</f>
        <v>0</v>
      </c>
      <c r="H1165" s="251" t="s">
        <v>462</v>
      </c>
      <c r="I1165" s="618"/>
      <c r="J1165" s="179" t="str">
        <f>Table1[[#This Row],[Routine Activities (PM/ PMCAL, CM, Genba, Isotanker, Material Readiness, Sampling)]]</f>
        <v>Aq Waste offloading (not req)</v>
      </c>
    </row>
    <row r="1166" spans="3:10" ht="15" hidden="1" customHeight="1" x14ac:dyDescent="0.35">
      <c r="C1166" s="671" t="s">
        <v>2097</v>
      </c>
      <c r="D1166" s="238">
        <v>44431</v>
      </c>
      <c r="E1166" s="121" t="s">
        <v>377</v>
      </c>
      <c r="F1166" s="755">
        <v>44435</v>
      </c>
      <c r="G1166" s="237">
        <f>Table1[[#This Row],[Start Date]]</f>
        <v>44435</v>
      </c>
      <c r="H1166" s="251"/>
      <c r="I1166" s="618"/>
      <c r="J1166" s="179" t="str">
        <f>Table1[[#This Row],[Routine Activities (PM/ PMCAL, CM, Genba, Isotanker, Material Readiness, Sampling)]]</f>
        <v xml:space="preserve">EA top up </v>
      </c>
    </row>
    <row r="1167" spans="3:10" ht="15" hidden="1" customHeight="1" x14ac:dyDescent="0.35">
      <c r="C1167" s="671" t="s">
        <v>2092</v>
      </c>
      <c r="D1167" s="238">
        <v>44431</v>
      </c>
      <c r="E1167" s="121" t="s">
        <v>377</v>
      </c>
      <c r="F1167" s="755">
        <v>44434</v>
      </c>
      <c r="G1167" s="237">
        <f>Table1[[#This Row],[Start Date]]</f>
        <v>44434</v>
      </c>
      <c r="H1167" s="251"/>
      <c r="I1167" s="618"/>
      <c r="J1167" s="179" t="str">
        <f>Table1[[#This Row],[Routine Activities (PM/ PMCAL, CM, Genba, Isotanker, Material Readiness, Sampling)]]</f>
        <v xml:space="preserve">N2 top up </v>
      </c>
    </row>
    <row r="1168" spans="3:10" ht="15" hidden="1" customHeight="1" x14ac:dyDescent="0.35">
      <c r="C1168" s="671" t="s">
        <v>2098</v>
      </c>
      <c r="D1168" s="238">
        <v>44431</v>
      </c>
      <c r="E1168" s="121" t="s">
        <v>1885</v>
      </c>
      <c r="F1168" s="755">
        <v>44433</v>
      </c>
      <c r="G1168" s="237">
        <f>Table1[[#This Row],[Start Date]]</f>
        <v>44433</v>
      </c>
      <c r="H1168" s="251"/>
      <c r="I1168" s="618"/>
      <c r="J1168" s="179" t="str">
        <f>Table1[[#This Row],[Routine Activities (PM/ PMCAL, CM, Genba, Isotanker, Material Readiness, Sampling)]]</f>
        <v>Genba (Area)</v>
      </c>
    </row>
    <row r="1169" spans="3:10" ht="15" hidden="1" customHeight="1" x14ac:dyDescent="0.35">
      <c r="C1169" s="671" t="s">
        <v>2099</v>
      </c>
      <c r="D1169" s="238">
        <v>44431</v>
      </c>
      <c r="E1169" s="121" t="s">
        <v>418</v>
      </c>
      <c r="F1169" s="755">
        <v>44433</v>
      </c>
      <c r="G1169" s="237">
        <f>Table1[[#This Row],[Start Date]]</f>
        <v>44433</v>
      </c>
      <c r="H1169" s="251"/>
      <c r="I1169" s="618"/>
      <c r="J1169" s="179" t="str">
        <f>Table1[[#This Row],[Routine Activities (PM/ PMCAL, CM, Genba, Isotanker, Material Readiness, Sampling)]]</f>
        <v>A2-1 &amp; A2-2 material readiness</v>
      </c>
    </row>
    <row r="1170" spans="3:10" ht="15" hidden="1" customHeight="1" x14ac:dyDescent="0.35">
      <c r="C1170" s="671" t="s">
        <v>1671</v>
      </c>
      <c r="D1170" s="238">
        <v>44431</v>
      </c>
      <c r="E1170" s="121" t="s">
        <v>979</v>
      </c>
      <c r="F1170" s="755">
        <v>44433</v>
      </c>
      <c r="G1170" s="237">
        <f>Table1[[#This Row],[Start Date]]</f>
        <v>44433</v>
      </c>
      <c r="H1170" s="251"/>
      <c r="I1170" s="618"/>
      <c r="J1170" s="179" t="str">
        <f>Table1[[#This Row],[Routine Activities (PM/ PMCAL, CM, Genba, Isotanker, Material Readiness, Sampling)]]</f>
        <v>Chem canister dome removal</v>
      </c>
    </row>
    <row r="1171" spans="3:10" ht="15" hidden="1" customHeight="1" x14ac:dyDescent="0.35">
      <c r="C1171" s="671" t="s">
        <v>2100</v>
      </c>
      <c r="D1171" s="238">
        <v>44431</v>
      </c>
      <c r="E1171" s="121" t="s">
        <v>773</v>
      </c>
      <c r="F1171" s="755">
        <v>44436</v>
      </c>
      <c r="G1171" s="237">
        <f>Table1[[#This Row],[Start Date]]</f>
        <v>44436</v>
      </c>
      <c r="H1171" s="251"/>
      <c r="I1171" s="618"/>
      <c r="J1171" s="179" t="str">
        <f>Table1[[#This Row],[Routine Activities (PM/ PMCAL, CM, Genba, Isotanker, Material Readiness, Sampling)]]</f>
        <v>Acetone tank PI rectification</v>
      </c>
    </row>
    <row r="1172" spans="3:10" ht="15" hidden="1" customHeight="1" x14ac:dyDescent="0.35">
      <c r="C1172" s="671" t="s">
        <v>2101</v>
      </c>
      <c r="D1172" s="238">
        <v>44431</v>
      </c>
      <c r="E1172" s="121" t="s">
        <v>1934</v>
      </c>
      <c r="F1172" s="755">
        <v>44436</v>
      </c>
      <c r="G1172" s="237">
        <f>Table1[[#This Row],[Start Date]]</f>
        <v>44436</v>
      </c>
      <c r="H1172" s="251"/>
      <c r="I1172" s="618"/>
      <c r="J1172" s="179" t="str">
        <f>Table1[[#This Row],[Routine Activities (PM/ PMCAL, CM, Genba, Isotanker, Material Readiness, Sampling)]]</f>
        <v>Storm water tank level sensor feedback</v>
      </c>
    </row>
    <row r="1173" spans="3:10" ht="15" hidden="1" customHeight="1" x14ac:dyDescent="0.35">
      <c r="C1173" s="671" t="s">
        <v>2102</v>
      </c>
      <c r="D1173" s="238">
        <v>44438</v>
      </c>
      <c r="E1173" s="121" t="s">
        <v>1953</v>
      </c>
      <c r="F1173" s="755">
        <v>44443</v>
      </c>
      <c r="G1173" s="237">
        <f>Table1[[#This Row],[Start Date]]</f>
        <v>44443</v>
      </c>
      <c r="H1173" s="251"/>
      <c r="I1173" s="618"/>
      <c r="J1173" s="179" t="str">
        <f>Table1[[#This Row],[Routine Activities (PM/ PMCAL, CM, Genba, Isotanker, Material Readiness, Sampling)]]</f>
        <v>Org waste offloading (Sat)</v>
      </c>
    </row>
    <row r="1174" spans="3:10" ht="15" hidden="1" customHeight="1" x14ac:dyDescent="0.35">
      <c r="C1174" s="671" t="s">
        <v>1822</v>
      </c>
      <c r="D1174" s="238">
        <v>44438</v>
      </c>
      <c r="E1174" s="121" t="s">
        <v>1953</v>
      </c>
      <c r="F1174" s="755"/>
      <c r="G1174" s="237">
        <f>Table1[[#This Row],[Start Date]]</f>
        <v>0</v>
      </c>
      <c r="H1174" s="251" t="s">
        <v>462</v>
      </c>
      <c r="I1174" s="618"/>
      <c r="J1174" s="179" t="str">
        <f>Table1[[#This Row],[Routine Activities (PM/ PMCAL, CM, Genba, Isotanker, Material Readiness, Sampling)]]</f>
        <v>Aq Waste offloading (not req)</v>
      </c>
    </row>
    <row r="1175" spans="3:10" ht="15" hidden="1" customHeight="1" x14ac:dyDescent="0.35">
      <c r="C1175" s="671" t="s">
        <v>2103</v>
      </c>
      <c r="D1175" s="238">
        <v>44438</v>
      </c>
      <c r="E1175" s="121" t="s">
        <v>377</v>
      </c>
      <c r="F1175" s="755">
        <v>44440</v>
      </c>
      <c r="G1175" s="237">
        <f>Table1[[#This Row],[Start Date]]</f>
        <v>44440</v>
      </c>
      <c r="H1175" s="251"/>
      <c r="I1175" s="618"/>
      <c r="J1175" s="179" t="str">
        <f>Table1[[#This Row],[Routine Activities (PM/ PMCAL, CM, Genba, Isotanker, Material Readiness, Sampling)]]</f>
        <v xml:space="preserve">Methanol top up </v>
      </c>
    </row>
    <row r="1176" spans="3:10" ht="15" hidden="1" customHeight="1" x14ac:dyDescent="0.35">
      <c r="C1176" s="671" t="s">
        <v>2104</v>
      </c>
      <c r="D1176" s="238">
        <v>44438</v>
      </c>
      <c r="E1176" s="121" t="s">
        <v>377</v>
      </c>
      <c r="F1176" s="755">
        <v>44438</v>
      </c>
      <c r="G1176" s="237">
        <f>Table1[[#This Row],[Start Date]]</f>
        <v>44438</v>
      </c>
      <c r="H1176" s="251"/>
      <c r="I1176" s="618"/>
      <c r="J1176" s="179" t="str">
        <f>Table1[[#This Row],[Routine Activities (PM/ PMCAL, CM, Genba, Isotanker, Material Readiness, Sampling)]]</f>
        <v>n-Heptane top up</v>
      </c>
    </row>
    <row r="1177" spans="3:10" ht="15" hidden="1" customHeight="1" x14ac:dyDescent="0.35">
      <c r="C1177" s="671" t="s">
        <v>2092</v>
      </c>
      <c r="D1177" s="238">
        <v>44438</v>
      </c>
      <c r="E1177" s="121" t="s">
        <v>377</v>
      </c>
      <c r="F1177" s="755">
        <v>44441</v>
      </c>
      <c r="G1177" s="237">
        <f>Table1[[#This Row],[Start Date]]</f>
        <v>44441</v>
      </c>
      <c r="H1177" s="251"/>
      <c r="I1177" s="618"/>
      <c r="J1177" s="179" t="str">
        <f>Table1[[#This Row],[Routine Activities (PM/ PMCAL, CM, Genba, Isotanker, Material Readiness, Sampling)]]</f>
        <v xml:space="preserve">N2 top up </v>
      </c>
    </row>
    <row r="1178" spans="3:10" ht="15" hidden="1" customHeight="1" x14ac:dyDescent="0.35">
      <c r="C1178" s="671" t="s">
        <v>2105</v>
      </c>
      <c r="D1178" s="238">
        <v>44459</v>
      </c>
      <c r="E1178" s="121" t="s">
        <v>2106</v>
      </c>
      <c r="F1178" s="755">
        <v>44459</v>
      </c>
      <c r="G1178" s="237">
        <f>Table1[[#This Row],[Start Date]]</f>
        <v>44459</v>
      </c>
      <c r="H1178" s="251"/>
      <c r="I1178" s="618"/>
      <c r="J1178" s="179" t="str">
        <f>Table1[[#This Row],[Routine Activities (PM/ PMCAL, CM, Genba, Isotanker, Material Readiness, Sampling)]]</f>
        <v xml:space="preserve">Virtual tour inspection practice </v>
      </c>
    </row>
    <row r="1179" spans="3:10" ht="15" hidden="1" customHeight="1" x14ac:dyDescent="0.35">
      <c r="C1179" s="671" t="s">
        <v>2107</v>
      </c>
      <c r="D1179" s="238">
        <v>44438</v>
      </c>
      <c r="E1179" s="121" t="s">
        <v>1885</v>
      </c>
      <c r="F1179" s="755">
        <v>44438</v>
      </c>
      <c r="G1179" s="237">
        <f>Table1[[#This Row],[Start Date]]</f>
        <v>44438</v>
      </c>
      <c r="H1179" s="251"/>
      <c r="I1179" s="618"/>
      <c r="J1179" s="179" t="str">
        <f>Table1[[#This Row],[Routine Activities (PM/ PMCAL, CM, Genba, Isotanker, Material Readiness, Sampling)]]</f>
        <v>Genba (Uneven flooring)</v>
      </c>
    </row>
    <row r="1180" spans="3:10" ht="15" hidden="1" customHeight="1" x14ac:dyDescent="0.35">
      <c r="C1180" s="671" t="s">
        <v>2108</v>
      </c>
      <c r="D1180" s="238">
        <v>44438</v>
      </c>
      <c r="E1180" s="121" t="s">
        <v>1598</v>
      </c>
      <c r="F1180" s="755">
        <v>44440</v>
      </c>
      <c r="G1180" s="237">
        <f>Table1[[#This Row],[Start Date]]</f>
        <v>44440</v>
      </c>
      <c r="H1180" s="251"/>
      <c r="I1180" s="618"/>
      <c r="J1180" s="179" t="str">
        <f>Table1[[#This Row],[Routine Activities (PM/ PMCAL, CM, Genba, Isotanker, Material Readiness, Sampling)]]</f>
        <v>Elec switchboard power reading</v>
      </c>
    </row>
    <row r="1181" spans="3:10" ht="15" hidden="1" customHeight="1" x14ac:dyDescent="0.35">
      <c r="C1181" s="671" t="s">
        <v>2109</v>
      </c>
      <c r="D1181" s="238">
        <v>44438</v>
      </c>
      <c r="E1181" s="121" t="s">
        <v>1598</v>
      </c>
      <c r="F1181" s="755">
        <v>44441</v>
      </c>
      <c r="G1181" s="237">
        <f>Table1[[#This Row],[Start Date]]</f>
        <v>44441</v>
      </c>
      <c r="H1181" s="251"/>
      <c r="I1181" s="618"/>
      <c r="J1181" s="179" t="str">
        <f>Table1[[#This Row],[Routine Activities (PM/ PMCAL, CM, Genba, Isotanker, Material Readiness, Sampling)]]</f>
        <v>Lightning protection system PM</v>
      </c>
    </row>
    <row r="1182" spans="3:10" ht="15" hidden="1" customHeight="1" x14ac:dyDescent="0.35">
      <c r="C1182" s="671" t="s">
        <v>2110</v>
      </c>
      <c r="D1182" s="238">
        <v>44438</v>
      </c>
      <c r="E1182" s="121" t="s">
        <v>2111</v>
      </c>
      <c r="F1182" s="755">
        <v>44443</v>
      </c>
      <c r="G1182" s="237">
        <f>Table1[[#This Row],[Start Date]]</f>
        <v>44443</v>
      </c>
      <c r="H1182" s="251"/>
      <c r="I1182" s="618"/>
      <c r="J1182" s="179" t="str">
        <f>Table1[[#This Row],[Routine Activities (PM/ PMCAL, CM, Genba, Isotanker, Material Readiness, Sampling)]]</f>
        <v>Replaced level 2 LED light fixture</v>
      </c>
    </row>
    <row r="1183" spans="3:10" ht="15" hidden="1" customHeight="1" x14ac:dyDescent="0.35">
      <c r="C1183" s="671" t="s">
        <v>1558</v>
      </c>
      <c r="D1183" s="238">
        <v>44438</v>
      </c>
      <c r="E1183" s="121" t="s">
        <v>773</v>
      </c>
      <c r="F1183" s="755">
        <v>44443</v>
      </c>
      <c r="G1183" s="237">
        <f>Table1[[#This Row],[Start Date]]</f>
        <v>44443</v>
      </c>
      <c r="H1183" s="251"/>
      <c r="I1183" s="618"/>
      <c r="J1183" s="179" t="str">
        <f>Table1[[#This Row],[Routine Activities (PM/ PMCAL, CM, Genba, Isotanker, Material Readiness, Sampling)]]</f>
        <v>Scrubber pH meter PMCAL</v>
      </c>
    </row>
    <row r="1184" spans="3:10" ht="15" hidden="1" customHeight="1" x14ac:dyDescent="0.35">
      <c r="C1184" s="671" t="s">
        <v>2021</v>
      </c>
      <c r="D1184" s="238">
        <v>44438</v>
      </c>
      <c r="E1184" s="121" t="s">
        <v>854</v>
      </c>
      <c r="F1184" s="755">
        <v>44443</v>
      </c>
      <c r="G1184" s="237">
        <f>Table1[[#This Row],[Start Date]]</f>
        <v>44443</v>
      </c>
      <c r="H1184" s="251"/>
      <c r="I1184" s="618"/>
      <c r="J1184" s="179" t="str">
        <f>Table1[[#This Row],[Routine Activities (PM/ PMCAL, CM, Genba, Isotanker, Material Readiness, Sampling)]]</f>
        <v>PUR water skid PM</v>
      </c>
    </row>
    <row r="1185" spans="3:10" ht="15" hidden="1" customHeight="1" x14ac:dyDescent="0.35">
      <c r="C1185" s="627" t="s">
        <v>1851</v>
      </c>
      <c r="D1185" s="238">
        <v>44445</v>
      </c>
      <c r="E1185" s="121" t="s">
        <v>1953</v>
      </c>
      <c r="F1185" s="755"/>
      <c r="G1185" s="237">
        <f>Table1[[#This Row],[Start Date]]</f>
        <v>0</v>
      </c>
      <c r="H1185" s="251" t="s">
        <v>462</v>
      </c>
      <c r="I1185" s="618"/>
      <c r="J1185" s="179" t="str">
        <f>Table1[[#This Row],[Routine Activities (PM/ PMCAL, CM, Genba, Isotanker, Material Readiness, Sampling)]]</f>
        <v>Org waste offloading (not req)</v>
      </c>
    </row>
    <row r="1186" spans="3:10" ht="15" hidden="1" customHeight="1" x14ac:dyDescent="0.35">
      <c r="C1186" s="627" t="s">
        <v>1822</v>
      </c>
      <c r="D1186" s="238">
        <v>44445</v>
      </c>
      <c r="E1186" s="121" t="s">
        <v>1953</v>
      </c>
      <c r="F1186" s="755"/>
      <c r="G1186" s="237">
        <f>Table1[[#This Row],[Start Date]]</f>
        <v>0</v>
      </c>
      <c r="H1186" s="251" t="s">
        <v>462</v>
      </c>
      <c r="I1186" s="618"/>
      <c r="J1186" s="179" t="str">
        <f>Table1[[#This Row],[Routine Activities (PM/ PMCAL, CM, Genba, Isotanker, Material Readiness, Sampling)]]</f>
        <v>Aq Waste offloading (not req)</v>
      </c>
    </row>
    <row r="1187" spans="3:10" ht="15" hidden="1" customHeight="1" x14ac:dyDescent="0.35">
      <c r="C1187" s="627" t="s">
        <v>2091</v>
      </c>
      <c r="D1187" s="238">
        <v>44445</v>
      </c>
      <c r="E1187" s="121" t="s">
        <v>377</v>
      </c>
      <c r="F1187" s="755"/>
      <c r="G1187" s="237">
        <f>Table1[[#This Row],[Start Date]]</f>
        <v>0</v>
      </c>
      <c r="H1187" s="251" t="s">
        <v>462</v>
      </c>
      <c r="I1187" s="618"/>
      <c r="J1187" s="179" t="str">
        <f>Table1[[#This Row],[Routine Activities (PM/ PMCAL, CM, Genba, Isotanker, Material Readiness, Sampling)]]</f>
        <v>Solvent top up (not req)</v>
      </c>
    </row>
    <row r="1188" spans="3:10" ht="15" hidden="1" customHeight="1" x14ac:dyDescent="0.35">
      <c r="C1188" s="627" t="s">
        <v>2112</v>
      </c>
      <c r="D1188" s="238">
        <v>44445</v>
      </c>
      <c r="E1188" s="121" t="s">
        <v>377</v>
      </c>
      <c r="F1188" s="755">
        <v>44448</v>
      </c>
      <c r="G1188" s="237">
        <f>Table1[[#This Row],[Start Date]]</f>
        <v>44448</v>
      </c>
      <c r="H1188" s="251"/>
      <c r="I1188" s="618"/>
      <c r="J1188" s="179" t="str">
        <f>Table1[[#This Row],[Routine Activities (PM/ PMCAL, CM, Genba, Isotanker, Material Readiness, Sampling)]]</f>
        <v>N2 top up (Thurs)</v>
      </c>
    </row>
    <row r="1189" spans="3:10" ht="15" hidden="1" customHeight="1" x14ac:dyDescent="0.35">
      <c r="C1189" s="627" t="s">
        <v>2113</v>
      </c>
      <c r="D1189" s="238">
        <v>44445</v>
      </c>
      <c r="E1189" s="121" t="s">
        <v>2051</v>
      </c>
      <c r="F1189" s="755"/>
      <c r="G1189" s="237">
        <f>Table1[[#This Row],[Start Date]]</f>
        <v>0</v>
      </c>
      <c r="H1189" s="251"/>
      <c r="I1189" s="618"/>
      <c r="J1189" s="179" t="str">
        <f>Table1[[#This Row],[Routine Activities (PM/ PMCAL, CM, Genba, Isotanker, Material Readiness, Sampling)]]</f>
        <v>Genba</v>
      </c>
    </row>
    <row r="1190" spans="3:10" ht="15" hidden="1" customHeight="1" x14ac:dyDescent="0.35">
      <c r="C1190" s="627" t="s">
        <v>2114</v>
      </c>
      <c r="D1190" s="238">
        <v>44445</v>
      </c>
      <c r="E1190" s="121" t="s">
        <v>418</v>
      </c>
      <c r="F1190" s="755">
        <v>44447</v>
      </c>
      <c r="G1190" s="237">
        <f>Table1[[#This Row],[Start Date]]</f>
        <v>44447</v>
      </c>
      <c r="H1190" s="251"/>
      <c r="I1190" s="618"/>
      <c r="J1190" s="179" t="str">
        <f>Table1[[#This Row],[Routine Activities (PM/ PMCAL, CM, Genba, Isotanker, Material Readiness, Sampling)]]</f>
        <v>A2-3 and A2-4 material readiness</v>
      </c>
    </row>
    <row r="1191" spans="3:10" ht="15" hidden="1" customHeight="1" x14ac:dyDescent="0.35">
      <c r="C1191" s="627" t="s">
        <v>2115</v>
      </c>
      <c r="D1191" s="238">
        <v>44445</v>
      </c>
      <c r="E1191" s="121" t="s">
        <v>1149</v>
      </c>
      <c r="F1191" s="755">
        <v>44445</v>
      </c>
      <c r="G1191" s="237">
        <f>Table1[[#This Row],[Start Date]]</f>
        <v>44445</v>
      </c>
      <c r="H1191" s="251"/>
      <c r="I1191" s="618"/>
      <c r="J1191" s="179" t="str">
        <f>Table1[[#This Row],[Routine Activities (PM/ PMCAL, CM, Genba, Isotanker, Material Readiness, Sampling)]]</f>
        <v>QC oven PMCAL</v>
      </c>
    </row>
    <row r="1192" spans="3:10" ht="15" hidden="1" customHeight="1" x14ac:dyDescent="0.35">
      <c r="C1192" s="627" t="s">
        <v>1595</v>
      </c>
      <c r="D1192" s="238">
        <v>44445</v>
      </c>
      <c r="E1192" s="121" t="s">
        <v>1934</v>
      </c>
      <c r="F1192" s="755">
        <v>44447</v>
      </c>
      <c r="G1192" s="237">
        <f>Table1[[#This Row],[Start Date]]</f>
        <v>44447</v>
      </c>
      <c r="H1192" s="251"/>
      <c r="I1192" s="618"/>
      <c r="J1192" s="179" t="str">
        <f>Table1[[#This Row],[Routine Activities (PM/ PMCAL, CM, Genba, Isotanker, Material Readiness, Sampling)]]</f>
        <v>Chilled water gen PM</v>
      </c>
    </row>
    <row r="1193" spans="3:10" ht="15" hidden="1" customHeight="1" x14ac:dyDescent="0.35">
      <c r="C1193" s="627" t="s">
        <v>2116</v>
      </c>
      <c r="D1193" s="238">
        <v>44445</v>
      </c>
      <c r="E1193" s="121" t="s">
        <v>1149</v>
      </c>
      <c r="F1193" s="755">
        <v>44449</v>
      </c>
      <c r="G1193" s="237">
        <f>Table1[[#This Row],[Start Date]]</f>
        <v>44449</v>
      </c>
      <c r="H1193" s="251"/>
      <c r="I1193" s="618"/>
      <c r="J1193" s="179" t="str">
        <f>Table1[[#This Row],[Routine Activities (PM/ PMCAL, CM, Genba, Isotanker, Material Readiness, Sampling)]]</f>
        <v>QC pH meter PMCAL</v>
      </c>
    </row>
    <row r="1194" spans="3:10" ht="15" hidden="1" customHeight="1" x14ac:dyDescent="0.35">
      <c r="C1194" s="627" t="s">
        <v>1974</v>
      </c>
      <c r="D1194" s="238">
        <v>44445</v>
      </c>
      <c r="E1194" s="121" t="s">
        <v>773</v>
      </c>
      <c r="F1194" s="755">
        <v>44449</v>
      </c>
      <c r="G1194" s="237">
        <f>Table1[[#This Row],[Start Date]]</f>
        <v>44449</v>
      </c>
      <c r="H1194" s="251"/>
      <c r="I1194" s="618"/>
      <c r="J1194" s="179" t="str">
        <f>Table1[[#This Row],[Routine Activities (PM/ PMCAL, CM, Genba, Isotanker, Material Readiness, Sampling)]]</f>
        <v>Hydrog PM</v>
      </c>
    </row>
    <row r="1195" spans="3:10" ht="15" hidden="1" customHeight="1" x14ac:dyDescent="0.35">
      <c r="C1195" s="627" t="s">
        <v>2117</v>
      </c>
      <c r="D1195" s="238">
        <v>44445</v>
      </c>
      <c r="E1195" s="121" t="s">
        <v>1947</v>
      </c>
      <c r="F1195" s="755">
        <v>44450</v>
      </c>
      <c r="G1195" s="237">
        <f>Table1[[#This Row],[Start Date]]</f>
        <v>44450</v>
      </c>
      <c r="H1195" s="251"/>
      <c r="I1195" s="618"/>
      <c r="J1195" s="179" t="str">
        <f>Table1[[#This Row],[Routine Activities (PM/ PMCAL, CM, Genba, Isotanker, Material Readiness, Sampling)]]</f>
        <v>LEL PMCAL</v>
      </c>
    </row>
    <row r="1196" spans="3:10" ht="15" hidden="1" customHeight="1" x14ac:dyDescent="0.35">
      <c r="C1196" s="627" t="s">
        <v>1946</v>
      </c>
      <c r="D1196" s="238">
        <v>44445</v>
      </c>
      <c r="E1196" s="121" t="s">
        <v>1947</v>
      </c>
      <c r="F1196" s="755">
        <v>44450</v>
      </c>
      <c r="G1196" s="237">
        <f>Table1[[#This Row],[Start Date]]</f>
        <v>44450</v>
      </c>
      <c r="H1196" s="251"/>
      <c r="I1196" s="618"/>
      <c r="J1196" s="179" t="str">
        <f>Table1[[#This Row],[Routine Activities (PM/ PMCAL, CM, Genba, Isotanker, Material Readiness, Sampling)]]</f>
        <v>H2 gas detector PMCAL</v>
      </c>
    </row>
    <row r="1197" spans="3:10" ht="15" hidden="1" customHeight="1" x14ac:dyDescent="0.35">
      <c r="C1197" s="671" t="s">
        <v>1399</v>
      </c>
      <c r="D1197" s="238">
        <v>44445</v>
      </c>
      <c r="E1197" s="121" t="s">
        <v>1920</v>
      </c>
      <c r="F1197" s="755">
        <v>44450</v>
      </c>
      <c r="G1197" s="237">
        <f>Table1[[#This Row],[Start Date]]</f>
        <v>44450</v>
      </c>
      <c r="H1197" s="251"/>
      <c r="I1197" s="618"/>
      <c r="J1197" s="179" t="str">
        <f>Table1[[#This Row],[Routine Activities (PM/ PMCAL, CM, Genba, Isotanker, Material Readiness, Sampling)]]</f>
        <v>PD pipette PMCAL</v>
      </c>
    </row>
    <row r="1198" spans="3:10" ht="15" hidden="1" customHeight="1" x14ac:dyDescent="0.35">
      <c r="C1198" s="671" t="s">
        <v>1480</v>
      </c>
      <c r="D1198" s="238">
        <v>44445</v>
      </c>
      <c r="E1198" s="121" t="s">
        <v>2094</v>
      </c>
      <c r="F1198" s="755">
        <v>44450</v>
      </c>
      <c r="G1198" s="237">
        <f>Table1[[#This Row],[Start Date]]</f>
        <v>44450</v>
      </c>
      <c r="H1198" s="251"/>
      <c r="I1198" s="618"/>
      <c r="J1198" s="179" t="str">
        <f>Table1[[#This Row],[Routine Activities (PM/ PMCAL, CM, Genba, Isotanker, Material Readiness, Sampling)]]</f>
        <v>PD moisture analyzer PMCAL</v>
      </c>
    </row>
    <row r="1199" spans="3:10" ht="15" hidden="1" customHeight="1" x14ac:dyDescent="0.35">
      <c r="C1199" s="671" t="s">
        <v>1462</v>
      </c>
      <c r="D1199" s="238">
        <v>44445</v>
      </c>
      <c r="E1199" s="121" t="s">
        <v>1024</v>
      </c>
      <c r="F1199" s="755">
        <v>44451</v>
      </c>
      <c r="G1199" s="237">
        <f>Table1[[#This Row],[Start Date]]</f>
        <v>44451</v>
      </c>
      <c r="H1199" s="251"/>
      <c r="I1199" s="618"/>
      <c r="J1199" s="179" t="str">
        <f>Table1[[#This Row],[Routine Activities (PM/ PMCAL, CM, Genba, Isotanker, Material Readiness, Sampling)]]</f>
        <v>Weights PMCAL</v>
      </c>
    </row>
    <row r="1200" spans="3:10" ht="15" hidden="1" customHeight="1" x14ac:dyDescent="0.35">
      <c r="C1200" s="671" t="s">
        <v>2118</v>
      </c>
      <c r="D1200" s="238">
        <v>44445</v>
      </c>
      <c r="E1200" s="121" t="s">
        <v>773</v>
      </c>
      <c r="F1200" s="755">
        <v>44451</v>
      </c>
      <c r="G1200" s="237">
        <f>Table1[[#This Row],[Start Date]]</f>
        <v>44451</v>
      </c>
      <c r="H1200" s="251"/>
      <c r="I1200" s="618"/>
      <c r="J1200" s="179" t="str">
        <f>Table1[[#This Row],[Routine Activities (PM/ PMCAL, CM, Genba, Isotanker, Material Readiness, Sampling)]]</f>
        <v>Org waste tank PM</v>
      </c>
    </row>
    <row r="1201" spans="3:10" ht="15" hidden="1" customHeight="1" x14ac:dyDescent="0.35">
      <c r="C1201" s="671" t="s">
        <v>1851</v>
      </c>
      <c r="D1201" s="238">
        <v>44452</v>
      </c>
      <c r="E1201" s="121" t="s">
        <v>1953</v>
      </c>
      <c r="F1201" s="755"/>
      <c r="G1201" s="237">
        <f>Table1[[#This Row],[Start Date]]</f>
        <v>0</v>
      </c>
      <c r="H1201" s="251"/>
      <c r="I1201" s="618"/>
      <c r="J1201" s="179" t="str">
        <f>Table1[[#This Row],[Routine Activities (PM/ PMCAL, CM, Genba, Isotanker, Material Readiness, Sampling)]]</f>
        <v>Org waste offloading (not req)</v>
      </c>
    </row>
    <row r="1202" spans="3:10" ht="15" hidden="1" customHeight="1" x14ac:dyDescent="0.35">
      <c r="C1202" s="671" t="s">
        <v>2119</v>
      </c>
      <c r="D1202" s="238">
        <v>44452</v>
      </c>
      <c r="E1202" s="121" t="s">
        <v>1953</v>
      </c>
      <c r="F1202" s="755">
        <v>44452</v>
      </c>
      <c r="G1202" s="237">
        <f>Table1[[#This Row],[Start Date]]</f>
        <v>44452</v>
      </c>
      <c r="H1202" s="251"/>
      <c r="I1202" s="618"/>
      <c r="J1202" s="179" t="str">
        <f>Table1[[#This Row],[Routine Activities (PM/ PMCAL, CM, Genba, Isotanker, Material Readiness, Sampling)]]</f>
        <v>Aq waste offloading (Mon)</v>
      </c>
    </row>
    <row r="1203" spans="3:10" ht="15" hidden="1" customHeight="1" x14ac:dyDescent="0.35">
      <c r="C1203" s="671" t="s">
        <v>2091</v>
      </c>
      <c r="D1203" s="238">
        <v>44452</v>
      </c>
      <c r="E1203" s="121" t="s">
        <v>377</v>
      </c>
      <c r="F1203" s="755"/>
      <c r="G1203" s="237">
        <f>Table1[[#This Row],[Start Date]]</f>
        <v>0</v>
      </c>
      <c r="H1203" s="251"/>
      <c r="I1203" s="618"/>
      <c r="J1203" s="179" t="str">
        <f>Table1[[#This Row],[Routine Activities (PM/ PMCAL, CM, Genba, Isotanker, Material Readiness, Sampling)]]</f>
        <v>Solvent top up (not req)</v>
      </c>
    </row>
    <row r="1204" spans="3:10" ht="15" hidden="1" customHeight="1" x14ac:dyDescent="0.35">
      <c r="C1204" s="671" t="s">
        <v>2112</v>
      </c>
      <c r="D1204" s="238">
        <v>44452</v>
      </c>
      <c r="E1204" s="121" t="s">
        <v>377</v>
      </c>
      <c r="F1204" s="755">
        <v>44455</v>
      </c>
      <c r="G1204" s="237">
        <f>Table1[[#This Row],[Start Date]]</f>
        <v>44455</v>
      </c>
      <c r="H1204" s="251"/>
      <c r="I1204" s="618"/>
      <c r="J1204" s="179" t="str">
        <f>Table1[[#This Row],[Routine Activities (PM/ PMCAL, CM, Genba, Isotanker, Material Readiness, Sampling)]]</f>
        <v>N2 top up (Thurs)</v>
      </c>
    </row>
    <row r="1205" spans="3:10" ht="15" hidden="1" customHeight="1" x14ac:dyDescent="0.35">
      <c r="C1205" s="671" t="s">
        <v>2120</v>
      </c>
      <c r="D1205" s="238">
        <v>44452</v>
      </c>
      <c r="E1205" s="121" t="s">
        <v>1885</v>
      </c>
      <c r="F1205" s="755">
        <v>44454</v>
      </c>
      <c r="G1205" s="237">
        <f>Table1[[#This Row],[Start Date]]</f>
        <v>44454</v>
      </c>
      <c r="H1205" s="251"/>
      <c r="I1205" s="618"/>
      <c r="J1205" s="179" t="str">
        <f>Table1[[#This Row],[Routine Activities (PM/ PMCAL, CM, Genba, Isotanker, Material Readiness, Sampling)]]</f>
        <v>Genba (H2 check valve)</v>
      </c>
    </row>
    <row r="1206" spans="3:10" ht="15" hidden="1" customHeight="1" x14ac:dyDescent="0.35">
      <c r="C1206" s="671" t="s">
        <v>2109</v>
      </c>
      <c r="D1206" s="238">
        <v>44452</v>
      </c>
      <c r="E1206" s="121" t="s">
        <v>1598</v>
      </c>
      <c r="F1206" s="755"/>
      <c r="G1206" s="237">
        <f>Table1[[#This Row],[Start Date]]</f>
        <v>0</v>
      </c>
      <c r="H1206" s="251"/>
      <c r="I1206" s="618"/>
      <c r="J1206" s="179" t="str">
        <f>Table1[[#This Row],[Routine Activities (PM/ PMCAL, CM, Genba, Isotanker, Material Readiness, Sampling)]]</f>
        <v>Lightning protection system PM</v>
      </c>
    </row>
    <row r="1207" spans="3:10" ht="15" hidden="1" customHeight="1" x14ac:dyDescent="0.35">
      <c r="C1207" s="671" t="s">
        <v>2121</v>
      </c>
      <c r="D1207" s="238">
        <v>44452</v>
      </c>
      <c r="E1207" s="121" t="s">
        <v>1922</v>
      </c>
      <c r="F1207" s="755">
        <v>44455</v>
      </c>
      <c r="G1207" s="237">
        <f>Table1[[#This Row],[Start Date]]</f>
        <v>44455</v>
      </c>
      <c r="H1207" s="251"/>
      <c r="I1207" s="618"/>
      <c r="J1207" s="179" t="str">
        <f>Table1[[#This Row],[Routine Activities (PM/ PMCAL, CM, Genba, Isotanker, Material Readiness, Sampling)]]</f>
        <v>WH freezers PM</v>
      </c>
    </row>
    <row r="1208" spans="3:10" ht="15" hidden="1" customHeight="1" x14ac:dyDescent="0.35">
      <c r="C1208" s="671" t="s">
        <v>1969</v>
      </c>
      <c r="D1208" s="238">
        <v>44452</v>
      </c>
      <c r="E1208" s="121" t="s">
        <v>1024</v>
      </c>
      <c r="F1208" s="755">
        <v>44456</v>
      </c>
      <c r="G1208" s="237">
        <f>Table1[[#This Row],[Start Date]]</f>
        <v>44456</v>
      </c>
      <c r="H1208" s="251"/>
      <c r="I1208" s="618"/>
      <c r="J1208" s="179" t="str">
        <f>Table1[[#This Row],[Routine Activities (PM/ PMCAL, CM, Genba, Isotanker, Material Readiness, Sampling)]]</f>
        <v>Instrument stnd PMCAL</v>
      </c>
    </row>
    <row r="1209" spans="3:10" ht="15" hidden="1" customHeight="1" x14ac:dyDescent="0.35">
      <c r="C1209" s="671" t="s">
        <v>2121</v>
      </c>
      <c r="D1209" s="238">
        <v>44452</v>
      </c>
      <c r="E1209" s="121" t="s">
        <v>1922</v>
      </c>
      <c r="F1209" s="755">
        <v>44456</v>
      </c>
      <c r="G1209" s="237">
        <f>Table1[[#This Row],[Start Date]]</f>
        <v>44456</v>
      </c>
      <c r="H1209" s="251"/>
      <c r="I1209" s="618"/>
      <c r="J1209" s="179" t="str">
        <f>Table1[[#This Row],[Routine Activities (PM/ PMCAL, CM, Genba, Isotanker, Material Readiness, Sampling)]]</f>
        <v>WH freezers PM</v>
      </c>
    </row>
    <row r="1210" spans="3:10" ht="15" hidden="1" customHeight="1" x14ac:dyDescent="0.35">
      <c r="C1210" s="671" t="s">
        <v>1836</v>
      </c>
      <c r="D1210" s="238">
        <v>44459</v>
      </c>
      <c r="E1210" s="121" t="s">
        <v>1953</v>
      </c>
      <c r="F1210" s="755">
        <v>44463</v>
      </c>
      <c r="G1210" s="237">
        <f>Table1[[#This Row],[Start Date]]</f>
        <v>44463</v>
      </c>
      <c r="H1210" s="251"/>
      <c r="I1210" s="618"/>
      <c r="J1210" s="179" t="str">
        <f>Table1[[#This Row],[Routine Activities (PM/ PMCAL, CM, Genba, Isotanker, Material Readiness, Sampling)]]</f>
        <v>Org waste offloading</v>
      </c>
    </row>
    <row r="1211" spans="3:10" ht="15" hidden="1" customHeight="1" x14ac:dyDescent="0.35">
      <c r="C1211" s="671" t="s">
        <v>1822</v>
      </c>
      <c r="D1211" s="238">
        <v>44459</v>
      </c>
      <c r="E1211" s="121" t="s">
        <v>1953</v>
      </c>
      <c r="F1211" s="755"/>
      <c r="G1211" s="237">
        <f>Table1[[#This Row],[Start Date]]</f>
        <v>0</v>
      </c>
      <c r="H1211" s="251" t="s">
        <v>462</v>
      </c>
      <c r="I1211" s="618"/>
      <c r="J1211" s="179" t="str">
        <f>Table1[[#This Row],[Routine Activities (PM/ PMCAL, CM, Genba, Isotanker, Material Readiness, Sampling)]]</f>
        <v>Aq Waste offloading (not req)</v>
      </c>
    </row>
    <row r="1212" spans="3:10" ht="15" hidden="1" customHeight="1" x14ac:dyDescent="0.35">
      <c r="C1212" s="671" t="s">
        <v>2097</v>
      </c>
      <c r="D1212" s="238">
        <v>44466</v>
      </c>
      <c r="E1212" s="121" t="s">
        <v>377</v>
      </c>
      <c r="F1212" s="755">
        <v>44466</v>
      </c>
      <c r="G1212" s="237">
        <f>Table1[[#This Row],[Start Date]]</f>
        <v>44466</v>
      </c>
      <c r="H1212" s="251"/>
      <c r="I1212" s="618"/>
      <c r="J1212" s="179" t="str">
        <f>Table1[[#This Row],[Routine Activities (PM/ PMCAL, CM, Genba, Isotanker, Material Readiness, Sampling)]]</f>
        <v xml:space="preserve">EA top up </v>
      </c>
    </row>
    <row r="1213" spans="3:10" ht="15" hidden="1" customHeight="1" x14ac:dyDescent="0.35">
      <c r="C1213" s="671" t="s">
        <v>2081</v>
      </c>
      <c r="D1213" s="238">
        <v>44459</v>
      </c>
      <c r="E1213" s="121" t="s">
        <v>377</v>
      </c>
      <c r="F1213" s="755">
        <v>44462</v>
      </c>
      <c r="G1213" s="237">
        <f>Table1[[#This Row],[Start Date]]</f>
        <v>44462</v>
      </c>
      <c r="H1213" s="251"/>
      <c r="I1213" s="618"/>
      <c r="J1213" s="179" t="str">
        <f>Table1[[#This Row],[Routine Activities (PM/ PMCAL, CM, Genba, Isotanker, Material Readiness, Sampling)]]</f>
        <v>N2 top up</v>
      </c>
    </row>
    <row r="1214" spans="3:10" ht="15" hidden="1" customHeight="1" x14ac:dyDescent="0.35">
      <c r="C1214" s="671" t="s">
        <v>2122</v>
      </c>
      <c r="D1214" s="238">
        <v>44459</v>
      </c>
      <c r="E1214" s="121" t="s">
        <v>1885</v>
      </c>
      <c r="F1214" s="755">
        <v>44461</v>
      </c>
      <c r="G1214" s="237">
        <f>Table1[[#This Row],[Start Date]]</f>
        <v>44461</v>
      </c>
      <c r="H1214" s="251"/>
      <c r="I1214" s="618"/>
      <c r="J1214" s="179" t="str">
        <f>Table1[[#This Row],[Routine Activities (PM/ PMCAL, CM, Genba, Isotanker, Material Readiness, Sampling)]]</f>
        <v xml:space="preserve">Genba </v>
      </c>
    </row>
    <row r="1215" spans="3:10" ht="15" hidden="1" customHeight="1" x14ac:dyDescent="0.35">
      <c r="C1215" s="671" t="s">
        <v>2123</v>
      </c>
      <c r="D1215" s="238">
        <v>44459</v>
      </c>
      <c r="E1215" s="121" t="s">
        <v>418</v>
      </c>
      <c r="F1215" s="755">
        <v>44461</v>
      </c>
      <c r="G1215" s="237">
        <f>Table1[[#This Row],[Start Date]]</f>
        <v>44461</v>
      </c>
      <c r="H1215" s="251"/>
      <c r="I1215" s="618"/>
      <c r="J1215" s="179" t="str">
        <f>Table1[[#This Row],[Routine Activities (PM/ PMCAL, CM, Genba, Isotanker, Material Readiness, Sampling)]]</f>
        <v>A2-5 and A2-6 material readiness (salts)</v>
      </c>
    </row>
    <row r="1216" spans="3:10" ht="15" hidden="1" customHeight="1" x14ac:dyDescent="0.35">
      <c r="C1216" s="671" t="s">
        <v>2124</v>
      </c>
      <c r="D1216" s="238">
        <v>44459</v>
      </c>
      <c r="E1216" s="121" t="s">
        <v>418</v>
      </c>
      <c r="F1216" s="755">
        <v>44463</v>
      </c>
      <c r="G1216" s="237">
        <f>Table1[[#This Row],[Start Date]]</f>
        <v>44463</v>
      </c>
      <c r="H1216" s="251"/>
      <c r="I1216" s="618"/>
      <c r="J1216" s="179" t="str">
        <f>Table1[[#This Row],[Routine Activities (PM/ PMCAL, CM, Genba, Isotanker, Material Readiness, Sampling)]]</f>
        <v>A2-5 and A2-6 material readiness (PR)</v>
      </c>
    </row>
    <row r="1217" spans="3:10" ht="15" hidden="1" customHeight="1" x14ac:dyDescent="0.35">
      <c r="C1217" s="671" t="s">
        <v>1584</v>
      </c>
      <c r="D1217" s="238">
        <v>44459</v>
      </c>
      <c r="E1217" s="121" t="s">
        <v>1934</v>
      </c>
      <c r="F1217" s="755">
        <v>44459</v>
      </c>
      <c r="G1217" s="237">
        <f>Table1[[#This Row],[Start Date]]</f>
        <v>44459</v>
      </c>
      <c r="H1217" s="251"/>
      <c r="I1217" s="618"/>
      <c r="J1217" s="179" t="str">
        <f>Table1[[#This Row],[Routine Activities (PM/ PMCAL, CM, Genba, Isotanker, Material Readiness, Sampling)]]</f>
        <v>Glycol chiller PM</v>
      </c>
    </row>
    <row r="1218" spans="3:10" ht="15" hidden="1" customHeight="1" x14ac:dyDescent="0.35">
      <c r="C1218" s="671" t="s">
        <v>2125</v>
      </c>
      <c r="D1218" s="238">
        <v>44459</v>
      </c>
      <c r="E1218" s="121" t="s">
        <v>1934</v>
      </c>
      <c r="F1218" s="755">
        <v>44459</v>
      </c>
      <c r="G1218" s="237">
        <f>Table1[[#This Row],[Start Date]]</f>
        <v>44459</v>
      </c>
      <c r="H1218" s="251"/>
      <c r="I1218" s="618"/>
      <c r="J1218" s="179" t="str">
        <f>Table1[[#This Row],[Routine Activities (PM/ PMCAL, CM, Genba, Isotanker, Material Readiness, Sampling)]]</f>
        <v>Cold Room PM</v>
      </c>
    </row>
    <row r="1219" spans="3:10" ht="15" hidden="1" customHeight="1" x14ac:dyDescent="0.35">
      <c r="C1219" s="671" t="s">
        <v>2126</v>
      </c>
      <c r="D1219" s="238">
        <v>44459</v>
      </c>
      <c r="E1219" s="121" t="s">
        <v>1637</v>
      </c>
      <c r="F1219" s="755">
        <v>44462</v>
      </c>
      <c r="G1219" s="237">
        <f>Table1[[#This Row],[Start Date]]</f>
        <v>44462</v>
      </c>
      <c r="H1219" s="251"/>
      <c r="I1219" s="618"/>
      <c r="J1219" s="179" t="str">
        <f>Table1[[#This Row],[Routine Activities (PM/ PMCAL, CM, Genba, Isotanker, Material Readiness, Sampling)]]</f>
        <v>QC &amp; PD fumehood PM</v>
      </c>
    </row>
    <row r="1220" spans="3:10" ht="15" hidden="1" customHeight="1" x14ac:dyDescent="0.35">
      <c r="C1220" s="671" t="s">
        <v>2127</v>
      </c>
      <c r="D1220" s="238">
        <v>44459</v>
      </c>
      <c r="E1220" s="121" t="s">
        <v>979</v>
      </c>
      <c r="F1220" s="755">
        <v>44461</v>
      </c>
      <c r="G1220" s="237">
        <f>Table1[[#This Row],[Start Date]]</f>
        <v>44461</v>
      </c>
      <c r="H1220" s="251"/>
      <c r="I1220" s="618"/>
      <c r="J1220" s="179" t="str">
        <f>Table1[[#This Row],[Routine Activities (PM/ PMCAL, CM, Genba, Isotanker, Material Readiness, Sampling)]]</f>
        <v>Disp isolator PMCERT</v>
      </c>
    </row>
    <row r="1221" spans="3:10" ht="15" hidden="1" customHeight="1" x14ac:dyDescent="0.35">
      <c r="C1221" s="671" t="s">
        <v>2128</v>
      </c>
      <c r="D1221" s="238">
        <v>44459</v>
      </c>
      <c r="E1221" s="121" t="s">
        <v>1637</v>
      </c>
      <c r="F1221" s="755">
        <v>44461</v>
      </c>
      <c r="G1221" s="237">
        <f>Table1[[#This Row],[Start Date]]</f>
        <v>44461</v>
      </c>
      <c r="H1221" s="251"/>
      <c r="I1221" s="618"/>
      <c r="J1221" s="179" t="str">
        <f>Table1[[#This Row],[Routine Activities (PM/ PMCAL, CM, Genba, Isotanker, Material Readiness, Sampling)]]</f>
        <v>Downflow booth PMCERT</v>
      </c>
    </row>
    <row r="1222" spans="3:10" ht="15" hidden="1" customHeight="1" x14ac:dyDescent="0.35">
      <c r="C1222" s="671" t="s">
        <v>1610</v>
      </c>
      <c r="D1222" s="238">
        <v>44459</v>
      </c>
      <c r="E1222" s="121" t="s">
        <v>979</v>
      </c>
      <c r="F1222" s="755">
        <v>44462</v>
      </c>
      <c r="G1222" s="237">
        <f>Table1[[#This Row],[Start Date]]</f>
        <v>44462</v>
      </c>
      <c r="H1222" s="251"/>
      <c r="I1222" s="618"/>
      <c r="J1222" s="179" t="str">
        <f>Table1[[#This Row],[Routine Activities (PM/ PMCAL, CM, Genba, Isotanker, Material Readiness, Sampling)]]</f>
        <v>Reactor 2 PM</v>
      </c>
    </row>
    <row r="1223" spans="3:10" ht="15" hidden="1" customHeight="1" x14ac:dyDescent="0.35">
      <c r="C1223" s="671" t="s">
        <v>1480</v>
      </c>
      <c r="D1223" s="238">
        <v>44459</v>
      </c>
      <c r="E1223" s="121" t="s">
        <v>2129</v>
      </c>
      <c r="F1223" s="755">
        <v>44462</v>
      </c>
      <c r="G1223" s="237">
        <f>Table1[[#This Row],[Start Date]]</f>
        <v>44462</v>
      </c>
      <c r="H1223" s="251"/>
      <c r="I1223" s="618"/>
      <c r="J1223" s="179" t="str">
        <f>Table1[[#This Row],[Routine Activities (PM/ PMCAL, CM, Genba, Isotanker, Material Readiness, Sampling)]]</f>
        <v>PD moisture analyzer PMCAL</v>
      </c>
    </row>
    <row r="1224" spans="3:10" ht="15" hidden="1" customHeight="1" x14ac:dyDescent="0.35">
      <c r="C1224" s="671" t="s">
        <v>2130</v>
      </c>
      <c r="D1224" s="238">
        <v>44459</v>
      </c>
      <c r="E1224" s="121" t="s">
        <v>979</v>
      </c>
      <c r="F1224" s="755">
        <v>44460</v>
      </c>
      <c r="G1224" s="237">
        <f>Table1[[#This Row],[Start Date]]</f>
        <v>44460</v>
      </c>
      <c r="H1224" s="251"/>
      <c r="I1224" s="618"/>
      <c r="J1224" s="179" t="str">
        <f>Table1[[#This Row],[Routine Activities (PM/ PMCAL, CM, Genba, Isotanker, Material Readiness, Sampling)]]</f>
        <v>Filter Dryer HEPA filter PMCERT</v>
      </c>
    </row>
    <row r="1225" spans="3:10" ht="15" hidden="1" customHeight="1" x14ac:dyDescent="0.35">
      <c r="C1225" s="671" t="s">
        <v>2131</v>
      </c>
      <c r="D1225" s="238">
        <v>44459</v>
      </c>
      <c r="E1225" s="121" t="s">
        <v>1637</v>
      </c>
      <c r="F1225" s="755">
        <v>44462</v>
      </c>
      <c r="G1225" s="237">
        <f>Table1[[#This Row],[Start Date]]</f>
        <v>44462</v>
      </c>
      <c r="H1225" s="251"/>
      <c r="I1225" s="618"/>
      <c r="J1225" s="179" t="str">
        <f>Table1[[#This Row],[Routine Activities (PM/ PMCAL, CM, Genba, Isotanker, Material Readiness, Sampling)]]</f>
        <v>Chemical fumehood PMCERT</v>
      </c>
    </row>
    <row r="1226" spans="3:10" ht="15" hidden="1" customHeight="1" x14ac:dyDescent="0.35">
      <c r="C1226" s="671" t="s">
        <v>2132</v>
      </c>
      <c r="D1226" s="238">
        <v>44459</v>
      </c>
      <c r="E1226" s="121" t="s">
        <v>773</v>
      </c>
      <c r="F1226" s="755">
        <v>44464</v>
      </c>
      <c r="G1226" s="237">
        <f>Table1[[#This Row],[Start Date]]</f>
        <v>44464</v>
      </c>
      <c r="H1226" s="251"/>
      <c r="I1226" s="618"/>
      <c r="J1226" s="179" t="str">
        <f>Table1[[#This Row],[Routine Activities (PM/ PMCAL, CM, Genba, Isotanker, Material Readiness, Sampling)]]</f>
        <v>Org waste tank boroscope inspection</v>
      </c>
    </row>
    <row r="1227" spans="3:10" ht="15" hidden="1" customHeight="1" x14ac:dyDescent="0.35">
      <c r="C1227" s="671" t="s">
        <v>2133</v>
      </c>
      <c r="D1227" s="238">
        <v>44459</v>
      </c>
      <c r="E1227" s="121" t="s">
        <v>1934</v>
      </c>
      <c r="F1227" s="755">
        <v>44464</v>
      </c>
      <c r="G1227" s="237">
        <f>Table1[[#This Row],[Start Date]]</f>
        <v>44464</v>
      </c>
      <c r="H1227" s="251"/>
      <c r="I1227" s="618"/>
      <c r="J1227" s="179" t="str">
        <f>Table1[[#This Row],[Routine Activities (PM/ PMCAL, CM, Genba, Isotanker, Material Readiness, Sampling)]]</f>
        <v>Aq waste tank external surface inspection</v>
      </c>
    </row>
    <row r="1228" spans="3:10" ht="15" hidden="1" customHeight="1" x14ac:dyDescent="0.35">
      <c r="C1228" s="671" t="s">
        <v>2134</v>
      </c>
      <c r="D1228" s="238">
        <v>44459</v>
      </c>
      <c r="E1228" s="121" t="s">
        <v>773</v>
      </c>
      <c r="F1228" s="755">
        <v>44464</v>
      </c>
      <c r="G1228" s="237">
        <f>Table1[[#This Row],[Start Date]]</f>
        <v>44464</v>
      </c>
      <c r="H1228" s="251"/>
      <c r="I1228" s="618"/>
      <c r="J1228" s="179" t="str">
        <f>Table1[[#This Row],[Routine Activities (PM/ PMCAL, CM, Genba, Isotanker, Material Readiness, Sampling)]]</f>
        <v>Scrubber pump isulation</v>
      </c>
    </row>
    <row r="1229" spans="3:10" ht="15" hidden="1" customHeight="1" x14ac:dyDescent="0.35">
      <c r="C1229" s="671" t="s">
        <v>2135</v>
      </c>
      <c r="D1229" s="238">
        <v>44466</v>
      </c>
      <c r="E1229" s="121" t="s">
        <v>979</v>
      </c>
      <c r="F1229" s="755">
        <v>44466</v>
      </c>
      <c r="G1229" s="237">
        <f>Table1[[#This Row],[Start Date]]</f>
        <v>44466</v>
      </c>
      <c r="H1229" s="251"/>
      <c r="I1229" s="618"/>
      <c r="J1229" s="179" t="str">
        <f>Table1[[#This Row],[Routine Activities (PM/ PMCAL, CM, Genba, Isotanker, Material Readiness, Sampling)]]</f>
        <v>Dispensing isolator diaphragm pump rectification</v>
      </c>
    </row>
    <row r="1230" spans="3:10" ht="15" hidden="1" customHeight="1" x14ac:dyDescent="0.35">
      <c r="C1230" s="671" t="s">
        <v>2136</v>
      </c>
      <c r="D1230" s="238">
        <v>44466</v>
      </c>
      <c r="E1230" s="121" t="s">
        <v>773</v>
      </c>
      <c r="F1230" s="755">
        <v>44466</v>
      </c>
      <c r="G1230" s="237">
        <f>Table1[[#This Row],[Start Date]]</f>
        <v>44466</v>
      </c>
      <c r="H1230" s="251"/>
      <c r="I1230" s="618"/>
      <c r="J1230" s="179" t="str">
        <f>Table1[[#This Row],[Routine Activities (PM/ PMCAL, CM, Genba, Isotanker, Material Readiness, Sampling)]]</f>
        <v>Heptane PSV servicing and recitification</v>
      </c>
    </row>
    <row r="1231" spans="3:10" ht="15" hidden="1" customHeight="1" x14ac:dyDescent="0.35">
      <c r="C1231" s="671" t="s">
        <v>1584</v>
      </c>
      <c r="D1231" s="238">
        <v>44466</v>
      </c>
      <c r="E1231" s="121" t="s">
        <v>1934</v>
      </c>
      <c r="F1231" s="755">
        <v>44470</v>
      </c>
      <c r="G1231" s="237">
        <f>Table1[[#This Row],[Start Date]]</f>
        <v>44470</v>
      </c>
      <c r="H1231" s="251"/>
      <c r="I1231" s="618"/>
      <c r="J1231" s="179" t="str">
        <f>Table1[[#This Row],[Routine Activities (PM/ PMCAL, CM, Genba, Isotanker, Material Readiness, Sampling)]]</f>
        <v>Glycol chiller PM</v>
      </c>
    </row>
    <row r="1232" spans="3:10" ht="15" hidden="1" customHeight="1" x14ac:dyDescent="0.35">
      <c r="C1232" s="671" t="s">
        <v>2137</v>
      </c>
      <c r="D1232" s="238">
        <v>44466</v>
      </c>
      <c r="E1232" s="121" t="s">
        <v>1149</v>
      </c>
      <c r="F1232" s="755">
        <v>44471</v>
      </c>
      <c r="G1232" s="237">
        <f>Table1[[#This Row],[Start Date]]</f>
        <v>44471</v>
      </c>
      <c r="H1232" s="251"/>
      <c r="I1232" s="618"/>
      <c r="J1232" s="179" t="str">
        <f>Table1[[#This Row],[Routine Activities (PM/ PMCAL, CM, Genba, Isotanker, Material Readiness, Sampling)]]</f>
        <v>QC 2 - 8deg C refrigerator PMCAL</v>
      </c>
    </row>
    <row r="1233" spans="3:10" ht="15" hidden="1" customHeight="1" x14ac:dyDescent="0.35">
      <c r="C1233" s="671" t="s">
        <v>1584</v>
      </c>
      <c r="D1233" s="238">
        <v>44466</v>
      </c>
      <c r="E1233" s="121" t="s">
        <v>1934</v>
      </c>
      <c r="F1233" s="755">
        <v>44471</v>
      </c>
      <c r="G1233" s="237">
        <f>Table1[[#This Row],[Start Date]]</f>
        <v>44471</v>
      </c>
      <c r="H1233" s="251"/>
      <c r="I1233" s="618"/>
      <c r="J1233" s="179" t="str">
        <f>Table1[[#This Row],[Routine Activities (PM/ PMCAL, CM, Genba, Isotanker, Material Readiness, Sampling)]]</f>
        <v>Glycol chiller PM</v>
      </c>
    </row>
    <row r="1234" spans="3:10" ht="15" hidden="1" customHeight="1" x14ac:dyDescent="0.35">
      <c r="C1234" s="671" t="s">
        <v>2063</v>
      </c>
      <c r="D1234" s="238">
        <v>44466</v>
      </c>
      <c r="E1234" s="121" t="s">
        <v>979</v>
      </c>
      <c r="F1234" s="755">
        <v>44472</v>
      </c>
      <c r="G1234" s="237">
        <f>Table1[[#This Row],[Start Date]]</f>
        <v>44472</v>
      </c>
      <c r="H1234" s="251"/>
      <c r="I1234" s="618"/>
      <c r="J1234" s="179" t="str">
        <f>Table1[[#This Row],[Routine Activities (PM/ PMCAL, CM, Genba, Isotanker, Material Readiness, Sampling)]]</f>
        <v>Dispensing isolator PM</v>
      </c>
    </row>
    <row r="1235" spans="3:10" ht="15" hidden="1" customHeight="1" x14ac:dyDescent="0.35">
      <c r="C1235" s="671" t="s">
        <v>1833</v>
      </c>
      <c r="D1235" s="238">
        <v>44466</v>
      </c>
      <c r="E1235" s="121" t="s">
        <v>1953</v>
      </c>
      <c r="F1235" s="755"/>
      <c r="G1235" s="237">
        <f>Table1[[#This Row],[Start Date]]</f>
        <v>0</v>
      </c>
      <c r="H1235" s="251" t="s">
        <v>462</v>
      </c>
      <c r="I1235" s="618"/>
      <c r="J1235" s="179" t="str">
        <f>Table1[[#This Row],[Routine Activities (PM/ PMCAL, CM, Genba, Isotanker, Material Readiness, Sampling)]]</f>
        <v xml:space="preserve">Org waste offloading </v>
      </c>
    </row>
    <row r="1236" spans="3:10" ht="15" hidden="1" customHeight="1" x14ac:dyDescent="0.35">
      <c r="C1236" s="671" t="s">
        <v>1865</v>
      </c>
      <c r="D1236" s="238">
        <v>44466</v>
      </c>
      <c r="E1236" s="121" t="s">
        <v>1953</v>
      </c>
      <c r="F1236" s="755"/>
      <c r="G1236" s="237">
        <f>Table1[[#This Row],[Start Date]]</f>
        <v>0</v>
      </c>
      <c r="H1236" s="251" t="s">
        <v>462</v>
      </c>
      <c r="I1236" s="618"/>
      <c r="J1236" s="179" t="str">
        <f>Table1[[#This Row],[Routine Activities (PM/ PMCAL, CM, Genba, Isotanker, Material Readiness, Sampling)]]</f>
        <v xml:space="preserve">Aq Waste offloading </v>
      </c>
    </row>
    <row r="1237" spans="3:10" ht="15" hidden="1" customHeight="1" x14ac:dyDescent="0.35">
      <c r="C1237" s="671" t="s">
        <v>2138</v>
      </c>
      <c r="D1237" s="238">
        <v>44466</v>
      </c>
      <c r="E1237" s="121" t="s">
        <v>377</v>
      </c>
      <c r="F1237" s="755"/>
      <c r="G1237" s="237">
        <f>Table1[[#This Row],[Start Date]]</f>
        <v>0</v>
      </c>
      <c r="H1237" s="251" t="s">
        <v>462</v>
      </c>
      <c r="I1237" s="618"/>
      <c r="J1237" s="179" t="str">
        <f>Table1[[#This Row],[Routine Activities (PM/ PMCAL, CM, Genba, Isotanker, Material Readiness, Sampling)]]</f>
        <v xml:space="preserve">Solvent top up </v>
      </c>
    </row>
    <row r="1238" spans="3:10" ht="15" hidden="1" customHeight="1" x14ac:dyDescent="0.35">
      <c r="C1238" s="671" t="s">
        <v>2092</v>
      </c>
      <c r="D1238" s="238">
        <v>44466</v>
      </c>
      <c r="E1238" s="121" t="s">
        <v>377</v>
      </c>
      <c r="F1238" s="755">
        <v>44469</v>
      </c>
      <c r="G1238" s="237">
        <f>Table1[[#This Row],[Start Date]]</f>
        <v>44469</v>
      </c>
      <c r="H1238" s="251"/>
      <c r="I1238" s="618"/>
      <c r="J1238" s="179" t="str">
        <f>Table1[[#This Row],[Routine Activities (PM/ PMCAL, CM, Genba, Isotanker, Material Readiness, Sampling)]]</f>
        <v xml:space="preserve">N2 top up </v>
      </c>
    </row>
    <row r="1239" spans="3:10" ht="15" hidden="1" customHeight="1" x14ac:dyDescent="0.35">
      <c r="C1239" s="671" t="s">
        <v>2113</v>
      </c>
      <c r="D1239" s="238">
        <v>44466</v>
      </c>
      <c r="E1239" s="121" t="s">
        <v>2051</v>
      </c>
      <c r="F1239" s="755">
        <v>44468</v>
      </c>
      <c r="G1239" s="237">
        <f>Table1[[#This Row],[Start Date]]</f>
        <v>44468</v>
      </c>
      <c r="H1239" s="251"/>
      <c r="I1239" s="618"/>
      <c r="J1239" s="179" t="str">
        <f>Table1[[#This Row],[Routine Activities (PM/ PMCAL, CM, Genba, Isotanker, Material Readiness, Sampling)]]</f>
        <v>Genba</v>
      </c>
    </row>
    <row r="1240" spans="3:10" ht="15" hidden="1" customHeight="1" x14ac:dyDescent="0.35">
      <c r="C1240" s="671" t="s">
        <v>1851</v>
      </c>
      <c r="D1240" s="238">
        <v>44473</v>
      </c>
      <c r="E1240" s="121" t="s">
        <v>1953</v>
      </c>
      <c r="F1240" s="755"/>
      <c r="G1240" s="237">
        <f>Table1[[#This Row],[Start Date]]</f>
        <v>0</v>
      </c>
      <c r="H1240" s="251"/>
      <c r="I1240" s="618"/>
      <c r="J1240" s="179" t="str">
        <f>Table1[[#This Row],[Routine Activities (PM/ PMCAL, CM, Genba, Isotanker, Material Readiness, Sampling)]]</f>
        <v>Org waste offloading (not req)</v>
      </c>
    </row>
    <row r="1241" spans="3:10" ht="15" hidden="1" customHeight="1" x14ac:dyDescent="0.35">
      <c r="C1241" s="671" t="s">
        <v>1822</v>
      </c>
      <c r="D1241" s="238">
        <v>44473</v>
      </c>
      <c r="E1241" s="121" t="s">
        <v>1953</v>
      </c>
      <c r="F1241" s="755"/>
      <c r="G1241" s="237">
        <f>Table1[[#This Row],[Start Date]]</f>
        <v>0</v>
      </c>
      <c r="H1241" s="251"/>
      <c r="I1241" s="618"/>
      <c r="J1241" s="179" t="str">
        <f>Table1[[#This Row],[Routine Activities (PM/ PMCAL, CM, Genba, Isotanker, Material Readiness, Sampling)]]</f>
        <v>Aq Waste offloading (not req)</v>
      </c>
    </row>
    <row r="1242" spans="3:10" ht="15" hidden="1" customHeight="1" x14ac:dyDescent="0.35">
      <c r="C1242" s="671" t="s">
        <v>2091</v>
      </c>
      <c r="D1242" s="238">
        <v>44473</v>
      </c>
      <c r="E1242" s="121" t="s">
        <v>377</v>
      </c>
      <c r="F1242" s="755"/>
      <c r="G1242" s="237">
        <f>Table1[[#This Row],[Start Date]]</f>
        <v>0</v>
      </c>
      <c r="H1242" s="251"/>
      <c r="I1242" s="618"/>
      <c r="J1242" s="179" t="str">
        <f>Table1[[#This Row],[Routine Activities (PM/ PMCAL, CM, Genba, Isotanker, Material Readiness, Sampling)]]</f>
        <v>Solvent top up (not req)</v>
      </c>
    </row>
    <row r="1243" spans="3:10" ht="15" hidden="1" customHeight="1" x14ac:dyDescent="0.35">
      <c r="C1243" s="671" t="s">
        <v>2092</v>
      </c>
      <c r="D1243" s="238">
        <v>44473</v>
      </c>
      <c r="E1243" s="121" t="s">
        <v>377</v>
      </c>
      <c r="F1243" s="755">
        <v>44476</v>
      </c>
      <c r="G1243" s="237">
        <f>Table1[[#This Row],[Start Date]]</f>
        <v>44476</v>
      </c>
      <c r="H1243" s="251"/>
      <c r="I1243" s="618"/>
      <c r="J1243" s="179" t="str">
        <f>Table1[[#This Row],[Routine Activities (PM/ PMCAL, CM, Genba, Isotanker, Material Readiness, Sampling)]]</f>
        <v xml:space="preserve">N2 top up </v>
      </c>
    </row>
    <row r="1244" spans="3:10" ht="15" hidden="1" customHeight="1" x14ac:dyDescent="0.35">
      <c r="C1244" s="671" t="s">
        <v>2139</v>
      </c>
      <c r="D1244" s="238">
        <v>44473</v>
      </c>
      <c r="E1244" s="121" t="s">
        <v>1885</v>
      </c>
      <c r="F1244" s="755">
        <v>44475</v>
      </c>
      <c r="G1244" s="237">
        <f>Table1[[#This Row],[Start Date]]</f>
        <v>44475</v>
      </c>
      <c r="H1244" s="251"/>
      <c r="I1244" s="618"/>
      <c r="J1244" s="179" t="str">
        <f>Table1[[#This Row],[Routine Activities (PM/ PMCAL, CM, Genba, Isotanker, Material Readiness, Sampling)]]</f>
        <v>Genba (area)</v>
      </c>
    </row>
    <row r="1245" spans="3:10" ht="15" hidden="1" customHeight="1" x14ac:dyDescent="0.35">
      <c r="C1245" s="671" t="s">
        <v>2140</v>
      </c>
      <c r="D1245" s="238">
        <v>44473</v>
      </c>
      <c r="E1245" s="121" t="s">
        <v>1149</v>
      </c>
      <c r="F1245" s="755">
        <v>44477</v>
      </c>
      <c r="G1245" s="237">
        <f>Table1[[#This Row],[Start Date]]</f>
        <v>44477</v>
      </c>
      <c r="H1245" s="251"/>
      <c r="I1245" s="618"/>
      <c r="J1245" s="179" t="str">
        <f>Table1[[#This Row],[Routine Activities (PM/ PMCAL, CM, Genba, Isotanker, Material Readiness, Sampling)]]</f>
        <v>QC Refrigerator PM</v>
      </c>
    </row>
    <row r="1246" spans="3:10" ht="15" hidden="1" customHeight="1" x14ac:dyDescent="0.35">
      <c r="C1246" s="671" t="s">
        <v>2141</v>
      </c>
      <c r="D1246" s="238">
        <v>44473</v>
      </c>
      <c r="E1246" s="121" t="s">
        <v>2111</v>
      </c>
      <c r="F1246" s="755">
        <v>44475</v>
      </c>
      <c r="G1246" s="237">
        <f>Table1[[#This Row],[Start Date]]</f>
        <v>44475</v>
      </c>
      <c r="H1246" s="251"/>
      <c r="I1246" s="618"/>
      <c r="J1246" s="179" t="str">
        <f>Table1[[#This Row],[Routine Activities (PM/ PMCAL, CM, Genba, Isotanker, Material Readiness, Sampling)]]</f>
        <v>Hydrogenator PM</v>
      </c>
    </row>
    <row r="1247" spans="3:10" ht="15" hidden="1" customHeight="1" x14ac:dyDescent="0.35">
      <c r="C1247" s="671" t="s">
        <v>1595</v>
      </c>
      <c r="D1247" s="238">
        <v>44473</v>
      </c>
      <c r="E1247" s="121" t="s">
        <v>1934</v>
      </c>
      <c r="F1247" s="755">
        <v>44476</v>
      </c>
      <c r="G1247" s="237">
        <f>Table1[[#This Row],[Start Date]]</f>
        <v>44476</v>
      </c>
      <c r="H1247" s="251"/>
      <c r="I1247" s="618"/>
      <c r="J1247" s="179" t="str">
        <f>Table1[[#This Row],[Routine Activities (PM/ PMCAL, CM, Genba, Isotanker, Material Readiness, Sampling)]]</f>
        <v>Chilled water gen PM</v>
      </c>
    </row>
    <row r="1248" spans="3:10" ht="15" hidden="1" customHeight="1" x14ac:dyDescent="0.35">
      <c r="C1248" s="671" t="s">
        <v>2142</v>
      </c>
      <c r="D1248" s="238">
        <v>44473</v>
      </c>
      <c r="E1248" s="121" t="s">
        <v>979</v>
      </c>
      <c r="F1248" s="755"/>
      <c r="G1248" s="237">
        <f>Table1[[#This Row],[Start Date]]</f>
        <v>0</v>
      </c>
      <c r="H1248" s="251"/>
      <c r="I1248" s="618"/>
      <c r="J1248" s="179" t="str">
        <f>Table1[[#This Row],[Routine Activities (PM/ PMCAL, CM, Genba, Isotanker, Material Readiness, Sampling)]]</f>
        <v>CIP skid PMCAL</v>
      </c>
    </row>
    <row r="1249" spans="3:10" ht="15" hidden="1" customHeight="1" x14ac:dyDescent="0.35">
      <c r="C1249" s="671" t="s">
        <v>2143</v>
      </c>
      <c r="D1249" s="238">
        <v>44473</v>
      </c>
      <c r="E1249" s="121" t="s">
        <v>1149</v>
      </c>
      <c r="F1249" s="755">
        <v>44477</v>
      </c>
      <c r="G1249" s="237">
        <f>Table1[[#This Row],[Start Date]]</f>
        <v>44477</v>
      </c>
      <c r="H1249" s="251"/>
      <c r="I1249" s="618"/>
      <c r="J1249" s="179" t="str">
        <f>Table1[[#This Row],[Routine Activities (PM/ PMCAL, CM, Genba, Isotanker, Material Readiness, Sampling)]]</f>
        <v>QC Freezer PM</v>
      </c>
    </row>
    <row r="1250" spans="3:10" ht="15" hidden="1" customHeight="1" x14ac:dyDescent="0.35">
      <c r="C1250" s="671" t="s">
        <v>2144</v>
      </c>
      <c r="D1250" s="238">
        <v>44473</v>
      </c>
      <c r="E1250" s="121" t="s">
        <v>979</v>
      </c>
      <c r="F1250" s="755">
        <v>44477</v>
      </c>
      <c r="G1250" s="237">
        <f>Table1[[#This Row],[Start Date]]</f>
        <v>44477</v>
      </c>
      <c r="H1250" s="251"/>
      <c r="I1250" s="618"/>
      <c r="J1250" s="179" t="str">
        <f>Table1[[#This Row],[Routine Activities (PM/ PMCAL, CM, Genba, Isotanker, Material Readiness, Sampling)]]</f>
        <v>Filter Dryer Isolator PM</v>
      </c>
    </row>
    <row r="1251" spans="3:10" ht="15" hidden="1" customHeight="1" x14ac:dyDescent="0.35">
      <c r="C1251" s="671" t="s">
        <v>2145</v>
      </c>
      <c r="D1251" s="238">
        <v>44473</v>
      </c>
      <c r="E1251" s="121" t="s">
        <v>1934</v>
      </c>
      <c r="F1251" s="755">
        <v>44479</v>
      </c>
      <c r="G1251" s="237">
        <f>Table1[[#This Row],[Start Date]]</f>
        <v>44479</v>
      </c>
      <c r="H1251" s="251"/>
      <c r="I1251" s="618"/>
      <c r="J1251" s="179" t="str">
        <f>Table1[[#This Row],[Routine Activities (PM/ PMCAL, CM, Genba, Isotanker, Material Readiness, Sampling)]]</f>
        <v>Compressed air gen system PM</v>
      </c>
    </row>
    <row r="1252" spans="3:10" ht="15" hidden="1" customHeight="1" x14ac:dyDescent="0.35">
      <c r="C1252" s="671" t="s">
        <v>2146</v>
      </c>
      <c r="D1252" s="238">
        <v>44480</v>
      </c>
      <c r="E1252" s="121" t="s">
        <v>1953</v>
      </c>
      <c r="F1252" s="755">
        <v>44482</v>
      </c>
      <c r="G1252" s="237">
        <f>Table1[[#This Row],[Start Date]]</f>
        <v>44482</v>
      </c>
      <c r="H1252" s="251"/>
      <c r="I1252" s="618"/>
      <c r="J1252" s="179" t="str">
        <f>Table1[[#This Row],[Routine Activities (PM/ PMCAL, CM, Genba, Isotanker, Material Readiness, Sampling)]]</f>
        <v>Org waste offloading (Wed aft)</v>
      </c>
    </row>
    <row r="1253" spans="3:10" ht="15" hidden="1" customHeight="1" x14ac:dyDescent="0.35">
      <c r="C1253" s="671" t="s">
        <v>2119</v>
      </c>
      <c r="D1253" s="238">
        <v>44480</v>
      </c>
      <c r="E1253" s="121" t="s">
        <v>1953</v>
      </c>
      <c r="F1253" s="755">
        <v>44480</v>
      </c>
      <c r="G1253" s="237">
        <f>Table1[[#This Row],[Start Date]]</f>
        <v>44480</v>
      </c>
      <c r="H1253" s="251"/>
      <c r="I1253" s="618"/>
      <c r="J1253" s="179" t="str">
        <f>Table1[[#This Row],[Routine Activities (PM/ PMCAL, CM, Genba, Isotanker, Material Readiness, Sampling)]]</f>
        <v>Aq waste offloading (Mon)</v>
      </c>
    </row>
    <row r="1254" spans="3:10" ht="15" hidden="1" customHeight="1" x14ac:dyDescent="0.35">
      <c r="C1254" s="671" t="s">
        <v>2147</v>
      </c>
      <c r="D1254" s="238">
        <v>44480</v>
      </c>
      <c r="E1254" s="121" t="s">
        <v>377</v>
      </c>
      <c r="F1254" s="755">
        <v>44483</v>
      </c>
      <c r="G1254" s="237">
        <f>Table1[[#This Row],[Start Date]]</f>
        <v>44483</v>
      </c>
      <c r="H1254" s="251"/>
      <c r="I1254" s="618"/>
      <c r="J1254" s="179" t="str">
        <f>Table1[[#This Row],[Routine Activities (PM/ PMCAL, CM, Genba, Isotanker, Material Readiness, Sampling)]]</f>
        <v>MeOH top up (Thurs morn, Fri morn truckout)</v>
      </c>
    </row>
    <row r="1255" spans="3:10" ht="15" hidden="1" customHeight="1" x14ac:dyDescent="0.35">
      <c r="C1255" s="671" t="s">
        <v>2148</v>
      </c>
      <c r="D1255" s="238">
        <v>44480</v>
      </c>
      <c r="E1255" s="121" t="s">
        <v>377</v>
      </c>
      <c r="F1255" s="755">
        <v>44484</v>
      </c>
      <c r="G1255" s="237">
        <f>Table1[[#This Row],[Start Date]]</f>
        <v>44484</v>
      </c>
      <c r="H1255" s="251"/>
      <c r="I1255" s="618"/>
      <c r="J1255" s="179" t="str">
        <f>Table1[[#This Row],[Routine Activities (PM/ PMCAL, CM, Genba, Isotanker, Material Readiness, Sampling)]]</f>
        <v>N2 top up (Fri)</v>
      </c>
    </row>
    <row r="1256" spans="3:10" ht="15" hidden="1" customHeight="1" x14ac:dyDescent="0.35">
      <c r="C1256" s="671" t="s">
        <v>2149</v>
      </c>
      <c r="D1256" s="238">
        <v>44480</v>
      </c>
      <c r="E1256" s="121" t="s">
        <v>1885</v>
      </c>
      <c r="F1256" s="755">
        <v>44480</v>
      </c>
      <c r="G1256" s="237">
        <f>Table1[[#This Row],[Start Date]]</f>
        <v>44480</v>
      </c>
      <c r="H1256" s="251"/>
      <c r="I1256" s="618"/>
      <c r="J1256" s="179" t="str">
        <f>Table1[[#This Row],[Routine Activities (PM/ PMCAL, CM, Genba, Isotanker, Material Readiness, Sampling)]]</f>
        <v>Valve Genba</v>
      </c>
    </row>
    <row r="1257" spans="3:10" ht="15" hidden="1" customHeight="1" x14ac:dyDescent="0.35">
      <c r="C1257" s="801" t="s">
        <v>2150</v>
      </c>
      <c r="D1257" s="238">
        <v>44480</v>
      </c>
      <c r="E1257" s="121" t="s">
        <v>1885</v>
      </c>
      <c r="F1257" s="755">
        <v>44484</v>
      </c>
      <c r="G1257" s="237">
        <f>Table1[[#This Row],[Start Date]]</f>
        <v>44484</v>
      </c>
      <c r="H1257" s="251"/>
      <c r="I1257" s="618"/>
      <c r="J1257" s="179" t="str">
        <f>Table1[[#This Row],[Routine Activities (PM/ PMCAL, CM, Genba, Isotanker, Material Readiness, Sampling)]]</f>
        <v>LEL check during EVI' Genba</v>
      </c>
    </row>
    <row r="1258" spans="3:10" ht="15" hidden="1" customHeight="1" x14ac:dyDescent="0.35">
      <c r="C1258" s="671" t="s">
        <v>2151</v>
      </c>
      <c r="D1258" s="238">
        <v>44480</v>
      </c>
      <c r="E1258" s="121" t="s">
        <v>979</v>
      </c>
      <c r="F1258" s="755">
        <v>44482</v>
      </c>
      <c r="G1258" s="237">
        <f>Table1[[#This Row],[Start Date]]</f>
        <v>44482</v>
      </c>
      <c r="H1258" s="251"/>
      <c r="I1258" s="618"/>
      <c r="J1258" s="179" t="str">
        <f>Table1[[#This Row],[Routine Activities (PM/ PMCAL, CM, Genba, Isotanker, Material Readiness, Sampling)]]</f>
        <v>FD O2 gas analyzer PMCAL</v>
      </c>
    </row>
    <row r="1259" spans="3:10" ht="15" hidden="1" customHeight="1" x14ac:dyDescent="0.35">
      <c r="C1259" s="671" t="s">
        <v>1977</v>
      </c>
      <c r="D1259" s="238">
        <v>44480</v>
      </c>
      <c r="E1259" s="121" t="s">
        <v>1637</v>
      </c>
      <c r="F1259" s="755">
        <v>44482</v>
      </c>
      <c r="G1259" s="237">
        <f>Table1[[#This Row],[Start Date]]</f>
        <v>44482</v>
      </c>
      <c r="H1259" s="251"/>
      <c r="I1259" s="618"/>
      <c r="J1259" s="179" t="str">
        <f>Table1[[#This Row],[Routine Activities (PM/ PMCAL, CM, Genba, Isotanker, Material Readiness, Sampling)]]</f>
        <v>Lifter Statutory PM</v>
      </c>
    </row>
    <row r="1260" spans="3:10" ht="15" hidden="1" customHeight="1" x14ac:dyDescent="0.35">
      <c r="C1260" s="671" t="s">
        <v>1584</v>
      </c>
      <c r="D1260" s="238">
        <v>44480</v>
      </c>
      <c r="E1260" s="121" t="s">
        <v>1934</v>
      </c>
      <c r="F1260" s="755">
        <v>44483</v>
      </c>
      <c r="G1260" s="237">
        <f>Table1[[#This Row],[Start Date]]</f>
        <v>44483</v>
      </c>
      <c r="H1260" s="251"/>
      <c r="I1260" s="618"/>
      <c r="J1260" s="179" t="str">
        <f>Table1[[#This Row],[Routine Activities (PM/ PMCAL, CM, Genba, Isotanker, Material Readiness, Sampling)]]</f>
        <v>Glycol chiller PM</v>
      </c>
    </row>
    <row r="1261" spans="3:10" ht="15" hidden="1" customHeight="1" x14ac:dyDescent="0.35">
      <c r="C1261" s="671" t="s">
        <v>2142</v>
      </c>
      <c r="D1261" s="238">
        <v>44480</v>
      </c>
      <c r="E1261" s="121" t="s">
        <v>979</v>
      </c>
      <c r="F1261" s="755">
        <v>44483</v>
      </c>
      <c r="G1261" s="237">
        <f>Table1[[#This Row],[Start Date]]</f>
        <v>44483</v>
      </c>
      <c r="H1261" s="251"/>
      <c r="I1261" s="618"/>
      <c r="J1261" s="179" t="str">
        <f>Table1[[#This Row],[Routine Activities (PM/ PMCAL, CM, Genba, Isotanker, Material Readiness, Sampling)]]</f>
        <v>CIP skid PMCAL</v>
      </c>
    </row>
    <row r="1262" spans="3:10" ht="15" hidden="1" customHeight="1" x14ac:dyDescent="0.35">
      <c r="C1262" s="671" t="s">
        <v>1969</v>
      </c>
      <c r="D1262" s="238">
        <v>44480</v>
      </c>
      <c r="E1262" s="121" t="s">
        <v>1024</v>
      </c>
      <c r="F1262" s="755">
        <v>44484</v>
      </c>
      <c r="G1262" s="237">
        <f>Table1[[#This Row],[Start Date]]</f>
        <v>44484</v>
      </c>
      <c r="H1262" s="251"/>
      <c r="I1262" s="618"/>
      <c r="J1262" s="179" t="str">
        <f>Table1[[#This Row],[Routine Activities (PM/ PMCAL, CM, Genba, Isotanker, Material Readiness, Sampling)]]</f>
        <v>Instrument stnd PMCAL</v>
      </c>
    </row>
    <row r="1263" spans="3:10" ht="15" hidden="1" customHeight="1" x14ac:dyDescent="0.35">
      <c r="C1263" s="671" t="s">
        <v>2152</v>
      </c>
      <c r="D1263" s="238">
        <v>44480</v>
      </c>
      <c r="E1263" s="121" t="s">
        <v>979</v>
      </c>
      <c r="F1263" s="755">
        <v>44484</v>
      </c>
      <c r="G1263" s="237">
        <f>Table1[[#This Row],[Start Date]]</f>
        <v>44484</v>
      </c>
      <c r="H1263" s="251"/>
      <c r="I1263" s="618"/>
      <c r="J1263" s="179" t="str">
        <f>Table1[[#This Row],[Routine Activities (PM/ PMCAL, CM, Genba, Isotanker, Material Readiness, Sampling)]]</f>
        <v>Rx2 PM</v>
      </c>
    </row>
    <row r="1264" spans="3:10" ht="15" hidden="1" customHeight="1" x14ac:dyDescent="0.35">
      <c r="C1264" s="671" t="s">
        <v>2153</v>
      </c>
      <c r="D1264" s="238">
        <v>44480</v>
      </c>
      <c r="E1264" s="121" t="s">
        <v>979</v>
      </c>
      <c r="F1264" s="755">
        <v>44486</v>
      </c>
      <c r="G1264" s="237">
        <f>Table1[[#This Row],[Start Date]]</f>
        <v>44486</v>
      </c>
      <c r="H1264" s="251"/>
      <c r="I1264" s="618"/>
      <c r="J1264" s="179" t="str">
        <f>Table1[[#This Row],[Routine Activities (PM/ PMCAL, CM, Genba, Isotanker, Material Readiness, Sampling)]]</f>
        <v>CIP skid drain valve realignment</v>
      </c>
    </row>
    <row r="1265" spans="3:10" ht="15" hidden="1" customHeight="1" x14ac:dyDescent="0.35">
      <c r="C1265" s="671" t="s">
        <v>2154</v>
      </c>
      <c r="D1265" s="238">
        <v>44487</v>
      </c>
      <c r="E1265" s="121" t="s">
        <v>773</v>
      </c>
      <c r="F1265" s="755">
        <v>44487</v>
      </c>
      <c r="G1265" s="237">
        <f>Table1[[#This Row],[Start Date]]</f>
        <v>44487</v>
      </c>
      <c r="H1265" s="251"/>
      <c r="I1265" s="618"/>
      <c r="J1265" s="179" t="str">
        <f>Table1[[#This Row],[Routine Activities (PM/ PMCAL, CM, Genba, Isotanker, Material Readiness, Sampling)]]</f>
        <v>Scrubber pump rectification</v>
      </c>
    </row>
    <row r="1266" spans="3:10" ht="15" hidden="1" customHeight="1" x14ac:dyDescent="0.35">
      <c r="C1266" s="671" t="s">
        <v>2152</v>
      </c>
      <c r="D1266" s="238">
        <v>44487</v>
      </c>
      <c r="E1266" s="121" t="s">
        <v>979</v>
      </c>
      <c r="F1266" s="755">
        <v>44487</v>
      </c>
      <c r="G1266" s="237">
        <f>Table1[[#This Row],[Start Date]]</f>
        <v>44487</v>
      </c>
      <c r="H1266" s="251"/>
      <c r="I1266" s="618"/>
      <c r="J1266" s="179" t="str">
        <f>Table1[[#This Row],[Routine Activities (PM/ PMCAL, CM, Genba, Isotanker, Material Readiness, Sampling)]]</f>
        <v>Rx2 PM</v>
      </c>
    </row>
    <row r="1267" spans="3:10" ht="15" hidden="1" customHeight="1" x14ac:dyDescent="0.35">
      <c r="C1267" s="671" t="s">
        <v>1678</v>
      </c>
      <c r="D1267" s="238">
        <v>44487</v>
      </c>
      <c r="E1267" s="121" t="s">
        <v>1598</v>
      </c>
      <c r="F1267" s="755">
        <v>44488</v>
      </c>
      <c r="G1267" s="237">
        <f>Table1[[#This Row],[Start Date]]</f>
        <v>44488</v>
      </c>
      <c r="H1267" s="251"/>
      <c r="I1267" s="618"/>
      <c r="J1267" s="179" t="str">
        <f>Table1[[#This Row],[Routine Activities (PM/ PMCAL, CM, Genba, Isotanker, Material Readiness, Sampling)]]</f>
        <v>Transformer PM</v>
      </c>
    </row>
    <row r="1268" spans="3:10" ht="15" hidden="1" customHeight="1" x14ac:dyDescent="0.35">
      <c r="C1268" s="671" t="s">
        <v>1836</v>
      </c>
      <c r="D1268" s="238">
        <v>44487</v>
      </c>
      <c r="E1268" s="121" t="s">
        <v>1953</v>
      </c>
      <c r="F1268" s="755">
        <v>44488</v>
      </c>
      <c r="G1268" s="237">
        <f>Table1[[#This Row],[Start Date]]</f>
        <v>44488</v>
      </c>
      <c r="H1268" s="251"/>
      <c r="I1268" s="618"/>
      <c r="J1268" s="179" t="str">
        <f>Table1[[#This Row],[Routine Activities (PM/ PMCAL, CM, Genba, Isotanker, Material Readiness, Sampling)]]</f>
        <v>Org waste offloading</v>
      </c>
    </row>
    <row r="1269" spans="3:10" ht="15" hidden="1" customHeight="1" x14ac:dyDescent="0.35">
      <c r="C1269" s="671" t="s">
        <v>2155</v>
      </c>
      <c r="D1269" s="238">
        <v>44487</v>
      </c>
      <c r="E1269" s="121" t="s">
        <v>1953</v>
      </c>
      <c r="F1269" s="755"/>
      <c r="G1269" s="237">
        <f>Table1[[#This Row],[Start Date]]</f>
        <v>0</v>
      </c>
      <c r="H1269" s="251" t="s">
        <v>462</v>
      </c>
      <c r="I1269" s="618"/>
      <c r="J1269" s="179" t="str">
        <f>Table1[[#This Row],[Routine Activities (PM/ PMCAL, CM, Genba, Isotanker, Material Readiness, Sampling)]]</f>
        <v>Aq waste offloading</v>
      </c>
    </row>
    <row r="1270" spans="3:10" ht="15" hidden="1" customHeight="1" x14ac:dyDescent="0.35">
      <c r="C1270" s="671" t="s">
        <v>2156</v>
      </c>
      <c r="D1270" s="238">
        <v>44487</v>
      </c>
      <c r="E1270" s="121" t="s">
        <v>377</v>
      </c>
      <c r="F1270" s="755">
        <v>44491</v>
      </c>
      <c r="G1270" s="237">
        <f>Table1[[#This Row],[Start Date]]</f>
        <v>44491</v>
      </c>
      <c r="H1270" s="251"/>
      <c r="I1270" s="618"/>
      <c r="J1270" s="179" t="str">
        <f>Table1[[#This Row],[Routine Activities (PM/ PMCAL, CM, Genba, Isotanker, Material Readiness, Sampling)]]</f>
        <v>EA top up (Fri)</v>
      </c>
    </row>
    <row r="1271" spans="3:10" ht="15" hidden="1" customHeight="1" x14ac:dyDescent="0.35">
      <c r="C1271" s="671" t="s">
        <v>2081</v>
      </c>
      <c r="D1271" s="238">
        <v>44487</v>
      </c>
      <c r="E1271" s="121" t="s">
        <v>377</v>
      </c>
      <c r="F1271" s="755">
        <v>44490</v>
      </c>
      <c r="G1271" s="237">
        <f>Table1[[#This Row],[Start Date]]</f>
        <v>44490</v>
      </c>
      <c r="H1271" s="251"/>
      <c r="I1271" s="618"/>
      <c r="J1271" s="179" t="str">
        <f>Table1[[#This Row],[Routine Activities (PM/ PMCAL, CM, Genba, Isotanker, Material Readiness, Sampling)]]</f>
        <v>N2 top up</v>
      </c>
    </row>
    <row r="1272" spans="3:10" ht="15" hidden="1" customHeight="1" x14ac:dyDescent="0.35">
      <c r="C1272" s="671" t="s">
        <v>2157</v>
      </c>
      <c r="D1272" s="238">
        <v>44487</v>
      </c>
      <c r="E1272" s="121" t="s">
        <v>1885</v>
      </c>
      <c r="F1272" s="755">
        <v>44489</v>
      </c>
      <c r="G1272" s="237">
        <f>Table1[[#This Row],[Start Date]]</f>
        <v>44489</v>
      </c>
      <c r="H1272" s="251"/>
      <c r="I1272" s="618"/>
      <c r="J1272" s="179" t="str">
        <f>Table1[[#This Row],[Routine Activities (PM/ PMCAL, CM, Genba, Isotanker, Material Readiness, Sampling)]]</f>
        <v>Genba on non-routine activities</v>
      </c>
    </row>
    <row r="1273" spans="3:10" ht="15" hidden="1" customHeight="1" x14ac:dyDescent="0.35">
      <c r="C1273" s="671" t="s">
        <v>2158</v>
      </c>
      <c r="D1273" s="238">
        <v>44487</v>
      </c>
      <c r="E1273" s="121" t="s">
        <v>418</v>
      </c>
      <c r="F1273" s="755">
        <v>44489</v>
      </c>
      <c r="G1273" s="237">
        <f>Table1[[#This Row],[Start Date]]</f>
        <v>44489</v>
      </c>
      <c r="H1273" s="251"/>
      <c r="I1273" s="618"/>
      <c r="J1273" s="179" t="str">
        <f>Table1[[#This Row],[Routine Activities (PM/ PMCAL, CM, Genba, Isotanker, Material Readiness, Sampling)]]</f>
        <v>Step C-2 material readiness - solids</v>
      </c>
    </row>
    <row r="1274" spans="3:10" ht="15" hidden="1" customHeight="1" x14ac:dyDescent="0.35">
      <c r="C1274" s="671" t="s">
        <v>2159</v>
      </c>
      <c r="D1274" s="238">
        <v>44487</v>
      </c>
      <c r="E1274" s="121" t="s">
        <v>418</v>
      </c>
      <c r="F1274" s="755">
        <v>44491</v>
      </c>
      <c r="G1274" s="237">
        <f>Table1[[#This Row],[Start Date]]</f>
        <v>44491</v>
      </c>
      <c r="H1274" s="251"/>
      <c r="I1274" s="618"/>
      <c r="J1274" s="179" t="str">
        <f>Table1[[#This Row],[Routine Activities (PM/ PMCAL, CM, Genba, Isotanker, Material Readiness, Sampling)]]</f>
        <v>Step C-2 material readiness - drum solvent</v>
      </c>
    </row>
    <row r="1275" spans="3:10" ht="15" hidden="1" customHeight="1" x14ac:dyDescent="0.35">
      <c r="C1275" s="671" t="s">
        <v>1851</v>
      </c>
      <c r="D1275" s="238">
        <v>44494</v>
      </c>
      <c r="E1275" s="121" t="s">
        <v>1953</v>
      </c>
      <c r="F1275" s="755"/>
      <c r="G1275" s="237">
        <f>Table1[[#This Row],[Start Date]]</f>
        <v>0</v>
      </c>
      <c r="H1275" s="251"/>
      <c r="I1275" s="618"/>
      <c r="J1275" s="179" t="str">
        <f>Table1[[#This Row],[Routine Activities (PM/ PMCAL, CM, Genba, Isotanker, Material Readiness, Sampling)]]</f>
        <v>Org waste offloading (not req)</v>
      </c>
    </row>
    <row r="1276" spans="3:10" ht="86.9" hidden="1" customHeight="1" x14ac:dyDescent="0.35">
      <c r="C1276" s="671" t="s">
        <v>1822</v>
      </c>
      <c r="D1276" s="238">
        <v>44494</v>
      </c>
      <c r="E1276" s="121" t="s">
        <v>1953</v>
      </c>
      <c r="F1276" s="755"/>
      <c r="G1276" s="237">
        <f>Table1[[#This Row],[Start Date]]</f>
        <v>0</v>
      </c>
      <c r="H1276" s="251"/>
      <c r="I1276" s="618"/>
      <c r="J1276" s="179" t="str">
        <f>Table1[[#This Row],[Routine Activities (PM/ PMCAL, CM, Genba, Isotanker, Material Readiness, Sampling)]]</f>
        <v>Aq Waste offloading (not req)</v>
      </c>
    </row>
    <row r="1277" spans="3:10" ht="89.15" hidden="1" customHeight="1" x14ac:dyDescent="0.35">
      <c r="C1277" s="671" t="s">
        <v>2091</v>
      </c>
      <c r="D1277" s="238">
        <v>44494</v>
      </c>
      <c r="E1277" s="121" t="s">
        <v>377</v>
      </c>
      <c r="F1277" s="755"/>
      <c r="G1277" s="237">
        <f>Table1[[#This Row],[Start Date]]</f>
        <v>0</v>
      </c>
      <c r="H1277" s="251"/>
      <c r="I1277" s="618"/>
      <c r="J1277" s="179" t="str">
        <f>Table1[[#This Row],[Routine Activities (PM/ PMCAL, CM, Genba, Isotanker, Material Readiness, Sampling)]]</f>
        <v>Solvent top up (not req)</v>
      </c>
    </row>
    <row r="1278" spans="3:10" ht="56.9" hidden="1" customHeight="1" x14ac:dyDescent="0.35">
      <c r="C1278" s="671" t="s">
        <v>2092</v>
      </c>
      <c r="D1278" s="238">
        <v>44494</v>
      </c>
      <c r="E1278" s="121" t="s">
        <v>377</v>
      </c>
      <c r="F1278" s="755">
        <v>44494</v>
      </c>
      <c r="G1278" s="237">
        <f>Table1[[#This Row],[Start Date]]</f>
        <v>44494</v>
      </c>
      <c r="H1278" s="251"/>
      <c r="I1278" s="618"/>
      <c r="J1278" s="179" t="str">
        <f>Table1[[#This Row],[Routine Activities (PM/ PMCAL, CM, Genba, Isotanker, Material Readiness, Sampling)]]</f>
        <v xml:space="preserve">N2 top up </v>
      </c>
    </row>
    <row r="1279" spans="3:10" ht="92.9" hidden="1" customHeight="1" x14ac:dyDescent="0.35">
      <c r="C1279" s="671" t="s">
        <v>2160</v>
      </c>
      <c r="D1279" s="238">
        <v>44494</v>
      </c>
      <c r="E1279" s="121" t="s">
        <v>1885</v>
      </c>
      <c r="F1279" s="755">
        <v>44496</v>
      </c>
      <c r="G1279" s="237">
        <f>Table1[[#This Row],[Start Date]]</f>
        <v>44496</v>
      </c>
      <c r="H1279" s="251"/>
      <c r="I1279" s="618"/>
      <c r="J1279" s="179" t="str">
        <f>Table1[[#This Row],[Routine Activities (PM/ PMCAL, CM, Genba, Isotanker, Material Readiness, Sampling)]]</f>
        <v>Genba (PSM Audit)</v>
      </c>
    </row>
    <row r="1280" spans="3:10" ht="98.9" hidden="1" customHeight="1" x14ac:dyDescent="0.35">
      <c r="C1280" s="671" t="s">
        <v>1678</v>
      </c>
      <c r="D1280" s="238">
        <v>44494</v>
      </c>
      <c r="E1280" s="121" t="s">
        <v>1598</v>
      </c>
      <c r="F1280" s="755">
        <v>44495</v>
      </c>
      <c r="G1280" s="237">
        <f>Table1[[#This Row],[Start Date]]</f>
        <v>44495</v>
      </c>
      <c r="H1280" s="251"/>
      <c r="I1280" s="618"/>
      <c r="J1280" s="179" t="str">
        <f>Table1[[#This Row],[Routine Activities (PM/ PMCAL, CM, Genba, Isotanker, Material Readiness, Sampling)]]</f>
        <v>Transformer PM</v>
      </c>
    </row>
    <row r="1281" spans="3:10" ht="98.9" hidden="1" customHeight="1" x14ac:dyDescent="0.35">
      <c r="C1281" s="671" t="s">
        <v>2052</v>
      </c>
      <c r="D1281" s="238">
        <v>44494</v>
      </c>
      <c r="E1281" s="121" t="s">
        <v>854</v>
      </c>
      <c r="F1281" s="755">
        <v>44497</v>
      </c>
      <c r="G1281" s="237">
        <f>Table1[[#This Row],[Start Date]]</f>
        <v>44497</v>
      </c>
      <c r="H1281" s="251"/>
      <c r="I1281" s="618"/>
      <c r="J1281" s="179" t="str">
        <f>Table1[[#This Row],[Routine Activities (PM/ PMCAL, CM, Genba, Isotanker, Material Readiness, Sampling)]]</f>
        <v>PUR water tank filter replacement PM</v>
      </c>
    </row>
    <row r="1282" spans="3:10" ht="89.15" hidden="1" customHeight="1" x14ac:dyDescent="0.35">
      <c r="C1282" s="671" t="s">
        <v>1370</v>
      </c>
      <c r="D1282" s="238">
        <v>44494</v>
      </c>
      <c r="E1282" s="121" t="s">
        <v>1934</v>
      </c>
      <c r="F1282" s="755">
        <v>44497</v>
      </c>
      <c r="G1282" s="237">
        <f>Table1[[#This Row],[Start Date]]</f>
        <v>44497</v>
      </c>
      <c r="H1282" s="251"/>
      <c r="I1282" s="618"/>
      <c r="J1282" s="179" t="str">
        <f>Table1[[#This Row],[Routine Activities (PM/ PMCAL, CM, Genba, Isotanker, Material Readiness, Sampling)]]</f>
        <v>Breathing air PM</v>
      </c>
    </row>
    <row r="1283" spans="3:10" ht="101.15" hidden="1" customHeight="1" x14ac:dyDescent="0.35">
      <c r="C1283" s="627" t="s">
        <v>1851</v>
      </c>
      <c r="D1283" s="238">
        <v>44501</v>
      </c>
      <c r="E1283" s="121" t="s">
        <v>1953</v>
      </c>
      <c r="F1283" s="755"/>
      <c r="G1283" s="237">
        <f>Table1[[#This Row],[Start Date]]</f>
        <v>0</v>
      </c>
      <c r="H1283" s="251"/>
      <c r="I1283" s="618"/>
      <c r="J1283" s="179" t="str">
        <f>Table1[[#This Row],[Routine Activities (PM/ PMCAL, CM, Genba, Isotanker, Material Readiness, Sampling)]]</f>
        <v>Org waste offloading (not req)</v>
      </c>
    </row>
    <row r="1284" spans="3:10" ht="84" hidden="1" customHeight="1" x14ac:dyDescent="0.35">
      <c r="C1284" s="627" t="s">
        <v>1822</v>
      </c>
      <c r="D1284" s="238">
        <v>44501</v>
      </c>
      <c r="E1284" s="121" t="s">
        <v>1953</v>
      </c>
      <c r="F1284" s="755"/>
      <c r="G1284" s="237">
        <f>Table1[[#This Row],[Start Date]]</f>
        <v>0</v>
      </c>
      <c r="H1284" s="251"/>
      <c r="I1284" s="618"/>
      <c r="J1284" s="179" t="str">
        <f>Table1[[#This Row],[Routine Activities (PM/ PMCAL, CM, Genba, Isotanker, Material Readiness, Sampling)]]</f>
        <v>Aq Waste offloading (not req)</v>
      </c>
    </row>
    <row r="1285" spans="3:10" ht="75.650000000000006" hidden="1" customHeight="1" x14ac:dyDescent="0.35">
      <c r="C1285" s="627" t="s">
        <v>2091</v>
      </c>
      <c r="D1285" s="238">
        <v>44501</v>
      </c>
      <c r="E1285" s="121" t="s">
        <v>377</v>
      </c>
      <c r="F1285" s="755"/>
      <c r="G1285" s="237">
        <f>Table1[[#This Row],[Start Date]]</f>
        <v>0</v>
      </c>
      <c r="H1285" s="251"/>
      <c r="I1285" s="618"/>
      <c r="J1285" s="179" t="str">
        <f>Table1[[#This Row],[Routine Activities (PM/ PMCAL, CM, Genba, Isotanker, Material Readiness, Sampling)]]</f>
        <v>Solvent top up (not req)</v>
      </c>
    </row>
    <row r="1286" spans="3:10" ht="107.9" hidden="1" customHeight="1" x14ac:dyDescent="0.35">
      <c r="C1286" s="627" t="s">
        <v>2092</v>
      </c>
      <c r="D1286" s="238">
        <v>44501</v>
      </c>
      <c r="E1286" s="121" t="s">
        <v>377</v>
      </c>
      <c r="F1286" s="755">
        <v>44505</v>
      </c>
      <c r="G1286" s="237">
        <f>Table1[[#This Row],[Start Date]]</f>
        <v>44505</v>
      </c>
      <c r="H1286" s="251"/>
      <c r="I1286" s="618"/>
      <c r="J1286" s="179" t="str">
        <f>Table1[[#This Row],[Routine Activities (PM/ PMCAL, CM, Genba, Isotanker, Material Readiness, Sampling)]]</f>
        <v xml:space="preserve">N2 top up </v>
      </c>
    </row>
    <row r="1287" spans="3:10" ht="100.4" hidden="1" customHeight="1" x14ac:dyDescent="0.35">
      <c r="C1287" s="627" t="s">
        <v>2161</v>
      </c>
      <c r="D1287" s="238">
        <v>44501</v>
      </c>
      <c r="E1287" s="121" t="s">
        <v>1885</v>
      </c>
      <c r="F1287" s="755"/>
      <c r="G1287" s="237">
        <f>Table1[[#This Row],[Start Date]]</f>
        <v>0</v>
      </c>
      <c r="H1287" s="251"/>
      <c r="I1287" s="618"/>
      <c r="J1287" s="179" t="str">
        <f>Table1[[#This Row],[Routine Activities (PM/ PMCAL, CM, Genba, Isotanker, Material Readiness, Sampling)]]</f>
        <v>Genba (Wed)</v>
      </c>
    </row>
    <row r="1288" spans="3:10" ht="60.65" hidden="1" customHeight="1" x14ac:dyDescent="0.35">
      <c r="C1288" s="627" t="s">
        <v>2162</v>
      </c>
      <c r="D1288" s="238">
        <v>44501</v>
      </c>
      <c r="E1288" s="121" t="s">
        <v>1598</v>
      </c>
      <c r="F1288" s="755">
        <v>44501</v>
      </c>
      <c r="G1288" s="237">
        <f>Table1[[#This Row],[Start Date]]</f>
        <v>44501</v>
      </c>
      <c r="H1288" s="251"/>
      <c r="I1288" s="618"/>
      <c r="J1288" s="179" t="str">
        <f>Table1[[#This Row],[Routine Activities (PM/ PMCAL, CM, Genba, Isotanker, Material Readiness, Sampling)]]</f>
        <v xml:space="preserve">Switchboard power reading </v>
      </c>
    </row>
    <row r="1289" spans="3:10" ht="91.4" hidden="1" customHeight="1" x14ac:dyDescent="0.35">
      <c r="C1289" s="627" t="s">
        <v>1584</v>
      </c>
      <c r="D1289" s="238">
        <v>44508</v>
      </c>
      <c r="E1289" s="121" t="s">
        <v>1934</v>
      </c>
      <c r="F1289" s="755">
        <v>44512</v>
      </c>
      <c r="G1289" s="237">
        <f>Table1[[#This Row],[Start Date]]</f>
        <v>44512</v>
      </c>
      <c r="H1289" s="251" t="s">
        <v>340</v>
      </c>
      <c r="I1289" s="618"/>
      <c r="J1289" s="179" t="str">
        <f>Table1[[#This Row],[Routine Activities (PM/ PMCAL, CM, Genba, Isotanker, Material Readiness, Sampling)]]</f>
        <v>Glycol chiller PM</v>
      </c>
    </row>
    <row r="1290" spans="3:10" ht="95.15" hidden="1" customHeight="1" x14ac:dyDescent="0.35">
      <c r="C1290" s="627" t="s">
        <v>1892</v>
      </c>
      <c r="D1290" s="238">
        <v>44501</v>
      </c>
      <c r="E1290" s="121" t="s">
        <v>1149</v>
      </c>
      <c r="F1290" s="755">
        <v>44505</v>
      </c>
      <c r="G1290" s="237">
        <f>Table1[[#This Row],[Start Date]]</f>
        <v>44505</v>
      </c>
      <c r="H1290" s="251"/>
      <c r="I1290" s="618"/>
      <c r="J1290" s="179" t="str">
        <f>Table1[[#This Row],[Routine Activities (PM/ PMCAL, CM, Genba, Isotanker, Material Readiness, Sampling)]]</f>
        <v>QC pipette PMCAL</v>
      </c>
    </row>
    <row r="1291" spans="3:10" ht="100.4" hidden="1" customHeight="1" x14ac:dyDescent="0.35">
      <c r="C1291" s="627" t="s">
        <v>2163</v>
      </c>
      <c r="D1291" s="238">
        <v>44501</v>
      </c>
      <c r="E1291" s="121" t="s">
        <v>1149</v>
      </c>
      <c r="F1291" s="755">
        <v>44505</v>
      </c>
      <c r="G1291" s="237">
        <f>Table1[[#This Row],[Start Date]]</f>
        <v>44505</v>
      </c>
      <c r="H1291" s="251"/>
      <c r="I1291" s="618"/>
      <c r="J1291" s="179" t="str">
        <f>Table1[[#This Row],[Routine Activities (PM/ PMCAL, CM, Genba, Isotanker, Material Readiness, Sampling)]]</f>
        <v>QC stop watch PMCAL</v>
      </c>
    </row>
    <row r="1292" spans="3:10" ht="83.15" hidden="1" customHeight="1" x14ac:dyDescent="0.35">
      <c r="C1292" s="627" t="s">
        <v>1969</v>
      </c>
      <c r="D1292" s="238">
        <v>44501</v>
      </c>
      <c r="E1292" s="121" t="s">
        <v>1024</v>
      </c>
      <c r="F1292" s="755">
        <v>44505</v>
      </c>
      <c r="G1292" s="237">
        <f>Table1[[#This Row],[Start Date]]</f>
        <v>44505</v>
      </c>
      <c r="H1292" s="251"/>
      <c r="I1292" s="618"/>
      <c r="J1292" s="179" t="str">
        <f>Table1[[#This Row],[Routine Activities (PM/ PMCAL, CM, Genba, Isotanker, Material Readiness, Sampling)]]</f>
        <v>Instrument stnd PMCAL</v>
      </c>
    </row>
    <row r="1293" spans="3:10" ht="79.400000000000006" hidden="1" customHeight="1" x14ac:dyDescent="0.35">
      <c r="C1293" s="627" t="s">
        <v>2164</v>
      </c>
      <c r="D1293" s="238">
        <v>44508</v>
      </c>
      <c r="E1293" s="121" t="s">
        <v>1934</v>
      </c>
      <c r="F1293" s="755">
        <v>44508</v>
      </c>
      <c r="G1293" s="237">
        <f>Table1[[#This Row],[Start Date]]</f>
        <v>44508</v>
      </c>
      <c r="H1293" s="251" t="s">
        <v>340</v>
      </c>
      <c r="I1293" s="618"/>
      <c r="J1293" s="179" t="str">
        <f>Table1[[#This Row],[Routine Activities (PM/ PMCAL, CM, Genba, Isotanker, Material Readiness, Sampling)]]</f>
        <v>Hydrogen PIT PMCAL</v>
      </c>
    </row>
    <row r="1294" spans="3:10" ht="80.900000000000006" hidden="1" customHeight="1" x14ac:dyDescent="0.35">
      <c r="C1294" s="627" t="s">
        <v>1595</v>
      </c>
      <c r="D1294" s="238">
        <v>44508</v>
      </c>
      <c r="E1294" s="121" t="s">
        <v>1934</v>
      </c>
      <c r="F1294" s="755">
        <v>44510</v>
      </c>
      <c r="G1294" s="237">
        <f>Table1[[#This Row],[Start Date]]</f>
        <v>44510</v>
      </c>
      <c r="H1294" s="251" t="s">
        <v>340</v>
      </c>
      <c r="I1294" s="618"/>
      <c r="J1294" s="179" t="str">
        <f>Table1[[#This Row],[Routine Activities (PM/ PMCAL, CM, Genba, Isotanker, Material Readiness, Sampling)]]</f>
        <v>Chilled water gen PM</v>
      </c>
    </row>
    <row r="1295" spans="3:10" ht="92.9" hidden="1" customHeight="1" x14ac:dyDescent="0.35">
      <c r="C1295" s="627" t="s">
        <v>2165</v>
      </c>
      <c r="D1295" s="238">
        <v>44508</v>
      </c>
      <c r="E1295" s="121" t="s">
        <v>854</v>
      </c>
      <c r="F1295" s="755">
        <v>44512</v>
      </c>
      <c r="G1295" s="237">
        <f>Table1[[#This Row],[Start Date]]</f>
        <v>44512</v>
      </c>
      <c r="H1295" s="251" t="s">
        <v>340</v>
      </c>
      <c r="I1295" s="618"/>
      <c r="J1295" s="179" t="str">
        <f>Table1[[#This Row],[Routine Activities (PM/ PMCAL, CM, Genba, Isotanker, Material Readiness, Sampling)]]</f>
        <v>Pur water ozone meter PMCAL</v>
      </c>
    </row>
    <row r="1296" spans="3:10" ht="99" hidden="1" customHeight="1" x14ac:dyDescent="0.35">
      <c r="C1296" s="627" t="s">
        <v>2166</v>
      </c>
      <c r="D1296" s="238">
        <v>44508</v>
      </c>
      <c r="E1296" s="121" t="s">
        <v>773</v>
      </c>
      <c r="F1296" s="755">
        <v>44513</v>
      </c>
      <c r="G1296" s="237">
        <f>Table1[[#This Row],[Start Date]]</f>
        <v>44513</v>
      </c>
      <c r="H1296" s="251" t="s">
        <v>340</v>
      </c>
      <c r="I1296" s="618"/>
      <c r="J1296" s="179" t="str">
        <f>Table1[[#This Row],[Routine Activities (PM/ PMCAL, CM, Genba, Isotanker, Material Readiness, Sampling)]]</f>
        <v>Scrubber flame arrestor PM</v>
      </c>
    </row>
    <row r="1297" spans="3:10" s="816" customFormat="1" ht="90.65" hidden="1" customHeight="1" x14ac:dyDescent="0.35">
      <c r="C1297" s="642" t="s">
        <v>1836</v>
      </c>
      <c r="D1297" s="238">
        <v>44508</v>
      </c>
      <c r="E1297" s="122" t="s">
        <v>1953</v>
      </c>
      <c r="F1297" s="814">
        <v>44512</v>
      </c>
      <c r="G1297" s="251">
        <f>Table1[[#This Row],[Start Date]]</f>
        <v>44512</v>
      </c>
      <c r="H1297" s="251" t="s">
        <v>340</v>
      </c>
      <c r="I1297" s="621"/>
      <c r="J1297" s="815" t="str">
        <f>Table1[[#This Row],[Routine Activities (PM/ PMCAL, CM, Genba, Isotanker, Material Readiness, Sampling)]]</f>
        <v>Org waste offloading</v>
      </c>
    </row>
    <row r="1298" spans="3:10" s="816" customFormat="1" ht="80.150000000000006" hidden="1" customHeight="1" x14ac:dyDescent="0.35">
      <c r="C1298" s="642" t="s">
        <v>2155</v>
      </c>
      <c r="D1298" s="238">
        <v>44515</v>
      </c>
      <c r="E1298" s="122" t="s">
        <v>1953</v>
      </c>
      <c r="F1298" s="814">
        <v>44515</v>
      </c>
      <c r="G1298" s="251">
        <f>Table1[[#This Row],[Start Date]]</f>
        <v>44515</v>
      </c>
      <c r="H1298" s="251" t="s">
        <v>340</v>
      </c>
      <c r="I1298" s="621"/>
      <c r="J1298" s="815" t="str">
        <f>Table1[[#This Row],[Routine Activities (PM/ PMCAL, CM, Genba, Isotanker, Material Readiness, Sampling)]]</f>
        <v>Aq waste offloading</v>
      </c>
    </row>
    <row r="1299" spans="3:10" s="816" customFormat="1" ht="88.4" hidden="1" customHeight="1" x14ac:dyDescent="0.35">
      <c r="C1299" s="642" t="s">
        <v>2112</v>
      </c>
      <c r="D1299" s="238">
        <v>44508</v>
      </c>
      <c r="E1299" s="122" t="s">
        <v>377</v>
      </c>
      <c r="F1299" s="814">
        <v>44511</v>
      </c>
      <c r="G1299" s="251">
        <f>Table1[[#This Row],[Start Date]]</f>
        <v>44511</v>
      </c>
      <c r="H1299" s="251" t="s">
        <v>340</v>
      </c>
      <c r="I1299" s="621"/>
      <c r="J1299" s="815" t="str">
        <f>Table1[[#This Row],[Routine Activities (PM/ PMCAL, CM, Genba, Isotanker, Material Readiness, Sampling)]]</f>
        <v>N2 top up (Thurs)</v>
      </c>
    </row>
    <row r="1300" spans="3:10" s="816" customFormat="1" ht="71.150000000000006" hidden="1" customHeight="1" x14ac:dyDescent="0.35">
      <c r="C1300" s="642" t="s">
        <v>2167</v>
      </c>
      <c r="D1300" s="238">
        <v>44508</v>
      </c>
      <c r="E1300" s="122" t="s">
        <v>1885</v>
      </c>
      <c r="F1300" s="814">
        <v>44509</v>
      </c>
      <c r="G1300" s="251">
        <f>Table1[[#This Row],[Start Date]]</f>
        <v>44509</v>
      </c>
      <c r="H1300" s="251" t="s">
        <v>340</v>
      </c>
      <c r="I1300" s="621"/>
      <c r="J1300" s="815" t="str">
        <f>Table1[[#This Row],[Routine Activities (PM/ PMCAL, CM, Genba, Isotanker, Material Readiness, Sampling)]]</f>
        <v>Genba (Human performance tools &amp; Procedural adherence during IPC2.0 sampling)</v>
      </c>
    </row>
    <row r="1301" spans="3:10" s="816" customFormat="1" ht="98.9" hidden="1" customHeight="1" x14ac:dyDescent="0.35">
      <c r="C1301" s="620" t="s">
        <v>2168</v>
      </c>
      <c r="D1301" s="238">
        <v>44508</v>
      </c>
      <c r="E1301" s="122" t="s">
        <v>418</v>
      </c>
      <c r="F1301" s="814">
        <v>44509</v>
      </c>
      <c r="G1301" s="251">
        <f>Table1[[#This Row],[Start Date]]</f>
        <v>44509</v>
      </c>
      <c r="H1301" s="251" t="s">
        <v>340</v>
      </c>
      <c r="I1301" s="621"/>
      <c r="J1301" s="817" t="str">
        <f>Table1[[#This Row],[Routine Activities (PM/ PMCAL, CM, Genba, Isotanker, Material Readiness, Sampling)]]</f>
        <v>Step C-3 material readiness (Tues)</v>
      </c>
    </row>
    <row r="1302" spans="3:10" s="816" customFormat="1" ht="79.400000000000006" hidden="1" customHeight="1" x14ac:dyDescent="0.35">
      <c r="C1302" s="642"/>
      <c r="D1302" s="238"/>
      <c r="E1302" s="122"/>
      <c r="F1302" s="814"/>
      <c r="G1302" s="251">
        <f>Table1[[#This Row],[Start Date]]</f>
        <v>0</v>
      </c>
      <c r="H1302" s="251"/>
      <c r="I1302" s="621"/>
      <c r="J1302" s="815">
        <f>Table1[[#This Row],[Routine Activities (PM/ PMCAL, CM, Genba, Isotanker, Material Readiness, Sampling)]]</f>
        <v>0</v>
      </c>
    </row>
    <row r="1303" spans="3:10" s="816" customFormat="1" ht="120.65" hidden="1" customHeight="1" x14ac:dyDescent="0.35">
      <c r="C1303" s="620" t="s">
        <v>2169</v>
      </c>
      <c r="D1303" s="238">
        <v>44515</v>
      </c>
      <c r="E1303" s="122" t="s">
        <v>2170</v>
      </c>
      <c r="F1303" s="251">
        <v>44517</v>
      </c>
      <c r="G1303" s="251">
        <v>44517</v>
      </c>
      <c r="H1303" s="251" t="s">
        <v>340</v>
      </c>
      <c r="I1303" s="621"/>
      <c r="J1303" s="817" t="str">
        <f>Table1[[#This Row],[Routine Activities (PM/ PMCAL, CM, Genba, Isotanker, Material Readiness, Sampling)]]</f>
        <v>Genba walk (MEK charging)</v>
      </c>
    </row>
    <row r="1304" spans="3:10" s="816" customFormat="1" ht="60" hidden="1" customHeight="1" x14ac:dyDescent="0.35">
      <c r="C1304" s="620" t="s">
        <v>2171</v>
      </c>
      <c r="D1304" s="238">
        <v>44515</v>
      </c>
      <c r="E1304" s="122" t="s">
        <v>773</v>
      </c>
      <c r="F1304" s="251"/>
      <c r="G1304" s="251"/>
      <c r="H1304" s="251" t="s">
        <v>340</v>
      </c>
      <c r="I1304" s="621"/>
      <c r="J1304" s="817" t="str">
        <f>Table1[[#This Row],[Routine Activities (PM/ PMCAL, CM, Genba, Isotanker, Material Readiness, Sampling)]]</f>
        <v>QOP</v>
      </c>
    </row>
    <row r="1305" spans="3:10" s="816" customFormat="1" ht="97.4" hidden="1" customHeight="1" x14ac:dyDescent="0.35">
      <c r="C1305" s="620" t="s">
        <v>2172</v>
      </c>
      <c r="D1305" s="238">
        <v>44515</v>
      </c>
      <c r="E1305" s="122" t="s">
        <v>377</v>
      </c>
      <c r="F1305" s="251">
        <v>44518</v>
      </c>
      <c r="G1305" s="251">
        <v>44518</v>
      </c>
      <c r="H1305" s="251" t="s">
        <v>340</v>
      </c>
      <c r="I1305" s="621"/>
      <c r="J1305" s="817" t="str">
        <f>Table1[[#This Row],[Routine Activities (PM/ PMCAL, CM, Genba, Isotanker, Material Readiness, Sampling)]]</f>
        <v>N2 Top up</v>
      </c>
    </row>
    <row r="1306" spans="3:10" s="816" customFormat="1" ht="128.15" hidden="1" customHeight="1" x14ac:dyDescent="0.35">
      <c r="C1306" s="620" t="s">
        <v>2173</v>
      </c>
      <c r="D1306" s="827">
        <v>44522</v>
      </c>
      <c r="E1306" s="122" t="s">
        <v>1953</v>
      </c>
      <c r="F1306" s="251">
        <v>44525</v>
      </c>
      <c r="G1306" s="251">
        <f>Table1[[#This Row],[Start Date]]</f>
        <v>44525</v>
      </c>
      <c r="H1306" s="251"/>
      <c r="I1306" s="621"/>
      <c r="J1306" s="817" t="str">
        <f>Table1[[#This Row],[Routine Activities (PM/ PMCAL, CM, Genba, Isotanker, Material Readiness, Sampling)]]</f>
        <v>Org waste offloading (empty for PM work)</v>
      </c>
    </row>
    <row r="1307" spans="3:10" s="816" customFormat="1" ht="41.15" hidden="1" customHeight="1" x14ac:dyDescent="0.35">
      <c r="C1307" s="620" t="s">
        <v>2155</v>
      </c>
      <c r="D1307" s="827">
        <v>44522</v>
      </c>
      <c r="E1307" s="122" t="s">
        <v>1953</v>
      </c>
      <c r="F1307" s="251"/>
      <c r="G1307" s="251">
        <f>Table1[[#This Row],[Start Date]]</f>
        <v>0</v>
      </c>
      <c r="H1307" s="251" t="s">
        <v>462</v>
      </c>
      <c r="I1307" s="621"/>
      <c r="J1307" s="817" t="str">
        <f>Table1[[#This Row],[Routine Activities (PM/ PMCAL, CM, Genba, Isotanker, Material Readiness, Sampling)]]</f>
        <v>Aq waste offloading</v>
      </c>
    </row>
    <row r="1308" spans="3:10" s="816" customFormat="1" ht="53.9" hidden="1" customHeight="1" x14ac:dyDescent="0.35">
      <c r="C1308" s="620" t="s">
        <v>2174</v>
      </c>
      <c r="D1308" s="827">
        <v>44522</v>
      </c>
      <c r="E1308" s="122" t="s">
        <v>377</v>
      </c>
      <c r="F1308" s="251"/>
      <c r="G1308" s="251">
        <f>Table1[[#This Row],[Start Date]]</f>
        <v>0</v>
      </c>
      <c r="H1308" s="251" t="s">
        <v>462</v>
      </c>
      <c r="I1308" s="621"/>
      <c r="J1308" s="817" t="str">
        <f>Table1[[#This Row],[Routine Activities (PM/ PMCAL, CM, Genba, Isotanker, Material Readiness, Sampling)]]</f>
        <v>Solvent top up</v>
      </c>
    </row>
    <row r="1309" spans="3:10" s="816" customFormat="1" ht="51" hidden="1" customHeight="1" x14ac:dyDescent="0.35">
      <c r="C1309" s="620" t="s">
        <v>2081</v>
      </c>
      <c r="D1309" s="827">
        <v>44522</v>
      </c>
      <c r="E1309" s="122" t="s">
        <v>377</v>
      </c>
      <c r="F1309" s="251">
        <v>44526</v>
      </c>
      <c r="G1309" s="251">
        <f>Table1[[#This Row],[Start Date]]</f>
        <v>44526</v>
      </c>
      <c r="H1309" s="251"/>
      <c r="I1309" s="621"/>
      <c r="J1309" s="817" t="str">
        <f>Table1[[#This Row],[Routine Activities (PM/ PMCAL, CM, Genba, Isotanker, Material Readiness, Sampling)]]</f>
        <v>N2 top up</v>
      </c>
    </row>
    <row r="1310" spans="3:10" s="816" customFormat="1" ht="27.65" hidden="1" customHeight="1" x14ac:dyDescent="0.35">
      <c r="C1310" s="843" t="s">
        <v>2175</v>
      </c>
      <c r="D1310" s="827">
        <v>44522</v>
      </c>
      <c r="E1310" s="122" t="s">
        <v>368</v>
      </c>
      <c r="F1310" s="251">
        <v>44524</v>
      </c>
      <c r="G1310" s="251">
        <f>Table1[[#This Row],[Start Date]]</f>
        <v>44524</v>
      </c>
      <c r="H1310" s="251"/>
      <c r="I1310" s="621"/>
      <c r="J1310" s="817" t="str">
        <f>Table1[[#This Row],[Routine Activities (PM/ PMCAL, CM, Genba, Isotanker, Material Readiness, Sampling)]]</f>
        <v>Genba (General Genba)</v>
      </c>
    </row>
    <row r="1311" spans="3:10" s="816" customFormat="1" ht="51.65" hidden="1" customHeight="1" x14ac:dyDescent="0.35">
      <c r="C1311" s="125" t="s">
        <v>1836</v>
      </c>
      <c r="D1311" s="827">
        <v>44529</v>
      </c>
      <c r="E1311" s="122" t="s">
        <v>1953</v>
      </c>
      <c r="F1311" s="251"/>
      <c r="G1311" s="251"/>
      <c r="H1311" s="251" t="s">
        <v>462</v>
      </c>
      <c r="I1311" s="621"/>
      <c r="J1311" s="817" t="str">
        <f>Table1[[#This Row],[Routine Activities (PM/ PMCAL, CM, Genba, Isotanker, Material Readiness, Sampling)]]</f>
        <v>Org waste offloading</v>
      </c>
    </row>
    <row r="1312" spans="3:10" s="816" customFormat="1" ht="28.4" hidden="1" customHeight="1" x14ac:dyDescent="0.35">
      <c r="C1312" s="125" t="s">
        <v>2155</v>
      </c>
      <c r="D1312" s="827">
        <v>44529</v>
      </c>
      <c r="E1312" s="122" t="s">
        <v>1953</v>
      </c>
      <c r="F1312" s="251"/>
      <c r="G1312" s="251"/>
      <c r="H1312" s="251" t="s">
        <v>462</v>
      </c>
      <c r="I1312" s="621"/>
      <c r="J1312" s="817" t="str">
        <f>Table1[[#This Row],[Routine Activities (PM/ PMCAL, CM, Genba, Isotanker, Material Readiness, Sampling)]]</f>
        <v>Aq waste offloading</v>
      </c>
    </row>
    <row r="1313" spans="3:10" s="816" customFormat="1" ht="32.9" hidden="1" customHeight="1" x14ac:dyDescent="0.35">
      <c r="C1313" s="125" t="s">
        <v>2174</v>
      </c>
      <c r="D1313" s="827">
        <v>44529</v>
      </c>
      <c r="E1313" s="122" t="s">
        <v>377</v>
      </c>
      <c r="F1313" s="251"/>
      <c r="G1313" s="251"/>
      <c r="H1313" s="251" t="s">
        <v>462</v>
      </c>
      <c r="I1313" s="621"/>
      <c r="J1313" s="817" t="str">
        <f>Table1[[#This Row],[Routine Activities (PM/ PMCAL, CM, Genba, Isotanker, Material Readiness, Sampling)]]</f>
        <v>Solvent top up</v>
      </c>
    </row>
    <row r="1314" spans="3:10" s="816" customFormat="1" ht="15" hidden="1" customHeight="1" x14ac:dyDescent="0.35">
      <c r="C1314" s="125" t="s">
        <v>2081</v>
      </c>
      <c r="D1314" s="827">
        <v>44529</v>
      </c>
      <c r="E1314" s="122" t="s">
        <v>377</v>
      </c>
      <c r="F1314" s="251">
        <v>44532</v>
      </c>
      <c r="G1314" s="251">
        <f>Table1[[#This Row],[Start Date]]</f>
        <v>44532</v>
      </c>
      <c r="H1314" s="251" t="s">
        <v>966</v>
      </c>
      <c r="I1314" s="621"/>
      <c r="J1314" s="817" t="str">
        <f>Table1[[#This Row],[Routine Activities (PM/ PMCAL, CM, Genba, Isotanker, Material Readiness, Sampling)]]</f>
        <v>N2 top up</v>
      </c>
    </row>
    <row r="1315" spans="3:10" s="816" customFormat="1" ht="15" hidden="1" customHeight="1" x14ac:dyDescent="0.35">
      <c r="C1315" s="125" t="s">
        <v>2176</v>
      </c>
      <c r="D1315" s="827">
        <v>44529</v>
      </c>
      <c r="E1315" s="122" t="s">
        <v>368</v>
      </c>
      <c r="F1315" s="251">
        <v>44531</v>
      </c>
      <c r="G1315" s="251">
        <f>Table1[[#This Row],[Start Date]]</f>
        <v>44531</v>
      </c>
      <c r="H1315" s="251" t="s">
        <v>966</v>
      </c>
      <c r="I1315" s="621"/>
      <c r="J1315" s="817" t="str">
        <f>Table1[[#This Row],[Routine Activities (PM/ PMCAL, CM, Genba, Isotanker, Material Readiness, Sampling)]]</f>
        <v>Genba (area walkdown)</v>
      </c>
    </row>
    <row r="1316" spans="3:10" s="816" customFormat="1" ht="15" hidden="1" customHeight="1" x14ac:dyDescent="0.35">
      <c r="C1316" s="125" t="s">
        <v>1836</v>
      </c>
      <c r="D1316" s="827">
        <v>44536</v>
      </c>
      <c r="E1316" s="122" t="s">
        <v>1953</v>
      </c>
      <c r="F1316" s="251"/>
      <c r="G1316" s="251"/>
      <c r="H1316" s="251" t="s">
        <v>462</v>
      </c>
      <c r="I1316" s="621"/>
      <c r="J1316" s="817" t="str">
        <f>Table1[[#This Row],[Routine Activities (PM/ PMCAL, CM, Genba, Isotanker, Material Readiness, Sampling)]]</f>
        <v>Org waste offloading</v>
      </c>
    </row>
    <row r="1317" spans="3:10" s="816" customFormat="1" ht="15" hidden="1" customHeight="1" x14ac:dyDescent="0.35">
      <c r="C1317" s="125" t="s">
        <v>2155</v>
      </c>
      <c r="D1317" s="827">
        <v>44536</v>
      </c>
      <c r="E1317" s="122" t="s">
        <v>1953</v>
      </c>
      <c r="F1317" s="251"/>
      <c r="G1317" s="251"/>
      <c r="H1317" s="251" t="s">
        <v>462</v>
      </c>
      <c r="I1317" s="621"/>
      <c r="J1317" s="817" t="str">
        <f>Table1[[#This Row],[Routine Activities (PM/ PMCAL, CM, Genba, Isotanker, Material Readiness, Sampling)]]</f>
        <v>Aq waste offloading</v>
      </c>
    </row>
    <row r="1318" spans="3:10" s="816" customFormat="1" ht="15" hidden="1" customHeight="1" x14ac:dyDescent="0.35">
      <c r="C1318" s="125" t="s">
        <v>2174</v>
      </c>
      <c r="D1318" s="827">
        <v>44536</v>
      </c>
      <c r="E1318" s="122" t="s">
        <v>377</v>
      </c>
      <c r="F1318" s="251"/>
      <c r="G1318" s="251"/>
      <c r="H1318" s="251" t="s">
        <v>462</v>
      </c>
      <c r="I1318" s="621"/>
      <c r="J1318" s="817" t="str">
        <f>Table1[[#This Row],[Routine Activities (PM/ PMCAL, CM, Genba, Isotanker, Material Readiness, Sampling)]]</f>
        <v>Solvent top up</v>
      </c>
    </row>
    <row r="1319" spans="3:10" s="816" customFormat="1" ht="15" hidden="1" customHeight="1" x14ac:dyDescent="0.35">
      <c r="C1319" s="125" t="s">
        <v>2081</v>
      </c>
      <c r="D1319" s="827">
        <v>44536</v>
      </c>
      <c r="E1319" s="122" t="s">
        <v>377</v>
      </c>
      <c r="F1319" s="251">
        <v>44539</v>
      </c>
      <c r="G1319" s="251">
        <f>Table1[[#This Row],[Start Date]]</f>
        <v>44539</v>
      </c>
      <c r="H1319" s="251" t="s">
        <v>966</v>
      </c>
      <c r="I1319" s="621"/>
      <c r="J1319" s="817" t="str">
        <f>Table1[[#This Row],[Routine Activities (PM/ PMCAL, CM, Genba, Isotanker, Material Readiness, Sampling)]]</f>
        <v>N2 top up</v>
      </c>
    </row>
    <row r="1320" spans="3:10" s="816" customFormat="1" ht="15" hidden="1" customHeight="1" x14ac:dyDescent="0.35">
      <c r="C1320" s="125" t="s">
        <v>2176</v>
      </c>
      <c r="D1320" s="827">
        <v>44536</v>
      </c>
      <c r="E1320" s="122" t="s">
        <v>368</v>
      </c>
      <c r="F1320" s="251"/>
      <c r="G1320" s="251"/>
      <c r="H1320" s="251" t="s">
        <v>966</v>
      </c>
      <c r="I1320" s="621"/>
      <c r="J1320" s="817" t="str">
        <f>Table1[[#This Row],[Routine Activities (PM/ PMCAL, CM, Genba, Isotanker, Material Readiness, Sampling)]]</f>
        <v>Genba (area walkdown)</v>
      </c>
    </row>
    <row r="1321" spans="3:10" s="816" customFormat="1" ht="15" hidden="1" customHeight="1" x14ac:dyDescent="0.35">
      <c r="C1321" s="125" t="s">
        <v>1836</v>
      </c>
      <c r="D1321" s="827">
        <v>44543</v>
      </c>
      <c r="E1321" s="122" t="s">
        <v>1953</v>
      </c>
      <c r="F1321" s="251">
        <v>44548</v>
      </c>
      <c r="G1321" s="251">
        <f>Table1[[#This Row],[Start Date]]</f>
        <v>44548</v>
      </c>
      <c r="H1321" s="251"/>
      <c r="I1321" s="621"/>
      <c r="J1321" s="817" t="str">
        <f>Table1[[#This Row],[Routine Activities (PM/ PMCAL, CM, Genba, Isotanker, Material Readiness, Sampling)]]</f>
        <v>Org waste offloading</v>
      </c>
    </row>
    <row r="1322" spans="3:10" s="816" customFormat="1" ht="15" hidden="1" customHeight="1" x14ac:dyDescent="0.35">
      <c r="C1322" s="125" t="s">
        <v>2155</v>
      </c>
      <c r="D1322" s="827">
        <v>44543</v>
      </c>
      <c r="E1322" s="122" t="s">
        <v>1953</v>
      </c>
      <c r="F1322" s="251">
        <v>44543</v>
      </c>
      <c r="G1322" s="251">
        <f>Table1[[#This Row],[Start Date]]</f>
        <v>44543</v>
      </c>
      <c r="H1322" s="251"/>
      <c r="I1322" s="621"/>
      <c r="J1322" s="817" t="str">
        <f>Table1[[#This Row],[Routine Activities (PM/ PMCAL, CM, Genba, Isotanker, Material Readiness, Sampling)]]</f>
        <v>Aq waste offloading</v>
      </c>
    </row>
    <row r="1323" spans="3:10" s="816" customFormat="1" ht="15" hidden="1" customHeight="1" x14ac:dyDescent="0.35">
      <c r="C1323" s="125" t="s">
        <v>2177</v>
      </c>
      <c r="D1323" s="827">
        <v>44543</v>
      </c>
      <c r="E1323" s="122" t="s">
        <v>377</v>
      </c>
      <c r="F1323" s="251">
        <v>44544</v>
      </c>
      <c r="G1323" s="251">
        <f>Table1[[#This Row],[Start Date]]</f>
        <v>44544</v>
      </c>
      <c r="H1323" s="251"/>
      <c r="I1323" s="621"/>
      <c r="J1323" s="817" t="str">
        <f>Table1[[#This Row],[Routine Activities (PM/ PMCAL, CM, Genba, Isotanker, Material Readiness, Sampling)]]</f>
        <v xml:space="preserve">Solvent top up (Ethyl Acetate) </v>
      </c>
    </row>
    <row r="1324" spans="3:10" s="816" customFormat="1" ht="15" hidden="1" customHeight="1" x14ac:dyDescent="0.35">
      <c r="C1324" s="125" t="s">
        <v>2081</v>
      </c>
      <c r="D1324" s="827">
        <v>44543</v>
      </c>
      <c r="E1324" s="122" t="s">
        <v>377</v>
      </c>
      <c r="F1324" s="251">
        <v>44546</v>
      </c>
      <c r="G1324" s="251">
        <f>Table1[[#This Row],[Start Date]]</f>
        <v>44546</v>
      </c>
      <c r="H1324" s="251"/>
      <c r="I1324" s="621"/>
      <c r="J1324" s="817" t="str">
        <f>Table1[[#This Row],[Routine Activities (PM/ PMCAL, CM, Genba, Isotanker, Material Readiness, Sampling)]]</f>
        <v>N2 top up</v>
      </c>
    </row>
    <row r="1325" spans="3:10" s="816" customFormat="1" ht="15" hidden="1" customHeight="1" x14ac:dyDescent="0.35">
      <c r="C1325" s="619" t="s">
        <v>2178</v>
      </c>
      <c r="D1325" s="827">
        <v>44543</v>
      </c>
      <c r="E1325" s="122" t="s">
        <v>2179</v>
      </c>
      <c r="F1325" s="827">
        <v>44543</v>
      </c>
      <c r="G1325" s="251">
        <f>Table1[[#This Row],[Start Date]]+1</f>
        <v>44544</v>
      </c>
      <c r="H1325" s="251"/>
      <c r="I1325" s="621"/>
      <c r="J1325" s="817" t="str">
        <f>Table1[[#This Row],[Routine Activities (PM/ PMCAL, CM, Genba, Isotanker, Material Readiness, Sampling)]]</f>
        <v>Reactor 54311 PMCAL</v>
      </c>
    </row>
    <row r="1326" spans="3:10" s="816" customFormat="1" ht="15" hidden="1" customHeight="1" x14ac:dyDescent="0.35">
      <c r="C1326" s="619" t="s">
        <v>2180</v>
      </c>
      <c r="D1326" s="827">
        <v>44550</v>
      </c>
      <c r="E1326" s="122"/>
      <c r="F1326" s="827">
        <v>44550</v>
      </c>
      <c r="G1326" s="251">
        <f>Table1[[#This Row],[Start Date]]</f>
        <v>44550</v>
      </c>
      <c r="H1326" s="251"/>
      <c r="I1326" s="621"/>
      <c r="J1326" s="817" t="str">
        <f>Table1[[#This Row],[Routine Activities (PM/ PMCAL, CM, Genba, Isotanker, Material Readiness, Sampling)]]</f>
        <v>Hydrogen cylinder delivery</v>
      </c>
    </row>
    <row r="1327" spans="3:10" s="816" customFormat="1" ht="15" hidden="1" customHeight="1" x14ac:dyDescent="0.35">
      <c r="C1327" s="125" t="s">
        <v>2181</v>
      </c>
      <c r="D1327" s="827">
        <v>44550</v>
      </c>
      <c r="E1327" s="122" t="s">
        <v>377</v>
      </c>
      <c r="F1327" s="251">
        <v>44550</v>
      </c>
      <c r="G1327" s="251">
        <f>Table1[[#This Row],[Start Date]]</f>
        <v>44550</v>
      </c>
      <c r="H1327" s="251"/>
      <c r="I1327" s="621"/>
      <c r="J1327" s="817" t="str">
        <f>Table1[[#This Row],[Routine Activities (PM/ PMCAL, CM, Genba, Isotanker, Material Readiness, Sampling)]]</f>
        <v>Solvent top up (Methanol)</v>
      </c>
    </row>
    <row r="1328" spans="3:10" s="816" customFormat="1" ht="15" hidden="1" customHeight="1" x14ac:dyDescent="0.35">
      <c r="C1328" s="627" t="s">
        <v>2081</v>
      </c>
      <c r="D1328" s="827">
        <v>44550</v>
      </c>
      <c r="E1328" s="122" t="s">
        <v>377</v>
      </c>
      <c r="F1328" s="251">
        <v>44553</v>
      </c>
      <c r="G1328" s="251">
        <f>Table1[[#This Row],[Start Date]]</f>
        <v>44553</v>
      </c>
      <c r="H1328" s="251"/>
      <c r="I1328" s="621"/>
      <c r="J1328" s="817" t="str">
        <f>Table1[[#This Row],[Routine Activities (PM/ PMCAL, CM, Genba, Isotanker, Material Readiness, Sampling)]]</f>
        <v>N2 top up</v>
      </c>
    </row>
    <row r="1329" spans="3:10" s="816" customFormat="1" ht="15" hidden="1" customHeight="1" x14ac:dyDescent="0.35">
      <c r="C1329" s="125" t="s">
        <v>2182</v>
      </c>
      <c r="D1329" s="827">
        <v>44550</v>
      </c>
      <c r="E1329" s="122" t="s">
        <v>368</v>
      </c>
      <c r="F1329" s="251">
        <v>44546</v>
      </c>
      <c r="G1329" s="251">
        <f>Table1[[#This Row],[Start Date]]</f>
        <v>44546</v>
      </c>
      <c r="H1329" s="251"/>
      <c r="I1329" s="621"/>
      <c r="J1329" s="817" t="str">
        <f>Table1[[#This Row],[Routine Activities (PM/ PMCAL, CM, Genba, Isotanker, Material Readiness, Sampling)]]</f>
        <v>Genba on the gate in front of ASM2</v>
      </c>
    </row>
    <row r="1330" spans="3:10" s="816" customFormat="1" ht="15" hidden="1" customHeight="1" x14ac:dyDescent="0.35">
      <c r="C1330" s="619" t="s">
        <v>2183</v>
      </c>
      <c r="D1330" s="827">
        <v>44550</v>
      </c>
      <c r="E1330" s="122" t="s">
        <v>2184</v>
      </c>
      <c r="F1330" s="251">
        <v>44546</v>
      </c>
      <c r="G1330" s="251">
        <f>Table1[[#This Row],[Start Date]]</f>
        <v>44546</v>
      </c>
      <c r="H1330" s="251"/>
      <c r="I1330" s="621"/>
      <c r="J1330" s="817" t="str">
        <f>Table1[[#This Row],[Routine Activities (PM/ PMCAL, CM, Genba, Isotanker, Material Readiness, Sampling)]]</f>
        <v>Genba on the usage of lifelines</v>
      </c>
    </row>
    <row r="1331" spans="3:10" s="816" customFormat="1" ht="15" hidden="1" customHeight="1" x14ac:dyDescent="0.35">
      <c r="C1331" s="125" t="s">
        <v>2185</v>
      </c>
      <c r="D1331" s="827">
        <v>44550</v>
      </c>
      <c r="E1331" s="122" t="s">
        <v>418</v>
      </c>
      <c r="F1331" s="251">
        <v>44551</v>
      </c>
      <c r="G1331" s="251">
        <f>Table1[[#This Row],[Start Date]]</f>
        <v>44551</v>
      </c>
      <c r="H1331" s="251"/>
      <c r="I1331" s="621"/>
      <c r="J1331" s="817" t="str">
        <f>Table1[[#This Row],[Routine Activities (PM/ PMCAL, CM, Genba, Isotanker, Material Readiness, Sampling)]]</f>
        <v>Step A3 material readiness</v>
      </c>
    </row>
    <row r="1332" spans="3:10" s="816" customFormat="1" ht="15" hidden="1" customHeight="1" x14ac:dyDescent="0.35">
      <c r="C1332" s="619" t="s">
        <v>2186</v>
      </c>
      <c r="D1332" s="827">
        <v>44550</v>
      </c>
      <c r="E1332" s="122" t="s">
        <v>368</v>
      </c>
      <c r="F1332" s="251">
        <v>44551</v>
      </c>
      <c r="G1332" s="251">
        <f>Table1[[#This Row],[Start Date]]</f>
        <v>44551</v>
      </c>
      <c r="H1332" s="251"/>
      <c r="I1332" s="621"/>
      <c r="J1332" s="817" t="str">
        <f>Table1[[#This Row],[Routine Activities (PM/ PMCAL, CM, Genba, Isotanker, Material Readiness, Sampling)]]</f>
        <v>Filter change (catalyst)</v>
      </c>
    </row>
    <row r="1333" spans="3:10" s="816" customFormat="1" ht="15" hidden="1" customHeight="1" x14ac:dyDescent="0.35">
      <c r="C1333" s="125" t="s">
        <v>1836</v>
      </c>
      <c r="D1333" s="827">
        <v>44557</v>
      </c>
      <c r="E1333" s="122" t="s">
        <v>1953</v>
      </c>
      <c r="F1333" s="827">
        <v>44560</v>
      </c>
      <c r="G1333" s="251">
        <f>Table1[[#This Row],[Start Date]]</f>
        <v>44560</v>
      </c>
      <c r="H1333" s="251"/>
      <c r="I1333" s="621"/>
      <c r="J1333" s="817" t="str">
        <f>Table1[[#This Row],[Routine Activities (PM/ PMCAL, CM, Genba, Isotanker, Material Readiness, Sampling)]]</f>
        <v>Org waste offloading</v>
      </c>
    </row>
    <row r="1334" spans="3:10" s="816" customFormat="1" ht="15" hidden="1" customHeight="1" x14ac:dyDescent="0.35">
      <c r="C1334" s="125" t="s">
        <v>1362</v>
      </c>
      <c r="D1334" s="827">
        <v>44557</v>
      </c>
      <c r="E1334" s="122" t="s">
        <v>377</v>
      </c>
      <c r="F1334" s="827">
        <v>44559</v>
      </c>
      <c r="G1334" s="251">
        <f>Table1[[#This Row],[Start Date]]</f>
        <v>44559</v>
      </c>
      <c r="H1334" s="251"/>
      <c r="I1334" s="621"/>
      <c r="J1334" s="817" t="str">
        <f>Table1[[#This Row],[Routine Activities (PM/ PMCAL, CM, Genba, Isotanker, Material Readiness, Sampling)]]</f>
        <v>Methanol top up</v>
      </c>
    </row>
    <row r="1335" spans="3:10" s="816" customFormat="1" ht="15" hidden="1" customHeight="1" x14ac:dyDescent="0.35">
      <c r="C1335" s="125" t="s">
        <v>2081</v>
      </c>
      <c r="D1335" s="827">
        <v>44557</v>
      </c>
      <c r="E1335" s="122" t="s">
        <v>377</v>
      </c>
      <c r="F1335" s="827">
        <v>44564</v>
      </c>
      <c r="G1335" s="251">
        <f>Table1[[#This Row],[Start Date]]</f>
        <v>44564</v>
      </c>
      <c r="H1335" s="251"/>
      <c r="I1335" s="621"/>
      <c r="J1335" s="817" t="str">
        <f>Table1[[#This Row],[Routine Activities (PM/ PMCAL, CM, Genba, Isotanker, Material Readiness, Sampling)]]</f>
        <v>N2 top up</v>
      </c>
    </row>
    <row r="1336" spans="3:10" s="816" customFormat="1" ht="15" hidden="1" customHeight="1" x14ac:dyDescent="0.35">
      <c r="C1336" s="125" t="s">
        <v>2175</v>
      </c>
      <c r="D1336" s="827">
        <v>44557</v>
      </c>
      <c r="E1336" s="122" t="s">
        <v>1953</v>
      </c>
      <c r="F1336" s="827">
        <v>44559</v>
      </c>
      <c r="G1336" s="251">
        <f>Table1[[#This Row],[Start Date]]</f>
        <v>44559</v>
      </c>
      <c r="H1336" s="251"/>
      <c r="I1336" s="621"/>
      <c r="J1336" s="817" t="str">
        <f>Table1[[#This Row],[Routine Activities (PM/ PMCAL, CM, Genba, Isotanker, Material Readiness, Sampling)]]</f>
        <v>Genba (General Genba)</v>
      </c>
    </row>
    <row r="1337" spans="3:10" s="816" customFormat="1" ht="15" hidden="1" customHeight="1" x14ac:dyDescent="0.35">
      <c r="C1337" s="619" t="s">
        <v>2155</v>
      </c>
      <c r="D1337" s="827">
        <v>44564</v>
      </c>
      <c r="E1337" s="122" t="s">
        <v>1953</v>
      </c>
      <c r="F1337" s="827">
        <v>44568</v>
      </c>
      <c r="G1337" s="251">
        <f>Table1[[#This Row],[Start Date]]</f>
        <v>44568</v>
      </c>
      <c r="H1337" s="251"/>
      <c r="I1337" s="621"/>
      <c r="J1337" s="817" t="str">
        <f>Table1[[#This Row],[Routine Activities (PM/ PMCAL, CM, Genba, Isotanker, Material Readiness, Sampling)]]</f>
        <v>Aq waste offloading</v>
      </c>
    </row>
    <row r="1338" spans="3:10" s="816" customFormat="1" ht="15" hidden="1" customHeight="1" x14ac:dyDescent="0.35">
      <c r="C1338" s="125" t="s">
        <v>2181</v>
      </c>
      <c r="D1338" s="827">
        <v>44571</v>
      </c>
      <c r="E1338" s="122" t="s">
        <v>377</v>
      </c>
      <c r="F1338" s="827">
        <v>44575</v>
      </c>
      <c r="G1338" s="251">
        <f>Table1[[#This Row],[Start Date]]</f>
        <v>44575</v>
      </c>
      <c r="H1338" s="251"/>
      <c r="I1338" s="621"/>
      <c r="J1338" s="817" t="str">
        <f>Table1[[#This Row],[Routine Activities (PM/ PMCAL, CM, Genba, Isotanker, Material Readiness, Sampling)]]</f>
        <v>Solvent top up (Methanol)</v>
      </c>
    </row>
    <row r="1339" spans="3:10" s="816" customFormat="1" ht="15" hidden="1" customHeight="1" x14ac:dyDescent="0.35">
      <c r="C1339" s="619" t="s">
        <v>2081</v>
      </c>
      <c r="D1339" s="827">
        <v>44571</v>
      </c>
      <c r="E1339" s="122" t="s">
        <v>377</v>
      </c>
      <c r="F1339" s="827">
        <v>44572</v>
      </c>
      <c r="G1339" s="251">
        <f>Table1[[#This Row],[Start Date]]</f>
        <v>44572</v>
      </c>
      <c r="H1339" s="251"/>
      <c r="I1339" s="621"/>
      <c r="J1339" s="817" t="str">
        <f>Table1[[#This Row],[Routine Activities (PM/ PMCAL, CM, Genba, Isotanker, Material Readiness, Sampling)]]</f>
        <v>N2 top up</v>
      </c>
    </row>
    <row r="1340" spans="3:10" s="816" customFormat="1" ht="15" hidden="1" customHeight="1" x14ac:dyDescent="0.35">
      <c r="C1340" s="125" t="s">
        <v>2187</v>
      </c>
      <c r="D1340" s="827">
        <v>44564</v>
      </c>
      <c r="E1340" s="122" t="s">
        <v>1953</v>
      </c>
      <c r="F1340" s="827">
        <v>44566</v>
      </c>
      <c r="G1340" s="251">
        <f>Table1[[#This Row],[Start Date]]</f>
        <v>44566</v>
      </c>
      <c r="H1340" s="251"/>
      <c r="I1340" s="621"/>
      <c r="J1340" s="817" t="str">
        <f>Table1[[#This Row],[Routine Activities (PM/ PMCAL, CM, Genba, Isotanker, Material Readiness, Sampling)]]</f>
        <v>Genba (distillate rcv hose connection and waste line from CFH )</v>
      </c>
    </row>
    <row r="1341" spans="3:10" s="816" customFormat="1" ht="15" hidden="1" customHeight="1" x14ac:dyDescent="0.35">
      <c r="C1341" s="619" t="s">
        <v>2176</v>
      </c>
      <c r="D1341" s="827">
        <v>44571</v>
      </c>
      <c r="E1341" s="122" t="s">
        <v>1953</v>
      </c>
      <c r="F1341" s="827">
        <v>44573</v>
      </c>
      <c r="G1341" s="251">
        <f>Table1[[#This Row],[Start Date]]</f>
        <v>44573</v>
      </c>
      <c r="H1341" s="251"/>
      <c r="I1341" s="621"/>
      <c r="J1341" s="817" t="str">
        <f>Table1[[#This Row],[Routine Activities (PM/ PMCAL, CM, Genba, Isotanker, Material Readiness, Sampling)]]</f>
        <v>Genba (area walkdown)</v>
      </c>
    </row>
    <row r="1342" spans="3:10" s="816" customFormat="1" ht="15" hidden="1" customHeight="1" x14ac:dyDescent="0.35">
      <c r="C1342" s="619" t="s">
        <v>2180</v>
      </c>
      <c r="D1342" s="827">
        <v>44571</v>
      </c>
      <c r="E1342" s="122" t="s">
        <v>377</v>
      </c>
      <c r="F1342" s="827">
        <v>44574</v>
      </c>
      <c r="G1342" s="251">
        <f>Table1[[#This Row],[Start Date]]</f>
        <v>44574</v>
      </c>
      <c r="H1342" s="251"/>
      <c r="I1342" s="621"/>
      <c r="J1342" s="817" t="str">
        <f>Table1[[#This Row],[Routine Activities (PM/ PMCAL, CM, Genba, Isotanker, Material Readiness, Sampling)]]</f>
        <v>Hydrogen cylinder delivery</v>
      </c>
    </row>
    <row r="1343" spans="3:10" s="816" customFormat="1" ht="15" hidden="1" customHeight="1" x14ac:dyDescent="0.35">
      <c r="C1343" s="125" t="s">
        <v>1836</v>
      </c>
      <c r="D1343" s="827">
        <v>44578</v>
      </c>
      <c r="E1343" s="122" t="s">
        <v>1953</v>
      </c>
      <c r="F1343" s="827">
        <v>44582</v>
      </c>
      <c r="G1343" s="251">
        <f>Table1[[#This Row],[Start Date]]</f>
        <v>44582</v>
      </c>
      <c r="H1343" s="251"/>
      <c r="I1343" s="621"/>
      <c r="J1343" s="817" t="str">
        <f>Table1[[#This Row],[Routine Activities (PM/ PMCAL, CM, Genba, Isotanker, Material Readiness, Sampling)]]</f>
        <v>Org waste offloading</v>
      </c>
    </row>
    <row r="1344" spans="3:10" s="816" customFormat="1" ht="15" hidden="1" customHeight="1" x14ac:dyDescent="0.35">
      <c r="C1344" s="627" t="s">
        <v>2155</v>
      </c>
      <c r="D1344" s="827">
        <v>44578</v>
      </c>
      <c r="E1344" s="122" t="s">
        <v>1953</v>
      </c>
      <c r="F1344" s="827">
        <v>44580</v>
      </c>
      <c r="G1344" s="251">
        <f>Table1[[#This Row],[Start Date]]</f>
        <v>44580</v>
      </c>
      <c r="H1344" s="251"/>
      <c r="I1344" s="621"/>
      <c r="J1344" s="817" t="str">
        <f>Table1[[#This Row],[Routine Activities (PM/ PMCAL, CM, Genba, Isotanker, Material Readiness, Sampling)]]</f>
        <v>Aq waste offloading</v>
      </c>
    </row>
    <row r="1345" spans="3:10" s="816" customFormat="1" ht="15" hidden="1" customHeight="1" x14ac:dyDescent="0.35">
      <c r="C1345" s="125" t="s">
        <v>2081</v>
      </c>
      <c r="D1345" s="827">
        <v>44578</v>
      </c>
      <c r="E1345" s="122" t="s">
        <v>377</v>
      </c>
      <c r="F1345" s="827">
        <v>44579</v>
      </c>
      <c r="G1345" s="251">
        <f>Table1[[#This Row],[Start Date]]</f>
        <v>44579</v>
      </c>
      <c r="H1345" s="251"/>
      <c r="I1345" s="621"/>
      <c r="J1345" s="817" t="str">
        <f>Table1[[#This Row],[Routine Activities (PM/ PMCAL, CM, Genba, Isotanker, Material Readiness, Sampling)]]</f>
        <v>N2 top up</v>
      </c>
    </row>
    <row r="1346" spans="3:10" s="816" customFormat="1" ht="15" hidden="1" customHeight="1" x14ac:dyDescent="0.35">
      <c r="C1346" s="627" t="s">
        <v>2113</v>
      </c>
      <c r="D1346" s="827">
        <v>44578</v>
      </c>
      <c r="E1346" s="122" t="s">
        <v>1953</v>
      </c>
      <c r="F1346" s="827"/>
      <c r="G1346" s="251">
        <f>Table1[[#This Row],[Start Date]]</f>
        <v>0</v>
      </c>
      <c r="H1346" s="251"/>
      <c r="I1346" s="621"/>
      <c r="J1346" s="817" t="str">
        <f>Table1[[#This Row],[Routine Activities (PM/ PMCAL, CM, Genba, Isotanker, Material Readiness, Sampling)]]</f>
        <v>Genba</v>
      </c>
    </row>
    <row r="1347" spans="3:10" s="816" customFormat="1" ht="15" hidden="1" customHeight="1" x14ac:dyDescent="0.35">
      <c r="C1347" s="125" t="s">
        <v>1362</v>
      </c>
      <c r="D1347" s="827">
        <v>44585</v>
      </c>
      <c r="E1347" s="122"/>
      <c r="F1347" s="827">
        <v>44589</v>
      </c>
      <c r="G1347" s="251">
        <f>Table1[[#This Row],[Start Date]]</f>
        <v>44589</v>
      </c>
      <c r="H1347" s="251"/>
      <c r="I1347" s="621"/>
      <c r="J1347" s="817" t="str">
        <f>Table1[[#This Row],[Routine Activities (PM/ PMCAL, CM, Genba, Isotanker, Material Readiness, Sampling)]]</f>
        <v>Methanol top up</v>
      </c>
    </row>
    <row r="1348" spans="3:10" s="816" customFormat="1" ht="15" hidden="1" customHeight="1" x14ac:dyDescent="0.35">
      <c r="C1348" s="125" t="s">
        <v>2081</v>
      </c>
      <c r="D1348" s="827">
        <v>44585</v>
      </c>
      <c r="E1348" s="122"/>
      <c r="F1348" s="827">
        <v>44586</v>
      </c>
      <c r="G1348" s="251">
        <f>Table1[[#This Row],[Start Date]]</f>
        <v>44586</v>
      </c>
      <c r="H1348" s="251"/>
      <c r="I1348" s="621"/>
      <c r="J1348" s="817" t="str">
        <f>Table1[[#This Row],[Routine Activities (PM/ PMCAL, CM, Genba, Isotanker, Material Readiness, Sampling)]]</f>
        <v>N2 top up</v>
      </c>
    </row>
    <row r="1349" spans="3:10" s="816" customFormat="1" ht="15" hidden="1" customHeight="1" x14ac:dyDescent="0.35">
      <c r="C1349" s="681" t="s">
        <v>2172</v>
      </c>
      <c r="D1349" s="827">
        <v>44592</v>
      </c>
      <c r="E1349" s="122"/>
      <c r="F1349" s="827">
        <v>44596</v>
      </c>
      <c r="G1349" s="251">
        <f>Table1[[#This Row],[Start Date]]</f>
        <v>44596</v>
      </c>
      <c r="H1349" s="251"/>
      <c r="I1349" s="621"/>
      <c r="J1349" s="817" t="str">
        <f>Table1[[#This Row],[Routine Activities (PM/ PMCAL, CM, Genba, Isotanker, Material Readiness, Sampling)]]</f>
        <v>N2 Top up</v>
      </c>
    </row>
    <row r="1350" spans="3:10" s="816" customFormat="1" ht="15" hidden="1" customHeight="1" x14ac:dyDescent="0.35">
      <c r="C1350" s="627" t="s">
        <v>2172</v>
      </c>
      <c r="D1350" s="827">
        <v>44599</v>
      </c>
      <c r="E1350" s="122"/>
      <c r="F1350" s="827">
        <v>44602</v>
      </c>
      <c r="G1350" s="251">
        <f>Table1[[#This Row],[Start Date]]</f>
        <v>44602</v>
      </c>
      <c r="H1350" s="251"/>
      <c r="I1350" s="621"/>
      <c r="J1350" s="817" t="str">
        <f>Table1[[#This Row],[Routine Activities (PM/ PMCAL, CM, Genba, Isotanker, Material Readiness, Sampling)]]</f>
        <v>N2 Top up</v>
      </c>
    </row>
    <row r="1351" spans="3:10" s="816" customFormat="1" ht="15" hidden="1" customHeight="1" x14ac:dyDescent="0.35">
      <c r="C1351" s="619" t="s">
        <v>2081</v>
      </c>
      <c r="D1351" s="827">
        <v>44606</v>
      </c>
      <c r="E1351" s="122"/>
      <c r="F1351" s="827">
        <v>44613</v>
      </c>
      <c r="G1351" s="251">
        <f>Table1[[#This Row],[Start Date]]</f>
        <v>44613</v>
      </c>
      <c r="H1351" s="251"/>
      <c r="I1351" s="621"/>
      <c r="J1351" s="817" t="str">
        <f>Table1[[#This Row],[Routine Activities (PM/ PMCAL, CM, Genba, Isotanker, Material Readiness, Sampling)]]</f>
        <v>N2 top up</v>
      </c>
    </row>
    <row r="1352" spans="3:10" s="816" customFormat="1" ht="15" hidden="1" customHeight="1" x14ac:dyDescent="0.35">
      <c r="C1352" s="619" t="s">
        <v>1836</v>
      </c>
      <c r="D1352" s="827">
        <v>44606</v>
      </c>
      <c r="E1352" s="122"/>
      <c r="F1352" s="827">
        <v>44609</v>
      </c>
      <c r="G1352" s="251">
        <f>Table1[[#This Row],[Start Date]]</f>
        <v>44609</v>
      </c>
      <c r="H1352" s="251"/>
      <c r="I1352" s="621"/>
      <c r="J1352" s="817" t="str">
        <f>Table1[[#This Row],[Routine Activities (PM/ PMCAL, CM, Genba, Isotanker, Material Readiness, Sampling)]]</f>
        <v>Org waste offloading</v>
      </c>
    </row>
    <row r="1353" spans="3:10" s="816" customFormat="1" ht="15" hidden="1" customHeight="1" x14ac:dyDescent="0.35">
      <c r="C1353" s="619" t="s">
        <v>1836</v>
      </c>
      <c r="D1353" s="827">
        <v>44613</v>
      </c>
      <c r="E1353" s="122"/>
      <c r="F1353" s="827">
        <v>44618</v>
      </c>
      <c r="G1353" s="251">
        <f>Table1[[#This Row],[Start Date]]</f>
        <v>44618</v>
      </c>
      <c r="H1353" s="251"/>
      <c r="I1353" s="621"/>
      <c r="J1353" s="817" t="str">
        <f>Table1[[#This Row],[Routine Activities (PM/ PMCAL, CM, Genba, Isotanker, Material Readiness, Sampling)]]</f>
        <v>Org waste offloading</v>
      </c>
    </row>
    <row r="1354" spans="3:10" s="816" customFormat="1" ht="15" hidden="1" customHeight="1" x14ac:dyDescent="0.35">
      <c r="C1354" s="619" t="s">
        <v>2155</v>
      </c>
      <c r="D1354" s="827">
        <v>44613</v>
      </c>
      <c r="E1354" s="122"/>
      <c r="F1354" s="827">
        <v>44614</v>
      </c>
      <c r="G1354" s="251">
        <f>Table1[[#This Row],[Start Date]]</f>
        <v>44614</v>
      </c>
      <c r="H1354" s="251"/>
      <c r="I1354" s="621"/>
      <c r="J1354" s="817" t="str">
        <f>Table1[[#This Row],[Routine Activities (PM/ PMCAL, CM, Genba, Isotanker, Material Readiness, Sampling)]]</f>
        <v>Aq waste offloading</v>
      </c>
    </row>
    <row r="1355" spans="3:10" s="816" customFormat="1" ht="15" hidden="1" customHeight="1" x14ac:dyDescent="0.35">
      <c r="C1355" s="619" t="s">
        <v>1362</v>
      </c>
      <c r="D1355" s="827">
        <v>44606</v>
      </c>
      <c r="E1355" s="122"/>
      <c r="F1355" s="827">
        <v>44610</v>
      </c>
      <c r="G1355" s="251">
        <f>Table1[[#This Row],[Start Date]]</f>
        <v>44610</v>
      </c>
      <c r="H1355" s="251"/>
      <c r="I1355" s="621"/>
      <c r="J1355" s="817" t="str">
        <f>Table1[[#This Row],[Routine Activities (PM/ PMCAL, CM, Genba, Isotanker, Material Readiness, Sampling)]]</f>
        <v>Methanol top up</v>
      </c>
    </row>
    <row r="1356" spans="3:10" s="816" customFormat="1" ht="15" hidden="1" customHeight="1" x14ac:dyDescent="0.35">
      <c r="C1356" s="619" t="s">
        <v>1362</v>
      </c>
      <c r="D1356" s="827">
        <v>44613</v>
      </c>
      <c r="E1356" s="122"/>
      <c r="F1356" s="827">
        <v>44617</v>
      </c>
      <c r="G1356" s="251">
        <f>Table1[[#This Row],[Start Date]]</f>
        <v>44617</v>
      </c>
      <c r="H1356" s="251"/>
      <c r="I1356" s="621"/>
      <c r="J1356" s="817" t="str">
        <f>Table1[[#This Row],[Routine Activities (PM/ PMCAL, CM, Genba, Isotanker, Material Readiness, Sampling)]]</f>
        <v>Methanol top up</v>
      </c>
    </row>
    <row r="1357" spans="3:10" s="816" customFormat="1" ht="15" hidden="1" customHeight="1" x14ac:dyDescent="0.35">
      <c r="C1357" s="627" t="s">
        <v>2113</v>
      </c>
      <c r="D1357" s="827">
        <v>44613</v>
      </c>
      <c r="E1357" s="122"/>
      <c r="F1357" s="827">
        <v>44616</v>
      </c>
      <c r="G1357" s="251">
        <f>Table1[[#This Row],[Start Date]]</f>
        <v>44616</v>
      </c>
      <c r="H1357" s="251"/>
      <c r="I1357" s="621" t="s">
        <v>2188</v>
      </c>
      <c r="J1357" s="817" t="str">
        <f>Table1[[#This Row],[Routine Activities (PM/ PMCAL, CM, Genba, Isotanker, Material Readiness, Sampling)]]</f>
        <v>Genba</v>
      </c>
    </row>
    <row r="1358" spans="3:10" s="816" customFormat="1" ht="15" hidden="1" customHeight="1" x14ac:dyDescent="0.35">
      <c r="C1358" s="619" t="s">
        <v>2171</v>
      </c>
      <c r="D1358" s="827">
        <v>44613</v>
      </c>
      <c r="E1358" s="122"/>
      <c r="F1358" s="827">
        <v>44613</v>
      </c>
      <c r="G1358" s="251">
        <f>Table1[[#This Row],[Start Date]]</f>
        <v>44613</v>
      </c>
      <c r="H1358" s="251"/>
      <c r="I1358" s="621" t="s">
        <v>2189</v>
      </c>
      <c r="J1358" s="817" t="str">
        <f>Table1[[#This Row],[Routine Activities (PM/ PMCAL, CM, Genba, Isotanker, Material Readiness, Sampling)]]</f>
        <v>QOP</v>
      </c>
    </row>
    <row r="1359" spans="3:10" s="816" customFormat="1" ht="15" hidden="1" customHeight="1" x14ac:dyDescent="0.35">
      <c r="C1359" s="619" t="s">
        <v>2171</v>
      </c>
      <c r="D1359" s="827">
        <v>44613</v>
      </c>
      <c r="E1359" s="122"/>
      <c r="F1359" s="827">
        <v>44615</v>
      </c>
      <c r="G1359" s="251">
        <f>Table1[[#This Row],[Start Date]]</f>
        <v>44615</v>
      </c>
      <c r="H1359" s="251"/>
      <c r="I1359" s="621" t="s">
        <v>2190</v>
      </c>
      <c r="J1359" s="817" t="str">
        <f>Table1[[#This Row],[Routine Activities (PM/ PMCAL, CM, Genba, Isotanker, Material Readiness, Sampling)]]</f>
        <v>QOP</v>
      </c>
    </row>
    <row r="1360" spans="3:10" s="816" customFormat="1" ht="15" hidden="1" customHeight="1" x14ac:dyDescent="0.35">
      <c r="C1360" s="627" t="s">
        <v>2081</v>
      </c>
      <c r="D1360" s="827">
        <v>44620</v>
      </c>
      <c r="E1360" s="122"/>
      <c r="F1360" s="827">
        <v>44621</v>
      </c>
      <c r="G1360" s="251">
        <f>Table1[[#This Row],[Start Date]]</f>
        <v>44621</v>
      </c>
      <c r="H1360" s="251"/>
      <c r="I1360" s="621"/>
      <c r="J1360" s="817" t="str">
        <f>Table1[[#This Row],[Routine Activities (PM/ PMCAL, CM, Genba, Isotanker, Material Readiness, Sampling)]]</f>
        <v>N2 top up</v>
      </c>
    </row>
    <row r="1361" spans="3:10" s="816" customFormat="1" ht="15" hidden="1" customHeight="1" x14ac:dyDescent="0.35">
      <c r="C1361" s="627" t="s">
        <v>2113</v>
      </c>
      <c r="D1361" s="827">
        <v>44620</v>
      </c>
      <c r="E1361" s="122"/>
      <c r="F1361" s="827">
        <v>44622</v>
      </c>
      <c r="G1361" s="251">
        <f>Table1[[#This Row],[Start Date]]</f>
        <v>44622</v>
      </c>
      <c r="H1361" s="251"/>
      <c r="I1361" s="621" t="s">
        <v>2191</v>
      </c>
      <c r="J1361" s="817" t="str">
        <f>Table1[[#This Row],[Routine Activities (PM/ PMCAL, CM, Genba, Isotanker, Material Readiness, Sampling)]]</f>
        <v>Genba</v>
      </c>
    </row>
    <row r="1362" spans="3:10" s="816" customFormat="1" ht="15" hidden="1" customHeight="1" x14ac:dyDescent="0.35">
      <c r="C1362" s="627" t="s">
        <v>1836</v>
      </c>
      <c r="D1362" s="827">
        <v>44622</v>
      </c>
      <c r="E1362" s="122"/>
      <c r="F1362" s="827">
        <v>44630</v>
      </c>
      <c r="G1362" s="251">
        <f>Table1[[#This Row],[Start Date]]</f>
        <v>44630</v>
      </c>
      <c r="H1362" s="251"/>
      <c r="I1362" s="621" t="s">
        <v>2192</v>
      </c>
      <c r="J1362" s="817" t="str">
        <f>Table1[[#This Row],[Routine Activities (PM/ PMCAL, CM, Genba, Isotanker, Material Readiness, Sampling)]]</f>
        <v>Org waste offloading</v>
      </c>
    </row>
    <row r="1363" spans="3:10" s="816" customFormat="1" ht="14.5" hidden="1" x14ac:dyDescent="0.35">
      <c r="C1363" s="627" t="s">
        <v>1362</v>
      </c>
      <c r="D1363" s="827">
        <v>44622</v>
      </c>
      <c r="E1363" s="122"/>
      <c r="F1363" s="827">
        <v>44635</v>
      </c>
      <c r="G1363" s="251">
        <f>Table1[[#This Row],[Start Date]]</f>
        <v>44635</v>
      </c>
      <c r="H1363" s="251"/>
      <c r="I1363" s="621"/>
      <c r="J1363" s="817" t="str">
        <f>Table1[[#This Row],[Routine Activities (PM/ PMCAL, CM, Genba, Isotanker, Material Readiness, Sampling)]]</f>
        <v>Methanol top up</v>
      </c>
    </row>
    <row r="1364" spans="3:10" s="816" customFormat="1" ht="15" hidden="1" customHeight="1" x14ac:dyDescent="0.35">
      <c r="C1364" s="627" t="s">
        <v>2081</v>
      </c>
      <c r="D1364" s="827">
        <v>44622</v>
      </c>
      <c r="E1364" s="122"/>
      <c r="F1364" s="827">
        <v>44631</v>
      </c>
      <c r="G1364" s="251">
        <f>Table1[[#This Row],[Start Date]]</f>
        <v>44631</v>
      </c>
      <c r="H1364" s="251"/>
      <c r="I1364" s="621"/>
      <c r="J1364" s="817" t="str">
        <f>Table1[[#This Row],[Routine Activities (PM/ PMCAL, CM, Genba, Isotanker, Material Readiness, Sampling)]]</f>
        <v>N2 top up</v>
      </c>
    </row>
    <row r="1365" spans="3:10" s="816" customFormat="1" ht="15" hidden="1" customHeight="1" x14ac:dyDescent="0.35">
      <c r="C1365" s="125" t="s">
        <v>1836</v>
      </c>
      <c r="D1365" s="827">
        <v>44634</v>
      </c>
      <c r="E1365" s="122"/>
      <c r="F1365" s="827">
        <v>44637</v>
      </c>
      <c r="G1365" s="251">
        <f>Table1[[#This Row],[Start Date]]</f>
        <v>44637</v>
      </c>
      <c r="H1365" s="251"/>
      <c r="I1365" s="621"/>
      <c r="J1365" s="817" t="str">
        <f>Table1[[#This Row],[Routine Activities (PM/ PMCAL, CM, Genba, Isotanker, Material Readiness, Sampling)]]</f>
        <v>Org waste offloading</v>
      </c>
    </row>
    <row r="1366" spans="3:10" s="816" customFormat="1" ht="15" hidden="1" customHeight="1" x14ac:dyDescent="0.35">
      <c r="C1366" s="627" t="s">
        <v>2081</v>
      </c>
      <c r="D1366" s="827">
        <v>44634</v>
      </c>
      <c r="E1366" s="122"/>
      <c r="F1366" s="827">
        <v>44638</v>
      </c>
      <c r="G1366" s="251">
        <f>Table1[[#This Row],[Start Date]]</f>
        <v>44638</v>
      </c>
      <c r="H1366" s="251"/>
      <c r="I1366" s="621"/>
      <c r="J1366" s="817" t="str">
        <f>Table1[[#This Row],[Routine Activities (PM/ PMCAL, CM, Genba, Isotanker, Material Readiness, Sampling)]]</f>
        <v>N2 top up</v>
      </c>
    </row>
    <row r="1367" spans="3:10" s="816" customFormat="1" ht="15" hidden="1" customHeight="1" x14ac:dyDescent="0.35">
      <c r="C1367" s="125" t="s">
        <v>2113</v>
      </c>
      <c r="D1367" s="827">
        <v>44634</v>
      </c>
      <c r="E1367" s="122"/>
      <c r="F1367" s="827">
        <v>44634</v>
      </c>
      <c r="G1367" s="251">
        <f>Table1[[#This Row],[Start Date]]</f>
        <v>44634</v>
      </c>
      <c r="H1367" s="251"/>
      <c r="I1367" s="621" t="s">
        <v>2193</v>
      </c>
      <c r="J1367" s="817" t="str">
        <f>Table1[[#This Row],[Routine Activities (PM/ PMCAL, CM, Genba, Isotanker, Material Readiness, Sampling)]]</f>
        <v>Genba</v>
      </c>
    </row>
    <row r="1368" spans="3:10" s="816" customFormat="1" ht="15" hidden="1" customHeight="1" x14ac:dyDescent="0.35">
      <c r="C1368" s="627" t="s">
        <v>1836</v>
      </c>
      <c r="D1368" s="827">
        <v>44641</v>
      </c>
      <c r="E1368" s="122" t="s">
        <v>1953</v>
      </c>
      <c r="F1368" s="827" t="s">
        <v>462</v>
      </c>
      <c r="G1368" s="251" t="str">
        <f>Table1[[#This Row],[Start Date]]</f>
        <v>Not Required</v>
      </c>
      <c r="H1368" s="251"/>
      <c r="I1368" s="621"/>
      <c r="J1368" s="817" t="str">
        <f>Table1[[#This Row],[Routine Activities (PM/ PMCAL, CM, Genba, Isotanker, Material Readiness, Sampling)]]</f>
        <v>Org waste offloading</v>
      </c>
    </row>
    <row r="1369" spans="3:10" s="816" customFormat="1" ht="15" hidden="1" customHeight="1" x14ac:dyDescent="0.35">
      <c r="C1369" s="627" t="s">
        <v>2155</v>
      </c>
      <c r="D1369" s="827">
        <v>44641</v>
      </c>
      <c r="E1369" s="122"/>
      <c r="F1369" s="827" t="s">
        <v>462</v>
      </c>
      <c r="G1369" s="251" t="str">
        <f>Table1[[#This Row],[Start Date]]</f>
        <v>Not Required</v>
      </c>
      <c r="H1369" s="251"/>
      <c r="I1369" s="621"/>
      <c r="J1369" s="817" t="str">
        <f>Table1[[#This Row],[Routine Activities (PM/ PMCAL, CM, Genba, Isotanker, Material Readiness, Sampling)]]</f>
        <v>Aq waste offloading</v>
      </c>
    </row>
    <row r="1370" spans="3:10" s="816" customFormat="1" ht="15" hidden="1" customHeight="1" x14ac:dyDescent="0.35">
      <c r="C1370" s="627" t="s">
        <v>2174</v>
      </c>
      <c r="D1370" s="827">
        <v>44641</v>
      </c>
      <c r="E1370" s="122"/>
      <c r="F1370" s="827" t="s">
        <v>462</v>
      </c>
      <c r="G1370" s="251" t="str">
        <f>Table1[[#This Row],[Start Date]]</f>
        <v>Not Required</v>
      </c>
      <c r="H1370" s="251"/>
      <c r="I1370" s="621"/>
      <c r="J1370" s="817" t="str">
        <f>Table1[[#This Row],[Routine Activities (PM/ PMCAL, CM, Genba, Isotanker, Material Readiness, Sampling)]]</f>
        <v>Solvent top up</v>
      </c>
    </row>
    <row r="1371" spans="3:10" s="816" customFormat="1" ht="15" hidden="1" customHeight="1" x14ac:dyDescent="0.35">
      <c r="C1371" s="627" t="s">
        <v>2081</v>
      </c>
      <c r="D1371" s="827">
        <v>44641</v>
      </c>
      <c r="E1371" s="122" t="s">
        <v>377</v>
      </c>
      <c r="F1371" s="827">
        <v>44644</v>
      </c>
      <c r="G1371" s="251">
        <f>Table1[[#This Row],[Start Date]]</f>
        <v>44644</v>
      </c>
      <c r="H1371" s="251"/>
      <c r="I1371" s="621"/>
      <c r="J1371" s="817" t="str">
        <f>Table1[[#This Row],[Routine Activities (PM/ PMCAL, CM, Genba, Isotanker, Material Readiness, Sampling)]]</f>
        <v>N2 top up</v>
      </c>
    </row>
    <row r="1372" spans="3:10" s="816" customFormat="1" ht="15" hidden="1" customHeight="1" x14ac:dyDescent="0.35">
      <c r="C1372" s="627" t="s">
        <v>2194</v>
      </c>
      <c r="D1372" s="827">
        <v>44641</v>
      </c>
      <c r="E1372" s="122" t="s">
        <v>2195</v>
      </c>
      <c r="F1372" s="827">
        <v>44643</v>
      </c>
      <c r="G1372" s="251">
        <f>Table1[[#This Row],[Start Date]]</f>
        <v>44643</v>
      </c>
      <c r="H1372" s="251"/>
      <c r="I1372" s="621"/>
      <c r="J1372" s="817" t="str">
        <f>Table1[[#This Row],[Routine Activities (PM/ PMCAL, CM, Genba, Isotanker, Material Readiness, Sampling)]]</f>
        <v>Genba - Investigation on Safety Incident</v>
      </c>
    </row>
    <row r="1373" spans="3:10" s="816" customFormat="1" ht="15" hidden="1" customHeight="1" x14ac:dyDescent="0.35">
      <c r="C1373" s="627" t="s">
        <v>2196</v>
      </c>
      <c r="D1373" s="827">
        <v>44641</v>
      </c>
      <c r="E1373" s="122" t="s">
        <v>413</v>
      </c>
      <c r="F1373" s="827">
        <v>44642</v>
      </c>
      <c r="G1373" s="251">
        <f>Table1[[#This Row],[Start Date]]</f>
        <v>44642</v>
      </c>
      <c r="H1373" s="251"/>
      <c r="I1373" s="621"/>
      <c r="J1373" s="817" t="str">
        <f>Table1[[#This Row],[Routine Activities (PM/ PMCAL, CM, Genba, Isotanker, Material Readiness, Sampling)]]</f>
        <v>Step C (grace) Material readiness/ transfer</v>
      </c>
    </row>
    <row r="1374" spans="3:10" s="816" customFormat="1" ht="15" hidden="1" customHeight="1" x14ac:dyDescent="0.35">
      <c r="C1374" s="627" t="s">
        <v>2197</v>
      </c>
      <c r="D1374" s="827">
        <v>44641</v>
      </c>
      <c r="E1374" s="122" t="s">
        <v>1544</v>
      </c>
      <c r="F1374" s="827">
        <v>44642</v>
      </c>
      <c r="G1374" s="251">
        <f>Table1[[#This Row],[Start Date]]</f>
        <v>44642</v>
      </c>
      <c r="H1374" s="251"/>
      <c r="I1374" s="621"/>
      <c r="J1374" s="817" t="str">
        <f>Table1[[#This Row],[Routine Activities (PM/ PMCAL, CM, Genba, Isotanker, Material Readiness, Sampling)]]</f>
        <v>Hydrog PMCAL - on hold</v>
      </c>
    </row>
    <row r="1375" spans="3:10" s="816" customFormat="1" ht="15" hidden="1" customHeight="1" x14ac:dyDescent="0.35">
      <c r="C1375" s="627" t="s">
        <v>2198</v>
      </c>
      <c r="D1375" s="827">
        <v>44641</v>
      </c>
      <c r="E1375" s="122" t="s">
        <v>2111</v>
      </c>
      <c r="F1375" s="827">
        <v>44643</v>
      </c>
      <c r="G1375" s="251">
        <f>Table1[[#This Row],[Start Date]]</f>
        <v>44643</v>
      </c>
      <c r="H1375" s="251"/>
      <c r="I1375" s="621"/>
      <c r="J1375" s="817" t="str">
        <f>Table1[[#This Row],[Routine Activities (PM/ PMCAL, CM, Genba, Isotanker, Material Readiness, Sampling)]]</f>
        <v>Hydrog shed EX inspection</v>
      </c>
    </row>
    <row r="1376" spans="3:10" s="816" customFormat="1" ht="15" hidden="1" customHeight="1" x14ac:dyDescent="0.35">
      <c r="C1376" s="627" t="s">
        <v>1957</v>
      </c>
      <c r="D1376" s="827">
        <v>44641</v>
      </c>
      <c r="E1376" s="122" t="s">
        <v>1544</v>
      </c>
      <c r="F1376" s="827">
        <v>44643</v>
      </c>
      <c r="G1376" s="251">
        <f>Table1[[#This Row],[Start Date]]</f>
        <v>44643</v>
      </c>
      <c r="H1376" s="251"/>
      <c r="I1376" s="621"/>
      <c r="J1376" s="817" t="str">
        <f>Table1[[#This Row],[Routine Activities (PM/ PMCAL, CM, Genba, Isotanker, Material Readiness, Sampling)]]</f>
        <v>Mix tank 3 PMCAL</v>
      </c>
    </row>
    <row r="1377" spans="3:10" s="816" customFormat="1" ht="15" hidden="1" customHeight="1" x14ac:dyDescent="0.35">
      <c r="C1377" s="627" t="s">
        <v>2199</v>
      </c>
      <c r="D1377" s="827">
        <v>44641</v>
      </c>
      <c r="E1377" s="122" t="s">
        <v>1544</v>
      </c>
      <c r="F1377" s="827">
        <v>44645</v>
      </c>
      <c r="G1377" s="251">
        <f>Table1[[#This Row],[Start Date]]</f>
        <v>44645</v>
      </c>
      <c r="H1377" s="251"/>
      <c r="I1377" s="621"/>
      <c r="J1377" s="817" t="str">
        <f>Table1[[#This Row],[Routine Activities (PM/ PMCAL, CM, Genba, Isotanker, Material Readiness, Sampling)]]</f>
        <v>Dispensing isolator PMCAL</v>
      </c>
    </row>
    <row r="1378" spans="3:10" s="816" customFormat="1" ht="15" hidden="1" customHeight="1" x14ac:dyDescent="0.35">
      <c r="C1378" s="627" t="s">
        <v>1836</v>
      </c>
      <c r="D1378" s="827">
        <v>44648</v>
      </c>
      <c r="E1378" s="122" t="s">
        <v>1953</v>
      </c>
      <c r="F1378" s="827">
        <v>44649</v>
      </c>
      <c r="G1378" s="251">
        <f>Table1[[#This Row],[Start Date]]</f>
        <v>44649</v>
      </c>
      <c r="H1378" s="251"/>
      <c r="I1378" s="621"/>
      <c r="J1378" s="817" t="str">
        <f>Table1[[#This Row],[Routine Activities (PM/ PMCAL, CM, Genba, Isotanker, Material Readiness, Sampling)]]</f>
        <v>Org waste offloading</v>
      </c>
    </row>
    <row r="1379" spans="3:10" s="816" customFormat="1" ht="15" hidden="1" customHeight="1" x14ac:dyDescent="0.35">
      <c r="C1379" s="627" t="s">
        <v>2155</v>
      </c>
      <c r="D1379" s="827">
        <v>44648</v>
      </c>
      <c r="E1379" s="122" t="s">
        <v>1953</v>
      </c>
      <c r="F1379" s="827" t="s">
        <v>462</v>
      </c>
      <c r="G1379" s="251" t="str">
        <f>Table1[[#This Row],[Start Date]]</f>
        <v>Not Required</v>
      </c>
      <c r="H1379" s="251"/>
      <c r="I1379" s="621"/>
      <c r="J1379" s="817" t="str">
        <f>Table1[[#This Row],[Routine Activities (PM/ PMCAL, CM, Genba, Isotanker, Material Readiness, Sampling)]]</f>
        <v>Aq waste offloading</v>
      </c>
    </row>
    <row r="1380" spans="3:10" s="816" customFormat="1" ht="15" hidden="1" customHeight="1" x14ac:dyDescent="0.35">
      <c r="C1380" s="627" t="s">
        <v>2174</v>
      </c>
      <c r="D1380" s="827">
        <v>44648</v>
      </c>
      <c r="E1380" s="122" t="s">
        <v>377</v>
      </c>
      <c r="F1380" s="827" t="s">
        <v>462</v>
      </c>
      <c r="G1380" s="251" t="str">
        <f>Table1[[#This Row],[Start Date]]</f>
        <v>Not Required</v>
      </c>
      <c r="H1380" s="251"/>
      <c r="I1380" s="621"/>
      <c r="J1380" s="817" t="str">
        <f>Table1[[#This Row],[Routine Activities (PM/ PMCAL, CM, Genba, Isotanker, Material Readiness, Sampling)]]</f>
        <v>Solvent top up</v>
      </c>
    </row>
    <row r="1381" spans="3:10" s="816" customFormat="1" ht="15" hidden="1" customHeight="1" x14ac:dyDescent="0.35">
      <c r="C1381" s="627" t="s">
        <v>2081</v>
      </c>
      <c r="D1381" s="827">
        <v>44648</v>
      </c>
      <c r="E1381" s="122" t="s">
        <v>377</v>
      </c>
      <c r="F1381" s="827">
        <v>44651</v>
      </c>
      <c r="G1381" s="251">
        <f>Table1[[#This Row],[Start Date]]</f>
        <v>44651</v>
      </c>
      <c r="H1381" s="251"/>
      <c r="I1381" s="621"/>
      <c r="J1381" s="817" t="str">
        <f>Table1[[#This Row],[Routine Activities (PM/ PMCAL, CM, Genba, Isotanker, Material Readiness, Sampling)]]</f>
        <v>N2 top up</v>
      </c>
    </row>
    <row r="1382" spans="3:10" s="816" customFormat="1" ht="15" hidden="1" customHeight="1" x14ac:dyDescent="0.35">
      <c r="C1382" s="627" t="s">
        <v>2200</v>
      </c>
      <c r="D1382" s="827">
        <v>44648</v>
      </c>
      <c r="E1382" s="122" t="s">
        <v>1953</v>
      </c>
      <c r="F1382" s="827">
        <v>44651</v>
      </c>
      <c r="G1382" s="251">
        <f>Table1[[#This Row],[Start Date]]</f>
        <v>44651</v>
      </c>
      <c r="H1382" s="251"/>
      <c r="I1382" s="621"/>
      <c r="J1382" s="817" t="str">
        <f>Table1[[#This Row],[Routine Activities (PM/ PMCAL, CM, Genba, Isotanker, Material Readiness, Sampling)]]</f>
        <v>EHSS Genba - TBC</v>
      </c>
    </row>
    <row r="1383" spans="3:10" s="816" customFormat="1" ht="15" hidden="1" customHeight="1" x14ac:dyDescent="0.35">
      <c r="C1383" s="627" t="s">
        <v>2201</v>
      </c>
      <c r="D1383" s="827">
        <v>44648</v>
      </c>
      <c r="E1383" s="122" t="s">
        <v>1356</v>
      </c>
      <c r="F1383" s="827"/>
      <c r="G1383" s="251">
        <f>Table1[[#This Row],[Start Date]]</f>
        <v>0</v>
      </c>
      <c r="H1383" s="251"/>
      <c r="I1383" s="621"/>
      <c r="J1383" s="817" t="str">
        <f>Table1[[#This Row],[Routine Activities (PM/ PMCAL, CM, Genba, Isotanker, Material Readiness, Sampling)]]</f>
        <v>Xfunctional Genba - TBC</v>
      </c>
    </row>
    <row r="1384" spans="3:10" s="816" customFormat="1" ht="15" hidden="1" customHeight="1" x14ac:dyDescent="0.35">
      <c r="C1384" s="619" t="s">
        <v>1836</v>
      </c>
      <c r="D1384" s="827">
        <v>44655</v>
      </c>
      <c r="E1384" s="122" t="s">
        <v>1953</v>
      </c>
      <c r="F1384" s="251" t="s">
        <v>462</v>
      </c>
      <c r="G1384" s="251" t="str">
        <f>Table1[[#This Row],[Start Date]]</f>
        <v>Not Required</v>
      </c>
      <c r="H1384" s="251"/>
      <c r="I1384" s="621"/>
      <c r="J1384" s="817" t="str">
        <f>Table1[[#This Row],[Routine Activities (PM/ PMCAL, CM, Genba, Isotanker, Material Readiness, Sampling)]]</f>
        <v>Org waste offloading</v>
      </c>
    </row>
    <row r="1385" spans="3:10" s="816" customFormat="1" ht="15" hidden="1" customHeight="1" x14ac:dyDescent="0.35">
      <c r="C1385" s="619" t="s">
        <v>2079</v>
      </c>
      <c r="D1385" s="827">
        <v>44655</v>
      </c>
      <c r="E1385" s="122" t="s">
        <v>1953</v>
      </c>
      <c r="F1385" s="251">
        <v>44660</v>
      </c>
      <c r="G1385" s="251">
        <f>Table1[[#This Row],[Start Date]]</f>
        <v>44660</v>
      </c>
      <c r="H1385" s="251"/>
      <c r="I1385" s="621"/>
      <c r="J1385" s="817" t="str">
        <f>Table1[[#This Row],[Routine Activities (PM/ PMCAL, CM, Genba, Isotanker, Material Readiness, Sampling)]]</f>
        <v>Aq waste offloading (Sat)</v>
      </c>
    </row>
    <row r="1386" spans="3:10" s="816" customFormat="1" ht="15" hidden="1" customHeight="1" x14ac:dyDescent="0.35">
      <c r="C1386" s="619" t="s">
        <v>2174</v>
      </c>
      <c r="D1386" s="827">
        <v>44655</v>
      </c>
      <c r="E1386" s="122" t="s">
        <v>377</v>
      </c>
      <c r="F1386" s="251" t="s">
        <v>462</v>
      </c>
      <c r="G1386" s="251" t="str">
        <f>Table1[[#This Row],[Start Date]]</f>
        <v>Not Required</v>
      </c>
      <c r="H1386" s="251"/>
      <c r="I1386" s="621"/>
      <c r="J1386" s="817" t="str">
        <f>Table1[[#This Row],[Routine Activities (PM/ PMCAL, CM, Genba, Isotanker, Material Readiness, Sampling)]]</f>
        <v>Solvent top up</v>
      </c>
    </row>
    <row r="1387" spans="3:10" s="816" customFormat="1" ht="15" hidden="1" customHeight="1" x14ac:dyDescent="0.35">
      <c r="C1387" s="619" t="s">
        <v>2081</v>
      </c>
      <c r="D1387" s="827">
        <v>44655</v>
      </c>
      <c r="E1387" s="122" t="s">
        <v>377</v>
      </c>
      <c r="F1387" s="251" t="s">
        <v>462</v>
      </c>
      <c r="G1387" s="251" t="str">
        <f>Table1[[#This Row],[Start Date]]</f>
        <v>Not Required</v>
      </c>
      <c r="H1387" s="251"/>
      <c r="I1387" s="621"/>
      <c r="J1387" s="817" t="str">
        <f>Table1[[#This Row],[Routine Activities (PM/ PMCAL, CM, Genba, Isotanker, Material Readiness, Sampling)]]</f>
        <v>N2 top up</v>
      </c>
    </row>
    <row r="1388" spans="3:10" s="816" customFormat="1" ht="15" hidden="1" customHeight="1" x14ac:dyDescent="0.35">
      <c r="C1388" s="627" t="s">
        <v>2202</v>
      </c>
      <c r="D1388" s="827">
        <v>44655</v>
      </c>
      <c r="E1388" s="122" t="s">
        <v>1953</v>
      </c>
      <c r="F1388" s="251">
        <v>44658</v>
      </c>
      <c r="G1388" s="251">
        <f>Table1[[#This Row],[Start Date]]</f>
        <v>44658</v>
      </c>
      <c r="H1388" s="251"/>
      <c r="I1388" s="621"/>
      <c r="J1388" s="817" t="str">
        <f>Table1[[#This Row],[Routine Activities (PM/ PMCAL, CM, Genba, Isotanker, Material Readiness, Sampling)]]</f>
        <v>EHSS Genba - Drum charge RTS</v>
      </c>
    </row>
    <row r="1389" spans="3:10" s="816" customFormat="1" ht="15" hidden="1" customHeight="1" x14ac:dyDescent="0.35">
      <c r="C1389" s="627" t="s">
        <v>2201</v>
      </c>
      <c r="D1389" s="827">
        <v>44655</v>
      </c>
      <c r="E1389" s="122" t="s">
        <v>1356</v>
      </c>
      <c r="F1389" s="251"/>
      <c r="G1389" s="251">
        <f>Table1[[#This Row],[Start Date]]</f>
        <v>0</v>
      </c>
      <c r="H1389" s="251"/>
      <c r="I1389" s="621"/>
      <c r="J1389" s="817" t="str">
        <f>Table1[[#This Row],[Routine Activities (PM/ PMCAL, CM, Genba, Isotanker, Material Readiness, Sampling)]]</f>
        <v>Xfunctional Genba - TBC</v>
      </c>
    </row>
    <row r="1390" spans="3:10" s="816" customFormat="1" ht="15" hidden="1" customHeight="1" x14ac:dyDescent="0.35">
      <c r="C1390" s="627" t="s">
        <v>1836</v>
      </c>
      <c r="D1390" s="827">
        <v>44662</v>
      </c>
      <c r="E1390" s="122" t="s">
        <v>1953</v>
      </c>
      <c r="F1390" s="251" t="s">
        <v>462</v>
      </c>
      <c r="G1390" s="251" t="str">
        <f>Table1[[#This Row],[Start Date]]</f>
        <v>Not Required</v>
      </c>
      <c r="H1390" s="251"/>
      <c r="I1390" s="621"/>
      <c r="J1390" s="817" t="str">
        <f>Table1[[#This Row],[Routine Activities (PM/ PMCAL, CM, Genba, Isotanker, Material Readiness, Sampling)]]</f>
        <v>Org waste offloading</v>
      </c>
    </row>
    <row r="1391" spans="3:10" s="816" customFormat="1" ht="15" hidden="1" customHeight="1" x14ac:dyDescent="0.35">
      <c r="C1391" s="627" t="s">
        <v>2155</v>
      </c>
      <c r="D1391" s="827">
        <v>44662</v>
      </c>
      <c r="E1391" s="122" t="s">
        <v>1953</v>
      </c>
      <c r="F1391" s="251" t="s">
        <v>462</v>
      </c>
      <c r="G1391" s="251" t="str">
        <f>Table1[[#This Row],[Start Date]]</f>
        <v>Not Required</v>
      </c>
      <c r="H1391" s="251"/>
      <c r="I1391" s="621"/>
      <c r="J1391" s="817" t="str">
        <f>Table1[[#This Row],[Routine Activities (PM/ PMCAL, CM, Genba, Isotanker, Material Readiness, Sampling)]]</f>
        <v>Aq waste offloading</v>
      </c>
    </row>
    <row r="1392" spans="3:10" s="816" customFormat="1" ht="15" hidden="1" customHeight="1" x14ac:dyDescent="0.35">
      <c r="C1392" s="627" t="s">
        <v>2203</v>
      </c>
      <c r="D1392" s="827">
        <v>44662</v>
      </c>
      <c r="E1392" s="122" t="s">
        <v>377</v>
      </c>
      <c r="F1392" s="251">
        <v>44664</v>
      </c>
      <c r="G1392" s="251">
        <f>Table1[[#This Row],[Start Date]]</f>
        <v>44664</v>
      </c>
      <c r="H1392" s="251"/>
      <c r="I1392" s="621"/>
      <c r="J1392" s="817" t="str">
        <f>Table1[[#This Row],[Routine Activities (PM/ PMCAL, CM, Genba, Isotanker, Material Readiness, Sampling)]]</f>
        <v>Methanol top up (Wed)</v>
      </c>
    </row>
    <row r="1393" spans="3:10" s="816" customFormat="1" ht="15" hidden="1" customHeight="1" x14ac:dyDescent="0.35">
      <c r="C1393" s="627" t="s">
        <v>2112</v>
      </c>
      <c r="D1393" s="827">
        <v>44662</v>
      </c>
      <c r="E1393" s="122" t="s">
        <v>377</v>
      </c>
      <c r="F1393" s="251">
        <v>44665</v>
      </c>
      <c r="G1393" s="251">
        <f>Table1[[#This Row],[Start Date]]</f>
        <v>44665</v>
      </c>
      <c r="H1393" s="251"/>
      <c r="I1393" s="621"/>
      <c r="J1393" s="817" t="str">
        <f>Table1[[#This Row],[Routine Activities (PM/ PMCAL, CM, Genba, Isotanker, Material Readiness, Sampling)]]</f>
        <v>N2 top up (Thurs)</v>
      </c>
    </row>
    <row r="1394" spans="3:10" s="816" customFormat="1" ht="15" hidden="1" customHeight="1" x14ac:dyDescent="0.35">
      <c r="C1394" s="627" t="s">
        <v>2200</v>
      </c>
      <c r="D1394" s="827">
        <v>44662</v>
      </c>
      <c r="E1394" s="122" t="s">
        <v>1953</v>
      </c>
      <c r="F1394" s="251">
        <v>44665</v>
      </c>
      <c r="G1394" s="251">
        <f>Table1[[#This Row],[Start Date]]</f>
        <v>44665</v>
      </c>
      <c r="H1394" s="251"/>
      <c r="I1394" s="621"/>
      <c r="J1394" s="817" t="str">
        <f>Table1[[#This Row],[Routine Activities (PM/ PMCAL, CM, Genba, Isotanker, Material Readiness, Sampling)]]</f>
        <v>EHSS Genba - TBC</v>
      </c>
    </row>
    <row r="1395" spans="3:10" s="816" customFormat="1" ht="15" hidden="1" customHeight="1" x14ac:dyDescent="0.35">
      <c r="C1395" s="627" t="s">
        <v>2201</v>
      </c>
      <c r="D1395" s="827">
        <v>44662</v>
      </c>
      <c r="E1395" s="122" t="s">
        <v>1356</v>
      </c>
      <c r="F1395" s="251"/>
      <c r="G1395" s="251">
        <f>Table1[[#This Row],[Start Date]]</f>
        <v>0</v>
      </c>
      <c r="H1395" s="251"/>
      <c r="I1395" s="621"/>
      <c r="J1395" s="817" t="str">
        <f>Table1[[#This Row],[Routine Activities (PM/ PMCAL, CM, Genba, Isotanker, Material Readiness, Sampling)]]</f>
        <v>Xfunctional Genba - TBC</v>
      </c>
    </row>
    <row r="1396" spans="3:10" s="816" customFormat="1" ht="15" hidden="1" customHeight="1" x14ac:dyDescent="0.35">
      <c r="C1396" s="627" t="s">
        <v>2112</v>
      </c>
      <c r="D1396" s="827">
        <v>44669</v>
      </c>
      <c r="E1396" s="122" t="s">
        <v>377</v>
      </c>
      <c r="F1396" s="251"/>
      <c r="G1396" s="251">
        <f>Table1[[#This Row],[Start Date]]</f>
        <v>0</v>
      </c>
      <c r="H1396" s="251" t="s">
        <v>462</v>
      </c>
      <c r="I1396" s="621"/>
      <c r="J1396" s="817" t="str">
        <f>Table1[[#This Row],[Routine Activities (PM/ PMCAL, CM, Genba, Isotanker, Material Readiness, Sampling)]]</f>
        <v>N2 top up (Thurs)</v>
      </c>
    </row>
    <row r="1397" spans="3:10" s="816" customFormat="1" ht="15" hidden="1" customHeight="1" x14ac:dyDescent="0.35">
      <c r="C1397" s="627" t="s">
        <v>1836</v>
      </c>
      <c r="D1397" s="827">
        <v>44676</v>
      </c>
      <c r="E1397" s="122" t="s">
        <v>1953</v>
      </c>
      <c r="F1397" s="251"/>
      <c r="G1397" s="251">
        <f>Table1[[#This Row],[Start Date]]</f>
        <v>0</v>
      </c>
      <c r="H1397" s="251"/>
      <c r="I1397" s="621"/>
      <c r="J1397" s="817" t="str">
        <f>Table1[[#This Row],[Routine Activities (PM/ PMCAL, CM, Genba, Isotanker, Material Readiness, Sampling)]]</f>
        <v>Org waste offloading</v>
      </c>
    </row>
    <row r="1398" spans="3:10" s="816" customFormat="1" ht="15" hidden="1" customHeight="1" x14ac:dyDescent="0.35">
      <c r="C1398" s="627" t="s">
        <v>2155</v>
      </c>
      <c r="D1398" s="827">
        <v>44676</v>
      </c>
      <c r="E1398" s="122" t="s">
        <v>1953</v>
      </c>
      <c r="F1398" s="251"/>
      <c r="G1398" s="251">
        <f>Table1[[#This Row],[Start Date]]</f>
        <v>0</v>
      </c>
      <c r="H1398" s="251"/>
      <c r="I1398" s="621"/>
      <c r="J1398" s="817" t="str">
        <f>Table1[[#This Row],[Routine Activities (PM/ PMCAL, CM, Genba, Isotanker, Material Readiness, Sampling)]]</f>
        <v>Aq waste offloading</v>
      </c>
    </row>
    <row r="1399" spans="3:10" s="816" customFormat="1" ht="15" hidden="1" customHeight="1" x14ac:dyDescent="0.35">
      <c r="C1399" s="627" t="s">
        <v>2177</v>
      </c>
      <c r="D1399" s="827">
        <v>44676</v>
      </c>
      <c r="E1399" s="122" t="s">
        <v>377</v>
      </c>
      <c r="F1399" s="251">
        <v>44678</v>
      </c>
      <c r="G1399" s="251">
        <f>Table1[[#This Row],[Start Date]]</f>
        <v>44678</v>
      </c>
      <c r="H1399" s="251"/>
      <c r="I1399" s="621"/>
      <c r="J1399" s="817" t="str">
        <f>Table1[[#This Row],[Routine Activities (PM/ PMCAL, CM, Genba, Isotanker, Material Readiness, Sampling)]]</f>
        <v xml:space="preserve">Solvent top up (Ethyl Acetate) </v>
      </c>
    </row>
    <row r="1400" spans="3:10" s="816" customFormat="1" ht="15" hidden="1" customHeight="1" x14ac:dyDescent="0.35">
      <c r="C1400" s="627" t="s">
        <v>2112</v>
      </c>
      <c r="D1400" s="827">
        <v>44676</v>
      </c>
      <c r="E1400" s="122" t="s">
        <v>377</v>
      </c>
      <c r="F1400" s="251">
        <v>44679</v>
      </c>
      <c r="G1400" s="251">
        <f>Table1[[#This Row],[Start Date]]</f>
        <v>44679</v>
      </c>
      <c r="H1400" s="251"/>
      <c r="I1400" s="621"/>
      <c r="J1400" s="817" t="str">
        <f>Table1[[#This Row],[Routine Activities (PM/ PMCAL, CM, Genba, Isotanker, Material Readiness, Sampling)]]</f>
        <v>N2 top up (Thurs)</v>
      </c>
    </row>
    <row r="1401" spans="3:10" s="816" customFormat="1" ht="15" hidden="1" customHeight="1" x14ac:dyDescent="0.35">
      <c r="C1401" s="627" t="s">
        <v>2204</v>
      </c>
      <c r="D1401" s="827">
        <v>44676</v>
      </c>
      <c r="E1401" s="122" t="s">
        <v>433</v>
      </c>
      <c r="F1401" s="251">
        <v>44679</v>
      </c>
      <c r="G1401" s="251">
        <f>Table1[[#This Row],[Start Date]]</f>
        <v>44679</v>
      </c>
      <c r="H1401" s="251"/>
      <c r="I1401" s="621"/>
      <c r="J1401" s="817" t="str">
        <f>Table1[[#This Row],[Routine Activities (PM/ PMCAL, CM, Genba, Isotanker, Material Readiness, Sampling)]]</f>
        <v>EHSS Genba (Thurs)</v>
      </c>
    </row>
    <row r="1402" spans="3:10" s="816" customFormat="1" ht="15" hidden="1" customHeight="1" x14ac:dyDescent="0.35">
      <c r="C1402" s="627" t="s">
        <v>2205</v>
      </c>
      <c r="D1402" s="827">
        <v>44683</v>
      </c>
      <c r="E1402" s="122" t="s">
        <v>433</v>
      </c>
      <c r="F1402" s="251">
        <v>44685</v>
      </c>
      <c r="G1402" s="251">
        <f>Table1[[#This Row],[Start Date]]</f>
        <v>44685</v>
      </c>
      <c r="H1402" s="251"/>
      <c r="I1402" s="621"/>
      <c r="J1402" s="817" t="str">
        <f>Table1[[#This Row],[Routine Activities (PM/ PMCAL, CM, Genba, Isotanker, Material Readiness, Sampling)]]</f>
        <v>Org waste offloading (Wed)</v>
      </c>
    </row>
    <row r="1403" spans="3:10" s="816" customFormat="1" ht="15" hidden="1" customHeight="1" x14ac:dyDescent="0.35">
      <c r="C1403" s="627" t="s">
        <v>1822</v>
      </c>
      <c r="D1403" s="827">
        <v>44683</v>
      </c>
      <c r="E1403" s="122" t="s">
        <v>433</v>
      </c>
      <c r="F1403" s="251"/>
      <c r="G1403" s="251">
        <f>Table1[[#This Row],[Start Date]]</f>
        <v>0</v>
      </c>
      <c r="H1403" s="251"/>
      <c r="I1403" s="621"/>
      <c r="J1403" s="817" t="str">
        <f>Table1[[#This Row],[Routine Activities (PM/ PMCAL, CM, Genba, Isotanker, Material Readiness, Sampling)]]</f>
        <v>Aq Waste offloading (not req)</v>
      </c>
    </row>
    <row r="1404" spans="3:10" s="816" customFormat="1" ht="15" hidden="1" customHeight="1" x14ac:dyDescent="0.35">
      <c r="C1404" s="627" t="s">
        <v>2091</v>
      </c>
      <c r="D1404" s="827">
        <v>44683</v>
      </c>
      <c r="E1404" s="122" t="s">
        <v>377</v>
      </c>
      <c r="F1404" s="251"/>
      <c r="G1404" s="251">
        <f>Table1[[#This Row],[Start Date]]</f>
        <v>0</v>
      </c>
      <c r="H1404" s="251"/>
      <c r="I1404" s="621"/>
      <c r="J1404" s="817" t="str">
        <f>Table1[[#This Row],[Routine Activities (PM/ PMCAL, CM, Genba, Isotanker, Material Readiness, Sampling)]]</f>
        <v>Solvent top up (not req)</v>
      </c>
    </row>
    <row r="1405" spans="3:10" s="816" customFormat="1" ht="15" hidden="1" customHeight="1" x14ac:dyDescent="0.35">
      <c r="C1405" s="627" t="s">
        <v>2206</v>
      </c>
      <c r="D1405" s="827">
        <v>44683</v>
      </c>
      <c r="E1405" s="122" t="s">
        <v>377</v>
      </c>
      <c r="F1405" s="251">
        <v>44686</v>
      </c>
      <c r="G1405" s="251">
        <f>Table1[[#This Row],[Start Date]]</f>
        <v>44686</v>
      </c>
      <c r="H1405" s="251"/>
      <c r="I1405" s="621"/>
      <c r="J1405" s="817" t="str">
        <f>Table1[[#This Row],[Routine Activities (PM/ PMCAL, CM, Genba, Isotanker, Material Readiness, Sampling)]]</f>
        <v>N2 top up (not req)</v>
      </c>
    </row>
    <row r="1406" spans="3:10" s="816" customFormat="1" ht="15" hidden="1" customHeight="1" x14ac:dyDescent="0.35">
      <c r="C1406" s="627" t="s">
        <v>2207</v>
      </c>
      <c r="D1406" s="827">
        <v>44683</v>
      </c>
      <c r="E1406" s="122" t="s">
        <v>418</v>
      </c>
      <c r="F1406" s="251">
        <v>44684</v>
      </c>
      <c r="G1406" s="251">
        <f>Table1[[#This Row],[Start Date]]</f>
        <v>44684</v>
      </c>
      <c r="H1406" s="251"/>
      <c r="I1406" s="621"/>
      <c r="J1406" s="817" t="str">
        <f>Table1[[#This Row],[Routine Activities (PM/ PMCAL, CM, Genba, Isotanker, Material Readiness, Sampling)]]</f>
        <v>Batch C-1 material readiness (Tues)</v>
      </c>
    </row>
    <row r="1407" spans="3:10" s="816" customFormat="1" ht="15" hidden="1" customHeight="1" x14ac:dyDescent="0.35">
      <c r="C1407" s="627" t="s">
        <v>2208</v>
      </c>
      <c r="D1407" s="827">
        <v>44676</v>
      </c>
      <c r="E1407" s="122" t="s">
        <v>418</v>
      </c>
      <c r="F1407" s="251">
        <v>44680</v>
      </c>
      <c r="G1407" s="251">
        <f>Table1[[#This Row],[Start Date]]</f>
        <v>44680</v>
      </c>
      <c r="H1407" s="251"/>
      <c r="I1407" s="621"/>
      <c r="J1407" s="817" t="str">
        <f>Table1[[#This Row],[Routine Activities (PM/ PMCAL, CM, Genba, Isotanker, Material Readiness, Sampling)]]</f>
        <v>Batch C-1 PO release (this Fri)</v>
      </c>
    </row>
    <row r="1408" spans="3:10" s="816" customFormat="1" ht="15" hidden="1" customHeight="1" x14ac:dyDescent="0.35">
      <c r="C1408" s="627" t="s">
        <v>1851</v>
      </c>
      <c r="D1408" s="827">
        <v>44690</v>
      </c>
      <c r="E1408" s="122" t="s">
        <v>433</v>
      </c>
      <c r="F1408" s="251"/>
      <c r="G1408" s="251">
        <f>Table1[[#This Row],[Start Date]]</f>
        <v>0</v>
      </c>
      <c r="H1408" s="251"/>
      <c r="I1408" s="621"/>
      <c r="J1408" s="817" t="str">
        <f>Table1[[#This Row],[Routine Activities (PM/ PMCAL, CM, Genba, Isotanker, Material Readiness, Sampling)]]</f>
        <v>Org waste offloading (not req)</v>
      </c>
    </row>
    <row r="1409" spans="3:10" s="816" customFormat="1" ht="15" hidden="1" customHeight="1" x14ac:dyDescent="0.35">
      <c r="C1409" s="627" t="s">
        <v>1822</v>
      </c>
      <c r="D1409" s="827">
        <v>44690</v>
      </c>
      <c r="E1409" s="122" t="s">
        <v>433</v>
      </c>
      <c r="F1409" s="251"/>
      <c r="G1409" s="251">
        <f>Table1[[#This Row],[Start Date]]</f>
        <v>0</v>
      </c>
      <c r="H1409" s="251"/>
      <c r="I1409" s="621"/>
      <c r="J1409" s="817" t="str">
        <f>Table1[[#This Row],[Routine Activities (PM/ PMCAL, CM, Genba, Isotanker, Material Readiness, Sampling)]]</f>
        <v>Aq Waste offloading (not req)</v>
      </c>
    </row>
    <row r="1410" spans="3:10" s="816" customFormat="1" ht="15" hidden="1" customHeight="1" x14ac:dyDescent="0.35">
      <c r="C1410" s="627" t="s">
        <v>2091</v>
      </c>
      <c r="D1410" s="827">
        <v>44690</v>
      </c>
      <c r="E1410" s="122" t="s">
        <v>377</v>
      </c>
      <c r="F1410" s="251"/>
      <c r="G1410" s="251">
        <f>Table1[[#This Row],[Start Date]]</f>
        <v>0</v>
      </c>
      <c r="H1410" s="251"/>
      <c r="I1410" s="621"/>
      <c r="J1410" s="817" t="str">
        <f>Table1[[#This Row],[Routine Activities (PM/ PMCAL, CM, Genba, Isotanker, Material Readiness, Sampling)]]</f>
        <v>Solvent top up (not req)</v>
      </c>
    </row>
    <row r="1411" spans="3:10" s="816" customFormat="1" ht="15" hidden="1" customHeight="1" x14ac:dyDescent="0.35">
      <c r="C1411" s="627" t="s">
        <v>2112</v>
      </c>
      <c r="D1411" s="827">
        <v>44690</v>
      </c>
      <c r="E1411" s="122" t="s">
        <v>377</v>
      </c>
      <c r="F1411" s="251">
        <v>44693</v>
      </c>
      <c r="G1411" s="251">
        <f>Table1[[#This Row],[Start Date]]</f>
        <v>44693</v>
      </c>
      <c r="H1411" s="251"/>
      <c r="I1411" s="621"/>
      <c r="J1411" s="817" t="str">
        <f>Table1[[#This Row],[Routine Activities (PM/ PMCAL, CM, Genba, Isotanker, Material Readiness, Sampling)]]</f>
        <v>N2 top up (Thurs)</v>
      </c>
    </row>
    <row r="1412" spans="3:10" s="816" customFormat="1" ht="15" hidden="1" customHeight="1" x14ac:dyDescent="0.35">
      <c r="C1412" s="627" t="s">
        <v>2209</v>
      </c>
      <c r="D1412" s="827">
        <v>44690</v>
      </c>
      <c r="E1412" s="122" t="s">
        <v>433</v>
      </c>
      <c r="F1412" s="251"/>
      <c r="G1412" s="251">
        <f>Table1[[#This Row],[Start Date]]</f>
        <v>0</v>
      </c>
      <c r="H1412" s="251"/>
      <c r="I1412" s="621"/>
      <c r="J1412" s="817" t="str">
        <f>Table1[[#This Row],[Routine Activities (PM/ PMCAL, CM, Genba, Isotanker, Material Readiness, Sampling)]]</f>
        <v>EHSS Genba</v>
      </c>
    </row>
    <row r="1413" spans="3:10" s="816" customFormat="1" ht="15" hidden="1" customHeight="1" x14ac:dyDescent="0.35">
      <c r="C1413" s="627" t="s">
        <v>2210</v>
      </c>
      <c r="D1413" s="827">
        <v>44690</v>
      </c>
      <c r="E1413" s="122" t="s">
        <v>1356</v>
      </c>
      <c r="F1413" s="251"/>
      <c r="G1413" s="251">
        <f>Table1[[#This Row],[Start Date]]</f>
        <v>0</v>
      </c>
      <c r="H1413" s="251"/>
      <c r="I1413" s="621"/>
      <c r="J1413" s="817" t="str">
        <f>Table1[[#This Row],[Routine Activities (PM/ PMCAL, CM, Genba, Isotanker, Material Readiness, Sampling)]]</f>
        <v>X-functional Genba</v>
      </c>
    </row>
    <row r="1414" spans="3:10" s="816" customFormat="1" ht="15" hidden="1" customHeight="1" x14ac:dyDescent="0.35">
      <c r="C1414" s="619" t="s">
        <v>2211</v>
      </c>
      <c r="D1414" s="827">
        <v>44697</v>
      </c>
      <c r="E1414" s="122" t="s">
        <v>1953</v>
      </c>
      <c r="F1414" s="251">
        <v>44700</v>
      </c>
      <c r="G1414" s="251">
        <f>Table1[[#This Row],[Start Date]]</f>
        <v>44700</v>
      </c>
      <c r="H1414" s="251"/>
      <c r="I1414" s="621"/>
      <c r="J1414" s="817" t="str">
        <f>Table1[[#This Row],[Routine Activities (PM/ PMCAL, CM, Genba, Isotanker, Material Readiness, Sampling)]]</f>
        <v>Org waste offloading (Thursday afternoon/ evening)</v>
      </c>
    </row>
    <row r="1415" spans="3:10" s="816" customFormat="1" ht="15" hidden="1" customHeight="1" x14ac:dyDescent="0.35">
      <c r="C1415" s="619" t="s">
        <v>1822</v>
      </c>
      <c r="D1415" s="827">
        <v>44697</v>
      </c>
      <c r="E1415" s="122" t="s">
        <v>1953</v>
      </c>
      <c r="F1415" s="251"/>
      <c r="G1415" s="251">
        <f>Table1[[#This Row],[Start Date]]</f>
        <v>0</v>
      </c>
      <c r="H1415" s="251"/>
      <c r="I1415" s="621"/>
      <c r="J1415" s="817" t="str">
        <f>Table1[[#This Row],[Routine Activities (PM/ PMCAL, CM, Genba, Isotanker, Material Readiness, Sampling)]]</f>
        <v>Aq Waste offloading (not req)</v>
      </c>
    </row>
    <row r="1416" spans="3:10" s="816" customFormat="1" ht="15" hidden="1" customHeight="1" x14ac:dyDescent="0.35">
      <c r="C1416" s="619" t="s">
        <v>2212</v>
      </c>
      <c r="D1416" s="827">
        <v>44697</v>
      </c>
      <c r="E1416" s="122" t="s">
        <v>377</v>
      </c>
      <c r="F1416" s="251">
        <v>44701</v>
      </c>
      <c r="G1416" s="251">
        <f>Table1[[#This Row],[Start Date]]</f>
        <v>44701</v>
      </c>
      <c r="H1416" s="251"/>
      <c r="I1416" s="621"/>
      <c r="J1416" s="817" t="str">
        <f>Table1[[#This Row],[Routine Activities (PM/ PMCAL, CM, Genba, Isotanker, Material Readiness, Sampling)]]</f>
        <v>Solvent top up (Methanol Friday morning)</v>
      </c>
    </row>
    <row r="1417" spans="3:10" s="816" customFormat="1" ht="15" hidden="1" customHeight="1" x14ac:dyDescent="0.35">
      <c r="C1417" s="619" t="s">
        <v>2213</v>
      </c>
      <c r="D1417" s="827">
        <v>44697</v>
      </c>
      <c r="E1417" s="122" t="s">
        <v>377</v>
      </c>
      <c r="F1417" s="251">
        <v>44699</v>
      </c>
      <c r="G1417" s="251">
        <f>Table1[[#This Row],[Start Date]]</f>
        <v>44699</v>
      </c>
      <c r="H1417" s="251"/>
      <c r="I1417" s="621"/>
      <c r="J1417" s="817" t="str">
        <f>Table1[[#This Row],[Routine Activities (PM/ PMCAL, CM, Genba, Isotanker, Material Readiness, Sampling)]]</f>
        <v>N2 top up (Wed)</v>
      </c>
    </row>
    <row r="1418" spans="3:10" s="816" customFormat="1" ht="15" hidden="1" customHeight="1" x14ac:dyDescent="0.35">
      <c r="C1418" s="619" t="s">
        <v>2209</v>
      </c>
      <c r="D1418" s="827">
        <v>44697</v>
      </c>
      <c r="E1418" s="122" t="s">
        <v>1953</v>
      </c>
      <c r="F1418" s="251"/>
      <c r="G1418" s="251">
        <f>Table1[[#This Row],[Start Date]]</f>
        <v>0</v>
      </c>
      <c r="H1418" s="251"/>
      <c r="I1418" s="621"/>
      <c r="J1418" s="817" t="str">
        <f>Table1[[#This Row],[Routine Activities (PM/ PMCAL, CM, Genba, Isotanker, Material Readiness, Sampling)]]</f>
        <v>EHSS Genba</v>
      </c>
    </row>
    <row r="1419" spans="3:10" s="816" customFormat="1" ht="15" hidden="1" customHeight="1" x14ac:dyDescent="0.35">
      <c r="C1419" s="619" t="s">
        <v>2214</v>
      </c>
      <c r="D1419" s="827">
        <v>44697</v>
      </c>
      <c r="E1419" s="122" t="s">
        <v>2051</v>
      </c>
      <c r="F1419" s="251"/>
      <c r="G1419" s="251">
        <f>Table1[[#This Row],[Start Date]]</f>
        <v>0</v>
      </c>
      <c r="H1419" s="251"/>
      <c r="I1419" s="621"/>
      <c r="J1419" s="817" t="str">
        <f>Table1[[#This Row],[Routine Activities (PM/ PMCAL, CM, Genba, Isotanker, Material Readiness, Sampling)]]</f>
        <v xml:space="preserve">Xfunctional Genba </v>
      </c>
    </row>
    <row r="1420" spans="3:10" s="816" customFormat="1" ht="15" hidden="1" customHeight="1" x14ac:dyDescent="0.35">
      <c r="C1420" s="619" t="s">
        <v>2215</v>
      </c>
      <c r="D1420" s="827">
        <v>44704</v>
      </c>
      <c r="E1420" s="122" t="s">
        <v>2216</v>
      </c>
      <c r="F1420" s="251">
        <v>44705</v>
      </c>
      <c r="G1420" s="251">
        <f>Table1[[#This Row],[Start Date]]</f>
        <v>44705</v>
      </c>
      <c r="H1420" s="251"/>
      <c r="I1420" s="621"/>
      <c r="J1420" s="817" t="str">
        <f>Table1[[#This Row],[Routine Activities (PM/ PMCAL, CM, Genba, Isotanker, Material Readiness, Sampling)]]</f>
        <v>Org waste offloading (Tues evening, Wed truck out)</v>
      </c>
    </row>
    <row r="1421" spans="3:10" s="816" customFormat="1" ht="15.65" hidden="1" customHeight="1" x14ac:dyDescent="0.35">
      <c r="C1421" s="619" t="s">
        <v>2148</v>
      </c>
      <c r="D1421" s="827">
        <v>44704</v>
      </c>
      <c r="E1421" s="122" t="s">
        <v>377</v>
      </c>
      <c r="F1421" s="251">
        <v>44708</v>
      </c>
      <c r="G1421" s="251">
        <f>Table1[[#This Row],[Start Date]]</f>
        <v>44708</v>
      </c>
      <c r="H1421" s="251"/>
      <c r="I1421" s="621"/>
      <c r="J1421" s="817" t="str">
        <f>Table1[[#This Row],[Routine Activities (PM/ PMCAL, CM, Genba, Isotanker, Material Readiness, Sampling)]]</f>
        <v>N2 top up (Fri)</v>
      </c>
    </row>
    <row r="1422" spans="3:10" s="816" customFormat="1" ht="15" hidden="1" customHeight="1" x14ac:dyDescent="0.35">
      <c r="C1422" s="619" t="s">
        <v>2217</v>
      </c>
      <c r="D1422" s="827">
        <v>44704</v>
      </c>
      <c r="E1422" s="122" t="s">
        <v>2218</v>
      </c>
      <c r="F1422" s="251">
        <v>44706</v>
      </c>
      <c r="G1422" s="251">
        <f>Table1[[#This Row],[Start Date]]</f>
        <v>44706</v>
      </c>
      <c r="H1422" s="251"/>
      <c r="I1422" s="621"/>
      <c r="J1422" s="817" t="str">
        <f>Table1[[#This Row],[Routine Activities (PM/ PMCAL, CM, Genba, Isotanker, Material Readiness, Sampling)]]</f>
        <v>Step C batch 2 material readiness (Wed)</v>
      </c>
    </row>
    <row r="1423" spans="3:10" s="816" customFormat="1" ht="15" hidden="1" customHeight="1" x14ac:dyDescent="0.35">
      <c r="C1423" s="619" t="s">
        <v>2209</v>
      </c>
      <c r="D1423" s="827">
        <v>44704</v>
      </c>
      <c r="E1423" s="122" t="s">
        <v>2216</v>
      </c>
      <c r="F1423" s="251"/>
      <c r="G1423" s="251">
        <f>Table1[[#This Row],[Start Date]]</f>
        <v>0</v>
      </c>
      <c r="H1423" s="251"/>
      <c r="I1423" s="621"/>
      <c r="J1423" s="817" t="str">
        <f>Table1[[#This Row],[Routine Activities (PM/ PMCAL, CM, Genba, Isotanker, Material Readiness, Sampling)]]</f>
        <v>EHSS Genba</v>
      </c>
    </row>
    <row r="1424" spans="3:10" s="816" customFormat="1" ht="15" hidden="1" customHeight="1" x14ac:dyDescent="0.35">
      <c r="C1424" s="619" t="s">
        <v>2214</v>
      </c>
      <c r="D1424" s="827">
        <v>44704</v>
      </c>
      <c r="E1424" s="122" t="s">
        <v>785</v>
      </c>
      <c r="F1424" s="251"/>
      <c r="G1424" s="251">
        <f>Table1[[#This Row],[Start Date]]</f>
        <v>0</v>
      </c>
      <c r="H1424" s="251"/>
      <c r="I1424" s="621"/>
      <c r="J1424" s="817" t="str">
        <f>Table1[[#This Row],[Routine Activities (PM/ PMCAL, CM, Genba, Isotanker, Material Readiness, Sampling)]]</f>
        <v xml:space="preserve">Xfunctional Genba </v>
      </c>
    </row>
    <row r="1425" spans="3:10" s="816" customFormat="1" ht="15" hidden="1" customHeight="1" x14ac:dyDescent="0.35">
      <c r="C1425" s="627" t="s">
        <v>2219</v>
      </c>
      <c r="D1425" s="827">
        <v>44704</v>
      </c>
      <c r="E1425" s="122" t="s">
        <v>2220</v>
      </c>
      <c r="F1425" s="251">
        <v>44706</v>
      </c>
      <c r="G1425" s="251">
        <f>Table1[[#This Row],[Start Date]]</f>
        <v>44706</v>
      </c>
      <c r="H1425" s="251"/>
      <c r="I1425" s="621"/>
      <c r="J1425" s="817" t="str">
        <f>Table1[[#This Row],[Routine Activities (PM/ PMCAL, CM, Genba, Isotanker, Material Readiness, Sampling)]]</f>
        <v>QoP (FD EVI)</v>
      </c>
    </row>
    <row r="1426" spans="3:10" s="816" customFormat="1" ht="15" hidden="1" customHeight="1" x14ac:dyDescent="0.35">
      <c r="C1426" s="619" t="s">
        <v>2221</v>
      </c>
      <c r="D1426" s="251">
        <v>44711</v>
      </c>
      <c r="E1426" s="122" t="s">
        <v>2216</v>
      </c>
      <c r="F1426" s="251">
        <v>44712</v>
      </c>
      <c r="G1426" s="251">
        <f>Table1[[#This Row],[Start Date]]</f>
        <v>44712</v>
      </c>
      <c r="H1426" s="251"/>
      <c r="I1426" s="621"/>
      <c r="J1426" s="817" t="str">
        <f>Table1[[#This Row],[Routine Activities (PM/ PMCAL, CM, Genba, Isotanker, Material Readiness, Sampling)]]</f>
        <v>Aq waste offloading (Mon evening, Tues truck out)</v>
      </c>
    </row>
    <row r="1427" spans="3:10" s="816" customFormat="1" ht="15" hidden="1" customHeight="1" x14ac:dyDescent="0.35">
      <c r="C1427" s="619" t="s">
        <v>2222</v>
      </c>
      <c r="D1427" s="251">
        <v>44711</v>
      </c>
      <c r="E1427" s="122" t="s">
        <v>377</v>
      </c>
      <c r="F1427" s="251">
        <v>44711</v>
      </c>
      <c r="G1427" s="251">
        <f>Table1[[#This Row],[Start Date]]</f>
        <v>44711</v>
      </c>
      <c r="H1427" s="251"/>
      <c r="I1427" s="621"/>
      <c r="J1427" s="817" t="str">
        <f>Table1[[#This Row],[Routine Activities (PM/ PMCAL, CM, Genba, Isotanker, Material Readiness, Sampling)]]</f>
        <v>EA top up (Mon)</v>
      </c>
    </row>
    <row r="1428" spans="3:10" s="816" customFormat="1" ht="15" customHeight="1" x14ac:dyDescent="0.35">
      <c r="C1428" s="619" t="s">
        <v>2112</v>
      </c>
      <c r="D1428" s="251">
        <v>44711</v>
      </c>
      <c r="E1428" s="122" t="s">
        <v>377</v>
      </c>
      <c r="F1428" s="251">
        <v>44714</v>
      </c>
      <c r="G1428" s="251">
        <f>Table1[[#This Row],[Start Date]]</f>
        <v>44714</v>
      </c>
      <c r="H1428" s="251"/>
      <c r="I1428" s="621"/>
      <c r="J1428" s="817" t="str">
        <f>Table1[[#This Row],[Routine Activities (PM/ PMCAL, CM, Genba, Isotanker, Material Readiness, Sampling)]]</f>
        <v>N2 top up (Thurs)</v>
      </c>
    </row>
    <row r="1429" spans="3:10" s="816" customFormat="1" ht="15" customHeight="1" x14ac:dyDescent="0.35">
      <c r="C1429" s="619" t="s">
        <v>2223</v>
      </c>
      <c r="D1429" s="251">
        <v>44711</v>
      </c>
      <c r="E1429" s="122" t="s">
        <v>2218</v>
      </c>
      <c r="F1429" s="251">
        <v>44718</v>
      </c>
      <c r="G1429" s="251">
        <f>Table1[[#This Row],[Start Date]]</f>
        <v>44718</v>
      </c>
      <c r="H1429" s="251"/>
      <c r="I1429" s="621" t="s">
        <v>2224</v>
      </c>
      <c r="J1429" s="817" t="str">
        <f>Table1[[#This Row],[Routine Activities (PM/ PMCAL, CM, Genba, Isotanker, Material Readiness, Sampling)]]</f>
        <v>Step C batch 3 material readiness (Wed)</v>
      </c>
    </row>
    <row r="1430" spans="3:10" s="816" customFormat="1" ht="15" customHeight="1" x14ac:dyDescent="0.35">
      <c r="C1430" s="619" t="s">
        <v>2695</v>
      </c>
      <c r="D1430" s="251">
        <v>44725</v>
      </c>
      <c r="E1430" s="122"/>
      <c r="F1430" s="251">
        <v>44728</v>
      </c>
      <c r="G1430" s="251">
        <f>Table1[[#This Row],[Start Date]]</f>
        <v>44728</v>
      </c>
      <c r="H1430" s="251"/>
      <c r="I1430" s="621"/>
      <c r="J1430" s="817" t="str">
        <f>Table1[[#This Row],[Routine Activities (PM/ PMCAL, CM, Genba, Isotanker, Material Readiness, Sampling)]]</f>
        <v>Patheon Packout operation</v>
      </c>
    </row>
    <row r="1431" spans="3:10" s="816" customFormat="1" ht="15" customHeight="1" x14ac:dyDescent="0.35">
      <c r="C1431" s="619" t="s">
        <v>2696</v>
      </c>
      <c r="D1431" s="251">
        <v>44718</v>
      </c>
      <c r="E1431" s="122" t="s">
        <v>2697</v>
      </c>
      <c r="F1431" s="251">
        <v>44723</v>
      </c>
      <c r="G1431" s="251">
        <f>Table1[[#This Row],[Start Date]]</f>
        <v>44723</v>
      </c>
      <c r="H1431" s="251"/>
      <c r="I1431" s="621"/>
      <c r="J1431" s="817" t="str">
        <f>Table1[[#This Row],[Routine Activities (PM/ PMCAL, CM, Genba, Isotanker, Material Readiness, Sampling)]]</f>
        <v>Organic waste offloading</v>
      </c>
    </row>
    <row r="1432" spans="3:10" s="816" customFormat="1" ht="15" customHeight="1" x14ac:dyDescent="0.35">
      <c r="C1432" s="627" t="s">
        <v>1362</v>
      </c>
      <c r="D1432" s="251">
        <v>44718</v>
      </c>
      <c r="E1432" s="122" t="s">
        <v>377</v>
      </c>
      <c r="F1432" s="251">
        <v>44722</v>
      </c>
      <c r="G1432" s="251">
        <f>Table1[[#This Row],[Start Date]]</f>
        <v>44722</v>
      </c>
      <c r="H1432" s="251"/>
      <c r="I1432" s="621"/>
      <c r="J1432" s="817" t="str">
        <f>Table1[[#This Row],[Routine Activities (PM/ PMCAL, CM, Genba, Isotanker, Material Readiness, Sampling)]]</f>
        <v>Methanol top up</v>
      </c>
    </row>
    <row r="1433" spans="3:10" s="816" customFormat="1" ht="15" customHeight="1" x14ac:dyDescent="0.35">
      <c r="C1433" s="627" t="s">
        <v>2081</v>
      </c>
      <c r="D1433" s="251">
        <v>44718</v>
      </c>
      <c r="E1433" s="122" t="s">
        <v>377</v>
      </c>
      <c r="F1433" s="251">
        <v>44721</v>
      </c>
      <c r="G1433" s="251">
        <f>Table1[[#This Row],[Start Date]]</f>
        <v>44721</v>
      </c>
      <c r="H1433" s="251"/>
      <c r="I1433" s="621"/>
      <c r="J1433" s="817" t="str">
        <f>Table1[[#This Row],[Routine Activities (PM/ PMCAL, CM, Genba, Isotanker, Material Readiness, Sampling)]]</f>
        <v>N2 top up</v>
      </c>
    </row>
    <row r="1434" spans="3:10" s="816" customFormat="1" ht="15" customHeight="1" x14ac:dyDescent="0.35">
      <c r="C1434" s="619" t="s">
        <v>2209</v>
      </c>
      <c r="D1434" s="251">
        <v>44718</v>
      </c>
      <c r="E1434" s="122" t="s">
        <v>2216</v>
      </c>
      <c r="F1434" s="251"/>
      <c r="G1434" s="251">
        <f>Table1[[#This Row],[Start Date]]</f>
        <v>0</v>
      </c>
      <c r="H1434" s="251"/>
      <c r="I1434" s="621"/>
      <c r="J1434" s="817" t="str">
        <f>Table1[[#This Row],[Routine Activities (PM/ PMCAL, CM, Genba, Isotanker, Material Readiness, Sampling)]]</f>
        <v>EHSS Genba</v>
      </c>
    </row>
    <row r="1435" spans="3:10" s="816" customFormat="1" ht="15" customHeight="1" x14ac:dyDescent="0.35">
      <c r="C1435" s="619" t="s">
        <v>2214</v>
      </c>
      <c r="D1435" s="251">
        <v>44718</v>
      </c>
      <c r="E1435" s="122" t="s">
        <v>785</v>
      </c>
      <c r="F1435" s="251"/>
      <c r="G1435" s="251">
        <f>Table1[[#This Row],[Start Date]]</f>
        <v>0</v>
      </c>
      <c r="H1435" s="251"/>
      <c r="I1435" s="621"/>
      <c r="J1435" s="817" t="str">
        <f>Table1[[#This Row],[Routine Activities (PM/ PMCAL, CM, Genba, Isotanker, Material Readiness, Sampling)]]</f>
        <v xml:space="preserve">Xfunctional Genba </v>
      </c>
    </row>
    <row r="1436" spans="3:10" s="816" customFormat="1" ht="15" customHeight="1" x14ac:dyDescent="0.35">
      <c r="C1436" s="627" t="s">
        <v>1018</v>
      </c>
      <c r="D1436" s="929"/>
      <c r="E1436" s="122" t="s">
        <v>2220</v>
      </c>
      <c r="F1436" s="251"/>
      <c r="G1436" s="251">
        <f>Table1[[#This Row],[Start Date]]</f>
        <v>0</v>
      </c>
      <c r="H1436" s="251"/>
      <c r="I1436" s="621"/>
      <c r="J1436" s="817" t="str">
        <f>Table1[[#This Row],[Routine Activities (PM/ PMCAL, CM, Genba, Isotanker, Material Readiness, Sampling)]]</f>
        <v xml:space="preserve">QoP </v>
      </c>
    </row>
    <row r="1437" spans="3:10" s="816" customFormat="1" ht="15" customHeight="1" x14ac:dyDescent="0.35">
      <c r="C1437" s="931" t="s">
        <v>2225</v>
      </c>
      <c r="D1437" s="930"/>
      <c r="E1437" s="930"/>
      <c r="F1437" s="930"/>
      <c r="G1437" s="930"/>
      <c r="H1437" s="930"/>
      <c r="I1437" s="930"/>
      <c r="J1437" s="930" t="str">
        <f>Table1[[#This Row],[Routine Activities (PM/ PMCAL, CM, Genba, Isotanker, Material Readiness, Sampling)]]</f>
        <v>Non-routine Activities</v>
      </c>
    </row>
    <row r="1438" spans="3:10" s="816" customFormat="1" ht="15" hidden="1" customHeight="1" x14ac:dyDescent="0.35">
      <c r="C1438" s="125" t="s">
        <v>2226</v>
      </c>
      <c r="D1438" s="827">
        <v>44529</v>
      </c>
      <c r="E1438" s="122" t="s">
        <v>368</v>
      </c>
      <c r="F1438" s="251">
        <v>44533</v>
      </c>
      <c r="G1438" s="251">
        <f>Table1[[#This Row],[Start Date]]</f>
        <v>44533</v>
      </c>
      <c r="H1438" s="251" t="s">
        <v>340</v>
      </c>
      <c r="I1438" s="621"/>
      <c r="J1438" s="817" t="str">
        <f>Table1[[#This Row],[Routine Activities (PM/ PMCAL, CM, Genba, Isotanker, Material Readiness, Sampling)]]</f>
        <v>Quarterly DeltaV patching</v>
      </c>
    </row>
    <row r="1439" spans="3:10" s="816" customFormat="1" ht="29" hidden="1" x14ac:dyDescent="0.35">
      <c r="C1439" s="125" t="s">
        <v>2227</v>
      </c>
      <c r="D1439" s="827">
        <v>44536</v>
      </c>
      <c r="E1439" s="122" t="s">
        <v>2228</v>
      </c>
      <c r="F1439" s="251">
        <v>44536</v>
      </c>
      <c r="G1439" s="251">
        <v>44537</v>
      </c>
      <c r="H1439" s="251" t="s">
        <v>340</v>
      </c>
      <c r="I1439" s="621"/>
      <c r="J1439" s="817" t="str">
        <f>Table1[[#This Row],[Routine Activities (PM/ PMCAL, CM, Genba, Isotanker, Material Readiness, Sampling)]]</f>
        <v>Lifeline installation at tankfarms</v>
      </c>
    </row>
    <row r="1440" spans="3:10" s="816" customFormat="1" ht="15" hidden="1" customHeight="1" x14ac:dyDescent="0.35">
      <c r="C1440" s="818" t="s">
        <v>2229</v>
      </c>
      <c r="D1440" s="238">
        <v>44221</v>
      </c>
      <c r="E1440" s="819" t="s">
        <v>1000</v>
      </c>
      <c r="F1440" s="688">
        <v>44225</v>
      </c>
      <c r="G1440" s="688">
        <f>Table1[[#This Row],[Start Date]]</f>
        <v>44225</v>
      </c>
      <c r="H1440" s="688" t="s">
        <v>340</v>
      </c>
      <c r="I1440" s="820"/>
      <c r="J1440" s="821" t="str">
        <f>Table1[[#This Row],[Routine Activities (PM/ PMCAL, CM, Genba, Isotanker, Material Readiness, Sampling)]]</f>
        <v>MAA Sampling @ DI</v>
      </c>
    </row>
    <row r="1441" spans="3:10" s="816" customFormat="1" ht="15" hidden="1" customHeight="1" x14ac:dyDescent="0.35">
      <c r="C1441" s="818" t="s">
        <v>2230</v>
      </c>
      <c r="D1441" s="238">
        <v>44221</v>
      </c>
      <c r="E1441" s="819" t="s">
        <v>1655</v>
      </c>
      <c r="F1441" s="688">
        <v>44226</v>
      </c>
      <c r="G1441" s="688">
        <v>44226</v>
      </c>
      <c r="H1441" s="688" t="s">
        <v>340</v>
      </c>
      <c r="I1441" s="820"/>
      <c r="J1441" s="821" t="str">
        <f>Table1[[#This Row],[Routine Activities (PM/ PMCAL, CM, Genba, Isotanker, Material Readiness, Sampling)]]</f>
        <v>Purified water skid GM: Replace softener, RO and filter housing end cap</v>
      </c>
    </row>
    <row r="1442" spans="3:10" s="816" customFormat="1" ht="15" hidden="1" customHeight="1" x14ac:dyDescent="0.35">
      <c r="C1442" s="818" t="s">
        <v>1898</v>
      </c>
      <c r="D1442" s="238">
        <v>44221</v>
      </c>
      <c r="E1442" s="819" t="s">
        <v>1601</v>
      </c>
      <c r="F1442" s="688">
        <v>44226</v>
      </c>
      <c r="G1442" s="688">
        <v>44226</v>
      </c>
      <c r="H1442" s="688" t="s">
        <v>340</v>
      </c>
      <c r="I1442" s="820"/>
      <c r="J1442" s="821" t="str">
        <f>Table1[[#This Row],[Routine Activities (PM/ PMCAL, CM, Genba, Isotanker, Material Readiness, Sampling)]]</f>
        <v>AHU GM: Replace G4 filters</v>
      </c>
    </row>
    <row r="1443" spans="3:10" s="816" customFormat="1" ht="15" hidden="1" customHeight="1" x14ac:dyDescent="0.35">
      <c r="C1443" s="818" t="s">
        <v>2231</v>
      </c>
      <c r="D1443" s="238">
        <v>44221</v>
      </c>
      <c r="E1443" s="819" t="s">
        <v>1655</v>
      </c>
      <c r="F1443" s="688">
        <v>44227</v>
      </c>
      <c r="G1443" s="688">
        <v>44227</v>
      </c>
      <c r="H1443" s="688" t="s">
        <v>340</v>
      </c>
      <c r="I1443" s="820"/>
      <c r="J1443" s="821" t="str">
        <f>Table1[[#This Row],[Routine Activities (PM/ PMCAL, CM, Genba, Isotanker, Material Readiness, Sampling)]]</f>
        <v>Purified water skid GM: Verify level switches</v>
      </c>
    </row>
    <row r="1444" spans="3:10" s="816" customFormat="1" ht="15" hidden="1" customHeight="1" x14ac:dyDescent="0.35">
      <c r="C1444" s="818" t="s">
        <v>2232</v>
      </c>
      <c r="D1444" s="238">
        <v>44228</v>
      </c>
      <c r="E1444" s="819" t="s">
        <v>1544</v>
      </c>
      <c r="F1444" s="688">
        <v>44233</v>
      </c>
      <c r="G1444" s="688">
        <f>Table1[[#This Row],[Start Date]]</f>
        <v>44233</v>
      </c>
      <c r="H1444" s="688" t="s">
        <v>340</v>
      </c>
      <c r="I1444" s="820"/>
      <c r="J1444" s="821" t="str">
        <f>Table1[[#This Row],[Routine Activities (PM/ PMCAL, CM, Genba, Isotanker, Material Readiness, Sampling)]]</f>
        <v>Vac pump GM: TI replacement</v>
      </c>
    </row>
    <row r="1445" spans="3:10" s="816" customFormat="1" ht="15" hidden="1" customHeight="1" x14ac:dyDescent="0.35">
      <c r="C1445" s="818" t="s">
        <v>2233</v>
      </c>
      <c r="D1445" s="238">
        <v>44228</v>
      </c>
      <c r="E1445" s="819" t="s">
        <v>761</v>
      </c>
      <c r="F1445" s="688">
        <v>44231</v>
      </c>
      <c r="G1445" s="688">
        <f>Table1[[#This Row],[Start Date]]</f>
        <v>44231</v>
      </c>
      <c r="H1445" s="688" t="s">
        <v>340</v>
      </c>
      <c r="I1445" s="820"/>
      <c r="J1445" s="821" t="str">
        <f>Table1[[#This Row],[Routine Activities (PM/ PMCAL, CM, Genba, Isotanker, Material Readiness, Sampling)]]</f>
        <v>TR-500160 Mix Tank Pre-act testing</v>
      </c>
    </row>
    <row r="1446" spans="3:10" s="816" customFormat="1" ht="15" hidden="1" customHeight="1" x14ac:dyDescent="0.35">
      <c r="C1446" s="818" t="s">
        <v>2234</v>
      </c>
      <c r="D1446" s="238">
        <v>44228</v>
      </c>
      <c r="E1446" s="819" t="s">
        <v>2235</v>
      </c>
      <c r="F1446" s="688">
        <v>44225</v>
      </c>
      <c r="G1446" s="688">
        <f>Table1[[#This Row],[Start Date]]</f>
        <v>44225</v>
      </c>
      <c r="H1446" s="688" t="s">
        <v>340</v>
      </c>
      <c r="I1446" s="820"/>
      <c r="J1446" s="821" t="str">
        <f>Table1[[#This Row],[Routine Activities (PM/ PMCAL, CM, Genba, Isotanker, Material Readiness, Sampling)]]</f>
        <v>Reboot of terminal server HMI-41, HMI-42, HMI-44</v>
      </c>
    </row>
    <row r="1447" spans="3:10" s="816" customFormat="1" ht="15" hidden="1" customHeight="1" x14ac:dyDescent="0.35">
      <c r="C1447" s="818" t="s">
        <v>2236</v>
      </c>
      <c r="D1447" s="238">
        <v>44228</v>
      </c>
      <c r="E1447" s="819" t="s">
        <v>2235</v>
      </c>
      <c r="F1447" s="688">
        <v>44225</v>
      </c>
      <c r="G1447" s="688">
        <f>Table1[[#This Row],[Start Date]]</f>
        <v>44225</v>
      </c>
      <c r="H1447" s="688" t="s">
        <v>340</v>
      </c>
      <c r="I1447" s="820"/>
      <c r="J1447" s="821" t="str">
        <f>Table1[[#This Row],[Routine Activities (PM/ PMCAL, CM, Genba, Isotanker, Material Readiness, Sampling)]]</f>
        <v>Replacement of HMI speaker - M201</v>
      </c>
    </row>
    <row r="1448" spans="3:10" s="816" customFormat="1" ht="15" hidden="1" customHeight="1" x14ac:dyDescent="0.35">
      <c r="C1448" s="818" t="s">
        <v>2237</v>
      </c>
      <c r="D1448" s="238">
        <v>44235</v>
      </c>
      <c r="E1448" s="819" t="s">
        <v>979</v>
      </c>
      <c r="F1448" s="688">
        <v>44240</v>
      </c>
      <c r="G1448" s="688">
        <f>Table1[[#This Row],[Start Date]]</f>
        <v>44240</v>
      </c>
      <c r="H1448" s="688" t="s">
        <v>340</v>
      </c>
      <c r="I1448" s="820"/>
      <c r="J1448" s="821" t="str">
        <f>Table1[[#This Row],[Routine Activities (PM/ PMCAL, CM, Genba, Isotanker, Material Readiness, Sampling)]]</f>
        <v>Inspection of CFH hoses</v>
      </c>
    </row>
    <row r="1449" spans="3:10" s="816" customFormat="1" ht="15" hidden="1" customHeight="1" x14ac:dyDescent="0.35">
      <c r="C1449" s="818" t="s">
        <v>2238</v>
      </c>
      <c r="D1449" s="238">
        <v>44242</v>
      </c>
      <c r="E1449" s="819" t="s">
        <v>1107</v>
      </c>
      <c r="F1449" s="688">
        <v>44242</v>
      </c>
      <c r="G1449" s="688">
        <f>Table1[[#This Row],[Start Date]]</f>
        <v>44242</v>
      </c>
      <c r="H1449" s="688" t="s">
        <v>340</v>
      </c>
      <c r="I1449" s="820"/>
      <c r="J1449" s="821" t="str">
        <f>Table1[[#This Row],[Routine Activities (PM/ PMCAL, CM, Genba, Isotanker, Material Readiness, Sampling)]]</f>
        <v>PM Air Emission Sampling (7PM)</v>
      </c>
    </row>
    <row r="1450" spans="3:10" s="816" customFormat="1" ht="15" hidden="1" customHeight="1" x14ac:dyDescent="0.35">
      <c r="C1450" s="822" t="s">
        <v>2239</v>
      </c>
      <c r="D1450" s="238">
        <v>44242</v>
      </c>
      <c r="E1450" s="819" t="s">
        <v>854</v>
      </c>
      <c r="F1450" s="688">
        <v>44247</v>
      </c>
      <c r="G1450" s="688">
        <f>Table1[[#This Row],[Start Date]]</f>
        <v>44247</v>
      </c>
      <c r="H1450" s="688" t="s">
        <v>340</v>
      </c>
      <c r="I1450" s="820"/>
      <c r="J1450" s="821" t="str">
        <f>Table1[[#This Row],[Routine Activities (PM/ PMCAL, CM, Genba, Isotanker, Material Readiness, Sampling)]]</f>
        <v>Glycol System: Installation of Extended Shaft</v>
      </c>
    </row>
    <row r="1451" spans="3:10" s="816" customFormat="1" ht="15" hidden="1" customHeight="1" x14ac:dyDescent="0.35">
      <c r="C1451" s="822" t="s">
        <v>2240</v>
      </c>
      <c r="D1451" s="238">
        <v>44249</v>
      </c>
      <c r="E1451" s="819" t="s">
        <v>2241</v>
      </c>
      <c r="F1451" s="688">
        <v>44254</v>
      </c>
      <c r="G1451" s="688">
        <f>Table1[[#This Row],[Start Date]]</f>
        <v>44254</v>
      </c>
      <c r="H1451" s="688" t="s">
        <v>340</v>
      </c>
      <c r="I1451" s="820"/>
      <c r="J1451" s="821" t="str">
        <f>Table1[[#This Row],[Routine Activities (PM/ PMCAL, CM, Genba, Isotanker, Material Readiness, Sampling)]]</f>
        <v>Change AHU-31 fan belt</v>
      </c>
    </row>
    <row r="1452" spans="3:10" s="816" customFormat="1" ht="15" hidden="1" customHeight="1" x14ac:dyDescent="0.35">
      <c r="C1452" s="818" t="s">
        <v>2242</v>
      </c>
      <c r="D1452" s="238">
        <v>44249</v>
      </c>
      <c r="E1452" s="819" t="s">
        <v>1905</v>
      </c>
      <c r="F1452" s="688">
        <v>44253</v>
      </c>
      <c r="G1452" s="688">
        <f>Table1[[#This Row],[Start Date]]</f>
        <v>44253</v>
      </c>
      <c r="H1452" s="688" t="s">
        <v>340</v>
      </c>
      <c r="I1452" s="820"/>
      <c r="J1452" s="821" t="str">
        <f>Table1[[#This Row],[Routine Activities (PM/ PMCAL, CM, Genba, Isotanker, Material Readiness, Sampling)]]</f>
        <v>Scrubber/ floor drain valve function test</v>
      </c>
    </row>
    <row r="1453" spans="3:10" s="816" customFormat="1" ht="15" hidden="1" customHeight="1" x14ac:dyDescent="0.35">
      <c r="C1453" s="818" t="s">
        <v>2243</v>
      </c>
      <c r="D1453" s="238">
        <v>44256</v>
      </c>
      <c r="E1453" s="819" t="s">
        <v>872</v>
      </c>
      <c r="F1453" s="688">
        <v>44260</v>
      </c>
      <c r="G1453" s="688">
        <f>Table1[[#This Row],[Start Date]]</f>
        <v>44260</v>
      </c>
      <c r="H1453" s="688" t="s">
        <v>340</v>
      </c>
      <c r="I1453" s="820"/>
      <c r="J1453" s="821" t="str">
        <f>Table1[[#This Row],[Routine Activities (PM/ PMCAL, CM, Genba, Isotanker, Material Readiness, Sampling)]]</f>
        <v xml:space="preserve">Vega LIT troubleshooting </v>
      </c>
    </row>
    <row r="1454" spans="3:10" s="816" customFormat="1" ht="15" hidden="1" customHeight="1" x14ac:dyDescent="0.35">
      <c r="C1454" s="818" t="s">
        <v>2244</v>
      </c>
      <c r="D1454" s="238">
        <v>44270</v>
      </c>
      <c r="E1454" s="819" t="s">
        <v>31</v>
      </c>
      <c r="F1454" s="688">
        <v>44274</v>
      </c>
      <c r="G1454" s="688">
        <f>Table1[[#This Row],[Start Date]]</f>
        <v>44274</v>
      </c>
      <c r="H1454" s="688" t="s">
        <v>340</v>
      </c>
      <c r="I1454" s="820"/>
      <c r="J1454" s="821" t="str">
        <f>Table1[[#This Row],[Routine Activities (PM/ PMCAL, CM, Genba, Isotanker, Material Readiness, Sampling)]]</f>
        <v>DeltaV Quarterly Patching (impact to HMI whole day)</v>
      </c>
    </row>
    <row r="1455" spans="3:10" s="816" customFormat="1" ht="15" hidden="1" customHeight="1" x14ac:dyDescent="0.35">
      <c r="C1455" s="818" t="s">
        <v>2245</v>
      </c>
      <c r="D1455" s="238">
        <v>44270</v>
      </c>
      <c r="E1455" s="819" t="s">
        <v>979</v>
      </c>
      <c r="F1455" s="688">
        <v>44275</v>
      </c>
      <c r="G1455" s="688">
        <f>Table1[[#This Row],[Start Date]]</f>
        <v>44275</v>
      </c>
      <c r="H1455" s="688" t="s">
        <v>340</v>
      </c>
      <c r="I1455" s="820"/>
      <c r="J1455" s="821" t="str">
        <f>Table1[[#This Row],[Routine Activities (PM/ PMCAL, CM, Genba, Isotanker, Material Readiness, Sampling)]]</f>
        <v>Rx-2 XV-132 rectification</v>
      </c>
    </row>
    <row r="1456" spans="3:10" s="816" customFormat="1" ht="15" hidden="1" customHeight="1" x14ac:dyDescent="0.35">
      <c r="C1456" s="818" t="s">
        <v>2246</v>
      </c>
      <c r="D1456" s="238">
        <v>44270</v>
      </c>
      <c r="E1456" s="819" t="s">
        <v>1360</v>
      </c>
      <c r="F1456" s="688">
        <v>44274</v>
      </c>
      <c r="G1456" s="688">
        <f>Table1[[#This Row],[Start Date]]</f>
        <v>44274</v>
      </c>
      <c r="H1456" s="688" t="s">
        <v>340</v>
      </c>
      <c r="I1456" s="820" t="s">
        <v>2247</v>
      </c>
      <c r="J1456" s="821" t="str">
        <f>Table1[[#This Row],[Routine Activities (PM/ PMCAL, CM, Genba, Isotanker, Material Readiness, Sampling)]]</f>
        <v xml:space="preserve">Step C temp drop during txfer testing </v>
      </c>
    </row>
    <row r="1457" spans="3:10" s="816" customFormat="1" ht="15" hidden="1" customHeight="1" x14ac:dyDescent="0.35">
      <c r="C1457" s="818" t="s">
        <v>2248</v>
      </c>
      <c r="D1457" s="238">
        <v>44270</v>
      </c>
      <c r="E1457" s="819" t="s">
        <v>2249</v>
      </c>
      <c r="F1457" s="688">
        <v>44272</v>
      </c>
      <c r="G1457" s="688">
        <f>Table1[[#This Row],[Start Date]]</f>
        <v>44272</v>
      </c>
      <c r="H1457" s="688" t="s">
        <v>340</v>
      </c>
      <c r="I1457" s="820"/>
      <c r="J1457" s="821" t="str">
        <f>Table1[[#This Row],[Routine Activities (PM/ PMCAL, CM, Genba, Isotanker, Material Readiness, Sampling)]]</f>
        <v>PUR water mix tank piping modification</v>
      </c>
    </row>
    <row r="1458" spans="3:10" s="816" customFormat="1" ht="15" hidden="1" customHeight="1" x14ac:dyDescent="0.35">
      <c r="C1458" s="818" t="s">
        <v>2250</v>
      </c>
      <c r="D1458" s="238">
        <v>44277</v>
      </c>
      <c r="E1458" s="819" t="s">
        <v>1360</v>
      </c>
      <c r="F1458" s="688">
        <v>44279</v>
      </c>
      <c r="G1458" s="688">
        <f>Table1[[#This Row],[Start Date]]</f>
        <v>44279</v>
      </c>
      <c r="H1458" s="688" t="s">
        <v>340</v>
      </c>
      <c r="I1458" s="820"/>
      <c r="J1458" s="821" t="str">
        <f>Table1[[#This Row],[Routine Activities (PM/ PMCAL, CM, Genba, Isotanker, Material Readiness, Sampling)]]</f>
        <v>Collection of DS sample for swab project</v>
      </c>
    </row>
    <row r="1459" spans="3:10" s="816" customFormat="1" ht="15" hidden="1" customHeight="1" x14ac:dyDescent="0.35">
      <c r="C1459" s="818" t="s">
        <v>2251</v>
      </c>
      <c r="D1459" s="238">
        <v>44326</v>
      </c>
      <c r="E1459" s="819" t="s">
        <v>2252</v>
      </c>
      <c r="F1459" s="688">
        <v>44330</v>
      </c>
      <c r="G1459" s="688">
        <f>Table1[[#This Row],[Start Date]]</f>
        <v>44330</v>
      </c>
      <c r="H1459" s="688" t="s">
        <v>340</v>
      </c>
      <c r="I1459" s="820"/>
      <c r="J1459" s="821" t="str">
        <f>Table1[[#This Row],[Routine Activities (PM/ PMCAL, CM, Genba, Isotanker, Material Readiness, Sampling)]]</f>
        <v>Replace HMI speaker - M201 (electrical support)</v>
      </c>
    </row>
    <row r="1460" spans="3:10" s="816" customFormat="1" ht="15" hidden="1" customHeight="1" x14ac:dyDescent="0.35">
      <c r="C1460" s="818" t="s">
        <v>2253</v>
      </c>
      <c r="D1460" s="238">
        <v>44333</v>
      </c>
      <c r="E1460" s="819" t="s">
        <v>979</v>
      </c>
      <c r="F1460" s="688">
        <v>44334</v>
      </c>
      <c r="G1460" s="688">
        <f>Table1[[#This Row],[Start Date]]</f>
        <v>44334</v>
      </c>
      <c r="H1460" s="688" t="s">
        <v>340</v>
      </c>
      <c r="I1460" s="820"/>
      <c r="J1460" s="821" t="str">
        <f>Table1[[#This Row],[Routine Activities (PM/ PMCAL, CM, Genba, Isotanker, Material Readiness, Sampling)]]</f>
        <v>Disp. Isolator: Replace non-PTFE gaskets</v>
      </c>
    </row>
    <row r="1461" spans="3:10" s="816" customFormat="1" ht="15" hidden="1" customHeight="1" x14ac:dyDescent="0.35">
      <c r="C1461" s="818" t="s">
        <v>2254</v>
      </c>
      <c r="D1461" s="238">
        <v>44333</v>
      </c>
      <c r="E1461" s="819" t="s">
        <v>979</v>
      </c>
      <c r="F1461" s="688">
        <v>44331</v>
      </c>
      <c r="G1461" s="688">
        <f>Table1[[#This Row],[Start Date]]</f>
        <v>44331</v>
      </c>
      <c r="H1461" s="688" t="s">
        <v>340</v>
      </c>
      <c r="I1461" s="820"/>
      <c r="J1461" s="821" t="str">
        <f>Table1[[#This Row],[Routine Activities (PM/ PMCAL, CM, Genba, Isotanker, Material Readiness, Sampling)]]</f>
        <v>Vac pump: Replace non-PTFE gaskets</v>
      </c>
    </row>
    <row r="1462" spans="3:10" s="816" customFormat="1" ht="15" hidden="1" customHeight="1" x14ac:dyDescent="0.35">
      <c r="C1462" s="818" t="s">
        <v>2255</v>
      </c>
      <c r="D1462" s="238">
        <v>44333</v>
      </c>
      <c r="E1462" s="819" t="s">
        <v>773</v>
      </c>
      <c r="F1462" s="688">
        <v>44337</v>
      </c>
      <c r="G1462" s="688">
        <f>Table1[[#This Row],[Start Date]]</f>
        <v>44337</v>
      </c>
      <c r="H1462" s="688" t="s">
        <v>340</v>
      </c>
      <c r="I1462" s="820"/>
      <c r="J1462" s="821" t="str">
        <f>Table1[[#This Row],[Routine Activities (PM/ PMCAL, CM, Genba, Isotanker, Material Readiness, Sampling)]]</f>
        <v>Org waste tank: Replace non-PTFE gaskets</v>
      </c>
    </row>
    <row r="1463" spans="3:10" s="816" customFormat="1" ht="15" hidden="1" customHeight="1" x14ac:dyDescent="0.35">
      <c r="C1463" s="818" t="s">
        <v>2256</v>
      </c>
      <c r="D1463" s="238">
        <v>44333</v>
      </c>
      <c r="E1463" s="819" t="s">
        <v>1360</v>
      </c>
      <c r="F1463" s="688">
        <v>44333</v>
      </c>
      <c r="G1463" s="688">
        <f>Table1[[#This Row],[Start Date]]</f>
        <v>44333</v>
      </c>
      <c r="H1463" s="688" t="s">
        <v>340</v>
      </c>
      <c r="I1463" s="820"/>
      <c r="J1463" s="821" t="str">
        <f>Table1[[#This Row],[Routine Activities (PM/ PMCAL, CM, Genba, Isotanker, Material Readiness, Sampling)]]</f>
        <v>LIT troubleshooting (Wait for vendor to start vac dist)</v>
      </c>
    </row>
    <row r="1464" spans="3:10" s="816" customFormat="1" ht="15" hidden="1" customHeight="1" x14ac:dyDescent="0.35">
      <c r="C1464" s="818" t="s">
        <v>2257</v>
      </c>
      <c r="D1464" s="238">
        <v>44312</v>
      </c>
      <c r="E1464" s="819" t="s">
        <v>979</v>
      </c>
      <c r="F1464" s="688">
        <v>44312</v>
      </c>
      <c r="G1464" s="688">
        <f>Table1[[#This Row],[Start Date]]</f>
        <v>44312</v>
      </c>
      <c r="H1464" s="688" t="s">
        <v>340</v>
      </c>
      <c r="I1464" s="820"/>
      <c r="J1464" s="821" t="str">
        <f>Table1[[#This Row],[Routine Activities (PM/ PMCAL, CM, Genba, Isotanker, Material Readiness, Sampling)]]</f>
        <v>Drum charge XV-024 rectification</v>
      </c>
    </row>
    <row r="1465" spans="3:10" s="816" customFormat="1" ht="15" hidden="1" customHeight="1" x14ac:dyDescent="0.35">
      <c r="C1465" s="818" t="s">
        <v>2258</v>
      </c>
      <c r="D1465" s="238">
        <v>44312</v>
      </c>
      <c r="E1465" s="819" t="s">
        <v>979</v>
      </c>
      <c r="F1465" s="688">
        <v>44316</v>
      </c>
      <c r="G1465" s="688">
        <f>Table1[[#This Row],[Start Date]]</f>
        <v>44316</v>
      </c>
      <c r="H1465" s="688" t="s">
        <v>340</v>
      </c>
      <c r="I1465" s="820"/>
      <c r="J1465" s="821" t="str">
        <f>Table1[[#This Row],[Routine Activities (PM/ PMCAL, CM, Genba, Isotanker, Material Readiness, Sampling)]]</f>
        <v>FD RTP gasket replacement</v>
      </c>
    </row>
    <row r="1466" spans="3:10" s="816" customFormat="1" ht="15" hidden="1" customHeight="1" x14ac:dyDescent="0.35">
      <c r="C1466" s="818" t="s">
        <v>2259</v>
      </c>
      <c r="D1466" s="238">
        <v>44284</v>
      </c>
      <c r="E1466" s="819" t="s">
        <v>2260</v>
      </c>
      <c r="F1466" s="688">
        <v>44286</v>
      </c>
      <c r="G1466" s="688">
        <f>Table1[[#This Row],[Start Date]]</f>
        <v>44286</v>
      </c>
      <c r="H1466" s="688" t="s">
        <v>340</v>
      </c>
      <c r="I1466" s="820"/>
      <c r="J1466" s="821" t="str">
        <f>Table1[[#This Row],[Routine Activities (PM/ PMCAL, CM, Genba, Isotanker, Material Readiness, Sampling)]]</f>
        <v>Install FD mezzanine gate</v>
      </c>
    </row>
    <row r="1467" spans="3:10" s="816" customFormat="1" ht="15" hidden="1" customHeight="1" x14ac:dyDescent="0.35">
      <c r="C1467" s="818" t="s">
        <v>2261</v>
      </c>
      <c r="D1467" s="238">
        <v>44312</v>
      </c>
      <c r="E1467" s="819" t="s">
        <v>1905</v>
      </c>
      <c r="F1467" s="688">
        <v>44317</v>
      </c>
      <c r="G1467" s="688">
        <f>Table1[[#This Row],[Start Date]]</f>
        <v>44317</v>
      </c>
      <c r="H1467" s="688" t="s">
        <v>340</v>
      </c>
      <c r="I1467" s="820"/>
      <c r="J1467" s="821" t="str">
        <f>Table1[[#This Row],[Routine Activities (PM/ PMCAL, CM, Genba, Isotanker, Material Readiness, Sampling)]]</f>
        <v>Cat. Pump mech seal replacement</v>
      </c>
    </row>
    <row r="1468" spans="3:10" s="816" customFormat="1" ht="15" hidden="1" customHeight="1" x14ac:dyDescent="0.35">
      <c r="C1468" s="818" t="s">
        <v>2262</v>
      </c>
      <c r="D1468" s="238">
        <v>44333</v>
      </c>
      <c r="E1468" s="819" t="s">
        <v>31</v>
      </c>
      <c r="F1468" s="688">
        <v>44337</v>
      </c>
      <c r="G1468" s="688">
        <f>Table1[[#This Row],[Start Date]]</f>
        <v>44337</v>
      </c>
      <c r="H1468" s="688" t="s">
        <v>340</v>
      </c>
      <c r="I1468" s="820"/>
      <c r="J1468" s="821" t="str">
        <f>Table1[[#This Row],[Routine Activities (PM/ PMCAL, CM, Genba, Isotanker, Material Readiness, Sampling)]]</f>
        <v xml:space="preserve">DeltaV Q2 Patching </v>
      </c>
    </row>
    <row r="1469" spans="3:10" s="816" customFormat="1" ht="15" hidden="1" customHeight="1" x14ac:dyDescent="0.35">
      <c r="C1469" s="818" t="s">
        <v>2263</v>
      </c>
      <c r="D1469" s="238">
        <v>44340</v>
      </c>
      <c r="E1469" s="819" t="s">
        <v>2264</v>
      </c>
      <c r="F1469" s="688">
        <v>44341</v>
      </c>
      <c r="G1469" s="688">
        <f>Table1[[#This Row],[Start Date]]</f>
        <v>44341</v>
      </c>
      <c r="H1469" s="688" t="s">
        <v>340</v>
      </c>
      <c r="I1469" s="820"/>
      <c r="J1469" s="821" t="str">
        <f>Table1[[#This Row],[Routine Activities (PM/ PMCAL, CM, Genba, Isotanker, Material Readiness, Sampling)]]</f>
        <v>Install PI patch (9AM-12PM)</v>
      </c>
    </row>
    <row r="1470" spans="3:10" s="816" customFormat="1" ht="15" hidden="1" customHeight="1" x14ac:dyDescent="0.35">
      <c r="C1470" s="818" t="s">
        <v>2265</v>
      </c>
      <c r="D1470" s="238">
        <v>44347</v>
      </c>
      <c r="E1470" s="819" t="s">
        <v>1360</v>
      </c>
      <c r="F1470" s="688">
        <v>44351</v>
      </c>
      <c r="G1470" s="688">
        <f>Table1[[#This Row],[Start Date]]</f>
        <v>44351</v>
      </c>
      <c r="H1470" s="688" t="s">
        <v>340</v>
      </c>
      <c r="I1470" s="820"/>
      <c r="J1470" s="821" t="str">
        <f>Table1[[#This Row],[Routine Activities (PM/ PMCAL, CM, Genba, Isotanker, Material Readiness, Sampling)]]</f>
        <v>Swab spike test on coupons in Disp. Isolator</v>
      </c>
    </row>
    <row r="1471" spans="3:10" s="816" customFormat="1" ht="15" hidden="1" customHeight="1" x14ac:dyDescent="0.35">
      <c r="C1471" s="818" t="s">
        <v>2266</v>
      </c>
      <c r="D1471" s="238"/>
      <c r="E1471" s="819"/>
      <c r="F1471" s="688">
        <v>44356</v>
      </c>
      <c r="G1471" s="688">
        <f>Table1[[#This Row],[Start Date]]</f>
        <v>44356</v>
      </c>
      <c r="H1471" s="688" t="s">
        <v>340</v>
      </c>
      <c r="I1471" s="820"/>
      <c r="J1471" s="821" t="str">
        <f>Table1[[#This Row],[Routine Activities (PM/ PMCAL, CM, Genba, Isotanker, Material Readiness, Sampling)]]</f>
        <v>Swab spike test on coupons in Disp. Isolator (07, 09 &amp; 10 Jun 2021)</v>
      </c>
    </row>
    <row r="1472" spans="3:10" s="816" customFormat="1" ht="15" hidden="1" customHeight="1" x14ac:dyDescent="0.35">
      <c r="C1472" s="818" t="s">
        <v>2266</v>
      </c>
      <c r="D1472" s="238"/>
      <c r="E1472" s="819"/>
      <c r="F1472" s="688">
        <v>44357</v>
      </c>
      <c r="G1472" s="688">
        <f>Table1[[#This Row],[Start Date]]</f>
        <v>44357</v>
      </c>
      <c r="H1472" s="688" t="s">
        <v>340</v>
      </c>
      <c r="I1472" s="820"/>
      <c r="J1472" s="821" t="str">
        <f>Table1[[#This Row],[Routine Activities (PM/ PMCAL, CM, Genba, Isotanker, Material Readiness, Sampling)]]</f>
        <v>Swab spike test on coupons in Disp. Isolator (07, 09 &amp; 10 Jun 2021)</v>
      </c>
    </row>
    <row r="1473" spans="3:10" s="816" customFormat="1" ht="15" hidden="1" customHeight="1" x14ac:dyDescent="0.35">
      <c r="C1473" s="818" t="s">
        <v>2266</v>
      </c>
      <c r="D1473" s="238">
        <v>44354</v>
      </c>
      <c r="E1473" s="819" t="s">
        <v>1360</v>
      </c>
      <c r="F1473" s="688">
        <v>44354</v>
      </c>
      <c r="G1473" s="688">
        <f>Table1[[#This Row],[Start Date]]</f>
        <v>44354</v>
      </c>
      <c r="H1473" s="688" t="s">
        <v>340</v>
      </c>
      <c r="I1473" s="820"/>
      <c r="J1473" s="821" t="str">
        <f>Table1[[#This Row],[Routine Activities (PM/ PMCAL, CM, Genba, Isotanker, Material Readiness, Sampling)]]</f>
        <v>Swab spike test on coupons in Disp. Isolator (07, 09 &amp; 10 Jun 2021)</v>
      </c>
    </row>
    <row r="1474" spans="3:10" s="816" customFormat="1" ht="15" hidden="1" customHeight="1" x14ac:dyDescent="0.35">
      <c r="C1474" s="818" t="s">
        <v>2267</v>
      </c>
      <c r="D1474" s="238">
        <v>44382</v>
      </c>
      <c r="E1474" s="819" t="s">
        <v>2111</v>
      </c>
      <c r="F1474" s="688"/>
      <c r="G1474" s="688">
        <f>Table1[[#This Row],[Start Date]]</f>
        <v>0</v>
      </c>
      <c r="H1474" s="688" t="s">
        <v>340</v>
      </c>
      <c r="I1474" s="820"/>
      <c r="J1474" s="821" t="str">
        <f>Table1[[#This Row],[Routine Activities (PM/ PMCAL, CM, Genba, Isotanker, Material Readiness, Sampling)]]</f>
        <v>Tank farm painting work (25 Jun 2021 - 09 Jul 2021)</v>
      </c>
    </row>
    <row r="1475" spans="3:10" s="816" customFormat="1" ht="15" hidden="1" customHeight="1" x14ac:dyDescent="0.35">
      <c r="C1475" s="818" t="s">
        <v>2267</v>
      </c>
      <c r="D1475" s="238">
        <v>44375</v>
      </c>
      <c r="E1475" s="819" t="s">
        <v>2111</v>
      </c>
      <c r="F1475" s="688"/>
      <c r="G1475" s="688">
        <f>Table1[[#This Row],[Start Date]]</f>
        <v>0</v>
      </c>
      <c r="H1475" s="688" t="s">
        <v>340</v>
      </c>
      <c r="I1475" s="820"/>
      <c r="J1475" s="821" t="str">
        <f>Table1[[#This Row],[Routine Activities (PM/ PMCAL, CM, Genba, Isotanker, Material Readiness, Sampling)]]</f>
        <v>Tank farm painting work (25 Jun 2021 - 09 Jul 2021)</v>
      </c>
    </row>
    <row r="1476" spans="3:10" s="816" customFormat="1" ht="15" hidden="1" customHeight="1" x14ac:dyDescent="0.35">
      <c r="C1476" s="818"/>
      <c r="D1476" s="238"/>
      <c r="E1476" s="819"/>
      <c r="F1476" s="688"/>
      <c r="G1476" s="688">
        <f>Table1[[#This Row],[Start Date]]</f>
        <v>0</v>
      </c>
      <c r="H1476" s="688" t="s">
        <v>340</v>
      </c>
      <c r="I1476" s="820"/>
      <c r="J1476" s="821">
        <f>Table1[[#This Row],[Routine Activities (PM/ PMCAL, CM, Genba, Isotanker, Material Readiness, Sampling)]]</f>
        <v>0</v>
      </c>
    </row>
    <row r="1477" spans="3:10" s="816" customFormat="1" ht="15" hidden="1" customHeight="1" x14ac:dyDescent="0.35">
      <c r="C1477" s="818" t="s">
        <v>2268</v>
      </c>
      <c r="D1477" s="238">
        <v>44347</v>
      </c>
      <c r="E1477" s="819" t="s">
        <v>773</v>
      </c>
      <c r="F1477" s="688">
        <v>44347</v>
      </c>
      <c r="G1477" s="688">
        <f>Table1[[#This Row],[Start Date]]</f>
        <v>44347</v>
      </c>
      <c r="H1477" s="688" t="s">
        <v>340</v>
      </c>
      <c r="I1477" s="820"/>
      <c r="J1477" s="821" t="str">
        <f>Table1[[#This Row],[Routine Activities (PM/ PMCAL, CM, Genba, Isotanker, Material Readiness, Sampling)]]</f>
        <v>Replace floor drain pump</v>
      </c>
    </row>
    <row r="1478" spans="3:10" s="816" customFormat="1" ht="15" hidden="1" customHeight="1" x14ac:dyDescent="0.35">
      <c r="C1478" s="818" t="s">
        <v>2257</v>
      </c>
      <c r="D1478" s="238">
        <v>44382</v>
      </c>
      <c r="E1478" s="819" t="s">
        <v>773</v>
      </c>
      <c r="F1478" s="688">
        <v>44387</v>
      </c>
      <c r="G1478" s="688">
        <f>Table1[[#This Row],[Start Date]]</f>
        <v>44387</v>
      </c>
      <c r="H1478" s="688" t="s">
        <v>340</v>
      </c>
      <c r="I1478" s="820"/>
      <c r="J1478" s="821" t="str">
        <f>Table1[[#This Row],[Routine Activities (PM/ PMCAL, CM, Genba, Isotanker, Material Readiness, Sampling)]]</f>
        <v>Drum charge XV-024 rectification</v>
      </c>
    </row>
    <row r="1479" spans="3:10" s="816" customFormat="1" ht="15" hidden="1" customHeight="1" x14ac:dyDescent="0.35">
      <c r="C1479" s="818" t="s">
        <v>2269</v>
      </c>
      <c r="D1479" s="238">
        <v>44389</v>
      </c>
      <c r="E1479" s="819" t="s">
        <v>854</v>
      </c>
      <c r="F1479" s="688">
        <v>44391</v>
      </c>
      <c r="G1479" s="688">
        <f>Table1[[#This Row],[Start Date]]</f>
        <v>44391</v>
      </c>
      <c r="H1479" s="688" t="s">
        <v>340</v>
      </c>
      <c r="I1479" s="820"/>
      <c r="J1479" s="821" t="str">
        <f>Table1[[#This Row],[Routine Activities (PM/ PMCAL, CM, Genba, Isotanker, Material Readiness, Sampling)]]</f>
        <v>Install lance holder</v>
      </c>
    </row>
    <row r="1480" spans="3:10" s="816" customFormat="1" ht="15" hidden="1" customHeight="1" x14ac:dyDescent="0.35">
      <c r="C1480" s="818" t="s">
        <v>2270</v>
      </c>
      <c r="D1480" s="238">
        <v>44389</v>
      </c>
      <c r="E1480" s="819" t="s">
        <v>979</v>
      </c>
      <c r="F1480" s="688">
        <v>44393</v>
      </c>
      <c r="G1480" s="688">
        <f>Table1[[#This Row],[Start Date]]</f>
        <v>44393</v>
      </c>
      <c r="H1480" s="688" t="s">
        <v>340</v>
      </c>
      <c r="I1480" s="820"/>
      <c r="J1480" s="821" t="str">
        <f>Table1[[#This Row],[Routine Activities (PM/ PMCAL, CM, Genba, Isotanker, Material Readiness, Sampling)]]</f>
        <v>Reactor 2 conductivity probe GMCAL</v>
      </c>
    </row>
    <row r="1481" spans="3:10" s="816" customFormat="1" ht="15" hidden="1" customHeight="1" x14ac:dyDescent="0.35">
      <c r="C1481" s="818" t="s">
        <v>2271</v>
      </c>
      <c r="D1481" s="238">
        <v>44389</v>
      </c>
      <c r="E1481" s="819" t="s">
        <v>872</v>
      </c>
      <c r="F1481" s="688">
        <v>44392</v>
      </c>
      <c r="G1481" s="688">
        <f>Table1[[#This Row],[Start Date]]</f>
        <v>44392</v>
      </c>
      <c r="H1481" s="688" t="s">
        <v>340</v>
      </c>
      <c r="I1481" s="820"/>
      <c r="J1481" s="821" t="str">
        <f>Table1[[#This Row],[Routine Activities (PM/ PMCAL, CM, Genba, Isotanker, Material Readiness, Sampling)]]</f>
        <v>B-2 IPC2.0 video taking</v>
      </c>
    </row>
    <row r="1482" spans="3:10" s="816" customFormat="1" ht="15" hidden="1" customHeight="1" x14ac:dyDescent="0.35">
      <c r="C1482" s="818" t="s">
        <v>2272</v>
      </c>
      <c r="D1482" s="238">
        <v>44389</v>
      </c>
      <c r="E1482" s="819" t="s">
        <v>1360</v>
      </c>
      <c r="F1482" s="688">
        <v>44390</v>
      </c>
      <c r="G1482" s="688">
        <f>Table1[[#This Row],[Start Date]]</f>
        <v>44390</v>
      </c>
      <c r="H1482" s="688" t="s">
        <v>340</v>
      </c>
      <c r="I1482" s="820"/>
      <c r="J1482" s="821" t="str">
        <f>Table1[[#This Row],[Routine Activities (PM/ PMCAL, CM, Genba, Isotanker, Material Readiness, Sampling)]]</f>
        <v>Extended valve passing test</v>
      </c>
    </row>
    <row r="1483" spans="3:10" s="816" customFormat="1" ht="15" hidden="1" customHeight="1" x14ac:dyDescent="0.35">
      <c r="C1483" s="818" t="s">
        <v>2273</v>
      </c>
      <c r="D1483" s="238">
        <v>44396</v>
      </c>
      <c r="E1483" s="819" t="s">
        <v>1953</v>
      </c>
      <c r="F1483" s="688">
        <v>44398</v>
      </c>
      <c r="G1483" s="688">
        <f>Table1[[#This Row],[Start Date]]</f>
        <v>44398</v>
      </c>
      <c r="H1483" s="688" t="s">
        <v>340</v>
      </c>
      <c r="I1483" s="820"/>
      <c r="J1483" s="821" t="str">
        <f>Table1[[#This Row],[Routine Activities (PM/ PMCAL, CM, Genba, Isotanker, Material Readiness, Sampling)]]</f>
        <v>Safety Virtual Audit</v>
      </c>
    </row>
    <row r="1484" spans="3:10" s="816" customFormat="1" ht="15" hidden="1" customHeight="1" x14ac:dyDescent="0.35">
      <c r="C1484" s="818" t="s">
        <v>2274</v>
      </c>
      <c r="D1484" s="238">
        <v>44389</v>
      </c>
      <c r="E1484" s="819" t="s">
        <v>872</v>
      </c>
      <c r="F1484" s="688">
        <v>44390</v>
      </c>
      <c r="G1484" s="688">
        <f>Table1[[#This Row],[Start Date]]</f>
        <v>44390</v>
      </c>
      <c r="H1484" s="688" t="s">
        <v>340</v>
      </c>
      <c r="I1484" s="820"/>
      <c r="J1484" s="821" t="str">
        <f>Table1[[#This Row],[Routine Activities (PM/ PMCAL, CM, Genba, Isotanker, Material Readiness, Sampling)]]</f>
        <v>Mock Audit For Safety Audit</v>
      </c>
    </row>
    <row r="1485" spans="3:10" s="816" customFormat="1" ht="15" hidden="1" customHeight="1" x14ac:dyDescent="0.35">
      <c r="C1485" s="818" t="s">
        <v>2275</v>
      </c>
      <c r="D1485" s="238">
        <v>44403</v>
      </c>
      <c r="E1485" s="819" t="s">
        <v>773</v>
      </c>
      <c r="F1485" s="688">
        <v>44403</v>
      </c>
      <c r="G1485" s="688">
        <f>Table1[[#This Row],[Start Date]]</f>
        <v>44403</v>
      </c>
      <c r="H1485" s="688" t="s">
        <v>340</v>
      </c>
      <c r="I1485" s="820"/>
      <c r="J1485" s="821" t="str">
        <f>Table1[[#This Row],[Routine Activities (PM/ PMCAL, CM, Genba, Isotanker, Material Readiness, Sampling)]]</f>
        <v>Troubleshoot catalyst filtration pump trip</v>
      </c>
    </row>
    <row r="1486" spans="3:10" s="816" customFormat="1" ht="15" hidden="1" customHeight="1" x14ac:dyDescent="0.35">
      <c r="C1486" s="818" t="s">
        <v>2276</v>
      </c>
      <c r="D1486" s="238">
        <v>44417</v>
      </c>
      <c r="E1486" s="819" t="s">
        <v>31</v>
      </c>
      <c r="F1486" s="688">
        <v>44419</v>
      </c>
      <c r="G1486" s="688">
        <f>Table1[[#This Row],[Start Date]]</f>
        <v>44419</v>
      </c>
      <c r="H1486" s="688" t="s">
        <v>340</v>
      </c>
      <c r="I1486" s="820"/>
      <c r="J1486" s="821" t="str">
        <f>Table1[[#This Row],[Routine Activities (PM/ PMCAL, CM, Genba, Isotanker, Material Readiness, Sampling)]]</f>
        <v>Q3 DeltaV patching (all DeltaV HMI down, sequentially)</v>
      </c>
    </row>
    <row r="1487" spans="3:10" s="816" customFormat="1" ht="15" hidden="1" customHeight="1" x14ac:dyDescent="0.35">
      <c r="C1487" s="818" t="s">
        <v>2277</v>
      </c>
      <c r="D1487" s="238">
        <v>44431</v>
      </c>
      <c r="E1487" s="819" t="s">
        <v>979</v>
      </c>
      <c r="F1487" s="688">
        <v>44435</v>
      </c>
      <c r="G1487" s="688">
        <f>Table1[[#This Row],[Start Date]]</f>
        <v>44435</v>
      </c>
      <c r="H1487" s="688" t="s">
        <v>340</v>
      </c>
      <c r="I1487" s="820"/>
      <c r="J1487" s="821" t="str">
        <f>Table1[[#This Row],[Routine Activities (PM/ PMCAL, CM, Genba, Isotanker, Material Readiness, Sampling)]]</f>
        <v>Testing 54311-XV-154 and  54312-XV-154 limit switch configurations (not matching)</v>
      </c>
    </row>
    <row r="1488" spans="3:10" s="816" customFormat="1" ht="15" hidden="1" customHeight="1" x14ac:dyDescent="0.35">
      <c r="C1488" s="818" t="s">
        <v>2278</v>
      </c>
      <c r="D1488" s="238">
        <v>44431</v>
      </c>
      <c r="E1488" s="819" t="s">
        <v>2279</v>
      </c>
      <c r="F1488" s="688">
        <v>44435</v>
      </c>
      <c r="G1488" s="688">
        <f>Table1[[#This Row],[Start Date]]</f>
        <v>44435</v>
      </c>
      <c r="H1488" s="688" t="s">
        <v>340</v>
      </c>
      <c r="I1488" s="820"/>
      <c r="J1488" s="821" t="str">
        <f>Table1[[#This Row],[Routine Activities (PM/ PMCAL, CM, Genba, Isotanker, Material Readiness, Sampling)]]</f>
        <v>Restart of switch modules (wifi connection within ASM2 plant) - 3pm 27 Aug 21</v>
      </c>
    </row>
    <row r="1489" spans="3:10" s="816" customFormat="1" ht="15" hidden="1" customHeight="1" x14ac:dyDescent="0.35">
      <c r="C1489" s="818" t="s">
        <v>2280</v>
      </c>
      <c r="D1489" s="238">
        <v>44438</v>
      </c>
      <c r="E1489" s="819" t="s">
        <v>979</v>
      </c>
      <c r="F1489" s="688">
        <v>44438</v>
      </c>
      <c r="G1489" s="688">
        <f>Table1[[#This Row],[Start Date]]</f>
        <v>44438</v>
      </c>
      <c r="H1489" s="688" t="s">
        <v>340</v>
      </c>
      <c r="I1489" s="820"/>
      <c r="J1489" s="821" t="str">
        <f>Table1[[#This Row],[Routine Activities (PM/ PMCAL, CM, Genba, Isotanker, Material Readiness, Sampling)]]</f>
        <v>Install sight glass on mother liquor sump tank</v>
      </c>
    </row>
    <row r="1490" spans="3:10" s="816" customFormat="1" ht="15" hidden="1" customHeight="1" x14ac:dyDescent="0.35">
      <c r="C1490" s="818" t="s">
        <v>2281</v>
      </c>
      <c r="D1490" s="238">
        <v>44487</v>
      </c>
      <c r="E1490" s="819" t="s">
        <v>1544</v>
      </c>
      <c r="F1490" s="688">
        <v>44484</v>
      </c>
      <c r="G1490" s="688">
        <f>Table1[[#This Row],[Start Date]]</f>
        <v>44484</v>
      </c>
      <c r="H1490" s="688" t="s">
        <v>340</v>
      </c>
      <c r="I1490" s="820"/>
      <c r="J1490" s="821" t="str">
        <f>Table1[[#This Row],[Routine Activities (PM/ PMCAL, CM, Genba, Isotanker, Material Readiness, Sampling)]]</f>
        <v>FD sight glass inspection</v>
      </c>
    </row>
    <row r="1491" spans="3:10" s="816" customFormat="1" ht="15" hidden="1" customHeight="1" x14ac:dyDescent="0.35">
      <c r="C1491" s="818" t="s">
        <v>2282</v>
      </c>
      <c r="D1491" s="238">
        <v>44487</v>
      </c>
      <c r="E1491" s="819" t="s">
        <v>1544</v>
      </c>
      <c r="F1491" s="688">
        <v>44487</v>
      </c>
      <c r="G1491" s="688">
        <f>Table1[[#This Row],[Start Date]]</f>
        <v>44487</v>
      </c>
      <c r="H1491" s="688" t="s">
        <v>340</v>
      </c>
      <c r="I1491" s="820"/>
      <c r="J1491" s="821" t="str">
        <f>Table1[[#This Row],[Routine Activities (PM/ PMCAL, CM, Genba, Isotanker, Material Readiness, Sampling)]]</f>
        <v>Limit switch test of 54311-XV-154 &amp; 54312-XV-154</v>
      </c>
    </row>
    <row r="1492" spans="3:10" s="816" customFormat="1" ht="15" hidden="1" customHeight="1" x14ac:dyDescent="0.35">
      <c r="C1492" s="818" t="s">
        <v>2283</v>
      </c>
      <c r="D1492" s="238">
        <v>44480</v>
      </c>
      <c r="E1492" s="819" t="s">
        <v>979</v>
      </c>
      <c r="F1492" s="688">
        <v>44480</v>
      </c>
      <c r="G1492" s="688">
        <f>Table1[[#This Row],[Start Date]]</f>
        <v>44480</v>
      </c>
      <c r="H1492" s="688" t="s">
        <v>340</v>
      </c>
      <c r="I1492" s="820"/>
      <c r="J1492" s="821" t="str">
        <f>Table1[[#This Row],[Routine Activities (PM/ PMCAL, CM, Genba, Isotanker, Material Readiness, Sampling)]]</f>
        <v>Replacement of XV-112</v>
      </c>
    </row>
    <row r="1493" spans="3:10" s="816" customFormat="1" ht="15" hidden="1" customHeight="1" x14ac:dyDescent="0.35">
      <c r="C1493" s="818" t="s">
        <v>2284</v>
      </c>
      <c r="D1493" s="238">
        <v>44494</v>
      </c>
      <c r="E1493" s="819" t="s">
        <v>368</v>
      </c>
      <c r="F1493" s="688">
        <v>44494</v>
      </c>
      <c r="G1493" s="688">
        <f>Table1[[#This Row],[Start Date]]</f>
        <v>44494</v>
      </c>
      <c r="H1493" s="688" t="s">
        <v>340</v>
      </c>
      <c r="I1493" s="820"/>
      <c r="J1493" s="821" t="str">
        <f>Table1[[#This Row],[Routine Activities (PM/ PMCAL, CM, Genba, Isotanker, Material Readiness, Sampling)]]</f>
        <v>Step C Hypercare: Pre-campaign readiness</v>
      </c>
    </row>
    <row r="1494" spans="3:10" s="816" customFormat="1" ht="15" hidden="1" customHeight="1" x14ac:dyDescent="0.35">
      <c r="C1494" s="818" t="s">
        <v>2285</v>
      </c>
      <c r="D1494" s="238">
        <v>44494</v>
      </c>
      <c r="E1494" s="819" t="s">
        <v>1953</v>
      </c>
      <c r="F1494" s="688">
        <v>44494</v>
      </c>
      <c r="G1494" s="688">
        <f>Table1[[#This Row],[Start Date]]</f>
        <v>44494</v>
      </c>
      <c r="H1494" s="688" t="s">
        <v>340</v>
      </c>
      <c r="I1494" s="820"/>
      <c r="J1494" s="821" t="str">
        <f>Table1[[#This Row],[Routine Activities (PM/ PMCAL, CM, Genba, Isotanker, Material Readiness, Sampling)]]</f>
        <v>PSM Audit</v>
      </c>
    </row>
    <row r="1495" spans="3:10" s="816" customFormat="1" ht="15" hidden="1" customHeight="1" x14ac:dyDescent="0.35">
      <c r="C1495" s="818" t="s">
        <v>2286</v>
      </c>
      <c r="D1495" s="238">
        <v>44508</v>
      </c>
      <c r="E1495" s="819" t="s">
        <v>773</v>
      </c>
      <c r="F1495" s="688">
        <v>44512</v>
      </c>
      <c r="G1495" s="688">
        <f>Table1[[#This Row],[Start Date]]</f>
        <v>44512</v>
      </c>
      <c r="H1495" s="688" t="s">
        <v>340</v>
      </c>
      <c r="I1495" s="820"/>
      <c r="J1495" s="821" t="str">
        <f>Table1[[#This Row],[Routine Activities (PM/ PMCAL, CM, Genba, Isotanker, Material Readiness, Sampling)]]</f>
        <v xml:space="preserve">Scubber pump rectification </v>
      </c>
    </row>
    <row r="1496" spans="3:10" s="816" customFormat="1" ht="15" hidden="1" customHeight="1" x14ac:dyDescent="0.35">
      <c r="C1496" s="818" t="s">
        <v>2287</v>
      </c>
      <c r="D1496" s="238">
        <v>44494</v>
      </c>
      <c r="E1496" s="819" t="s">
        <v>368</v>
      </c>
      <c r="F1496" s="688">
        <v>44529</v>
      </c>
      <c r="G1496" s="688">
        <f>Table1[[#This Row],[Start Date]]</f>
        <v>44529</v>
      </c>
      <c r="H1496" s="688" t="s">
        <v>340</v>
      </c>
      <c r="I1496" s="820"/>
      <c r="J1496" s="821" t="str">
        <f>Table1[[#This Row],[Routine Activities (PM/ PMCAL, CM, Genba, Isotanker, Material Readiness, Sampling)]]</f>
        <v>Resampling of PR-024</v>
      </c>
    </row>
    <row r="1497" spans="3:10" s="816" customFormat="1" ht="15" hidden="1" customHeight="1" x14ac:dyDescent="0.35">
      <c r="C1497" s="818" t="s">
        <v>2288</v>
      </c>
      <c r="D1497" s="238">
        <v>44508</v>
      </c>
      <c r="E1497" s="819" t="s">
        <v>1598</v>
      </c>
      <c r="F1497" s="688">
        <v>44513</v>
      </c>
      <c r="G1497" s="688">
        <f>Table1[[#This Row],[Start Date]]</f>
        <v>44513</v>
      </c>
      <c r="H1497" s="688" t="s">
        <v>340</v>
      </c>
      <c r="I1497" s="820"/>
      <c r="J1497" s="821" t="str">
        <f>Table1[[#This Row],[Routine Activities (PM/ PMCAL, CM, Genba, Isotanker, Material Readiness, Sampling)]]</f>
        <v>Emergency batt pack replacement</v>
      </c>
    </row>
    <row r="1498" spans="3:10" s="816" customFormat="1" ht="15" hidden="1" customHeight="1" x14ac:dyDescent="0.35">
      <c r="C1498" s="818" t="s">
        <v>2289</v>
      </c>
      <c r="D1498" s="238">
        <v>44508</v>
      </c>
      <c r="E1498" s="819" t="s">
        <v>418</v>
      </c>
      <c r="F1498" s="688">
        <v>44509</v>
      </c>
      <c r="G1498" s="688">
        <f>Table1[[#This Row],[Start Date]]</f>
        <v>44509</v>
      </c>
      <c r="H1498" s="819" t="s">
        <v>340</v>
      </c>
      <c r="I1498" s="819"/>
      <c r="J1498" s="819" t="str">
        <f>Table1[[#This Row],[Routine Activities (PM/ PMCAL, CM, Genba, Isotanker, Material Readiness, Sampling)]]</f>
        <v>Resampling for grace material</v>
      </c>
    </row>
    <row r="1499" spans="3:10" s="816" customFormat="1" ht="54.65" hidden="1" customHeight="1" x14ac:dyDescent="0.35">
      <c r="C1499" s="620" t="s">
        <v>2290</v>
      </c>
      <c r="D1499" s="827">
        <v>44515</v>
      </c>
      <c r="E1499" s="122" t="s">
        <v>398</v>
      </c>
      <c r="F1499" s="251">
        <v>44521</v>
      </c>
      <c r="G1499" s="251">
        <f>Table1[[#This Row],[Start Date]]</f>
        <v>44521</v>
      </c>
      <c r="H1499" s="251" t="s">
        <v>340</v>
      </c>
      <c r="I1499" s="621"/>
      <c r="J1499" s="85" t="str">
        <f>Table1[[#This Row],[Routine Activities (PM/ PMCAL, CM, Genba, Isotanker, Material Readiness, Sampling)]]</f>
        <v>CCTV replacement upgrade (dispensing &amp; hydrogenator room) - need Mfg staff to sign hot work permit on Sunday 21 Nov. Wilson to provide Mfg resource and cordinate with F&amp;E rep (Ramon), Safe method form needed</v>
      </c>
    </row>
    <row r="1500" spans="3:10" s="816" customFormat="1" ht="28.4" hidden="1" customHeight="1" x14ac:dyDescent="0.35">
      <c r="C1500" s="627" t="s">
        <v>2291</v>
      </c>
      <c r="D1500" s="827">
        <v>44550</v>
      </c>
      <c r="E1500" s="122" t="s">
        <v>2228</v>
      </c>
      <c r="F1500" s="251">
        <v>44551</v>
      </c>
      <c r="G1500" s="251">
        <f>Table1[[#This Row],[Start Date]]</f>
        <v>44551</v>
      </c>
      <c r="H1500" s="251"/>
      <c r="I1500" s="621"/>
      <c r="J1500" s="85" t="str">
        <f>Table1[[#This Row],[Routine Activities (PM/ PMCAL, CM, Genba, Isotanker, Material Readiness, Sampling)]]</f>
        <v>Confined space rescue drill</v>
      </c>
    </row>
    <row r="1501" spans="3:10" s="816" customFormat="1" ht="28.4" hidden="1" customHeight="1" x14ac:dyDescent="0.35">
      <c r="C1501" s="619" t="s">
        <v>2292</v>
      </c>
      <c r="D1501" s="827">
        <v>44550</v>
      </c>
      <c r="E1501" s="122" t="s">
        <v>2293</v>
      </c>
      <c r="F1501" s="251">
        <v>44548</v>
      </c>
      <c r="G1501" s="251">
        <f>Table1[[#This Row],[Start Date]]</f>
        <v>44548</v>
      </c>
      <c r="H1501" s="251"/>
      <c r="I1501" s="621"/>
      <c r="J1501" s="85" t="str">
        <f>Table1[[#This Row],[Routine Activities (PM/ PMCAL, CM, Genba, Isotanker, Material Readiness, Sampling)]]</f>
        <v>PM from Fire Tech (Testing of fire alarm panel)</v>
      </c>
    </row>
    <row r="1502" spans="3:10" s="816" customFormat="1" ht="28.4" hidden="1" customHeight="1" x14ac:dyDescent="0.35">
      <c r="C1502" s="619" t="s">
        <v>2294</v>
      </c>
      <c r="D1502" s="827">
        <v>44557</v>
      </c>
      <c r="E1502" s="122"/>
      <c r="F1502" s="827">
        <v>44558</v>
      </c>
      <c r="G1502" s="251">
        <f>Table1[[#This Row],[Start Date]]</f>
        <v>44558</v>
      </c>
      <c r="H1502" s="251"/>
      <c r="I1502" s="621"/>
      <c r="J1502" s="85" t="str">
        <f>Table1[[#This Row],[Routine Activities (PM/ PMCAL, CM, Genba, Isotanker, Material Readiness, Sampling)]]</f>
        <v xml:space="preserve">PD to collect distillate waste </v>
      </c>
    </row>
    <row r="1503" spans="3:10" s="816" customFormat="1" ht="28.4" hidden="1" customHeight="1" x14ac:dyDescent="0.35">
      <c r="C1503" s="619" t="s">
        <v>2295</v>
      </c>
      <c r="D1503" s="827">
        <v>44578</v>
      </c>
      <c r="E1503" s="122"/>
      <c r="F1503" s="827">
        <v>44579</v>
      </c>
      <c r="G1503" s="251">
        <f>Table1[[#This Row],[Start Date]]</f>
        <v>44579</v>
      </c>
      <c r="H1503" s="251"/>
      <c r="I1503" s="621"/>
      <c r="J1503" s="85" t="str">
        <f>Table1[[#This Row],[Routine Activities (PM/ PMCAL, CM, Genba, Isotanker, Material Readiness, Sampling)]]</f>
        <v>Re-package from ADL to Patheon</v>
      </c>
    </row>
    <row r="1504" spans="3:10" s="816" customFormat="1" ht="28.4" hidden="1" customHeight="1" x14ac:dyDescent="0.35">
      <c r="C1504" s="619" t="s">
        <v>2296</v>
      </c>
      <c r="D1504" s="827">
        <v>44585</v>
      </c>
      <c r="E1504" s="122"/>
      <c r="F1504" s="827">
        <v>44587</v>
      </c>
      <c r="G1504" s="251">
        <f>Table1[[#This Row],[Start Date]]</f>
        <v>44587</v>
      </c>
      <c r="H1504" s="251"/>
      <c r="I1504" s="621"/>
      <c r="J1504" s="85" t="str">
        <f>Table1[[#This Row],[Routine Activities (PM/ PMCAL, CM, Genba, Isotanker, Material Readiness, Sampling)]]</f>
        <v>SCDF drill</v>
      </c>
    </row>
    <row r="1505" spans="3:10" s="816" customFormat="1" ht="28.4" hidden="1" customHeight="1" x14ac:dyDescent="0.35">
      <c r="C1505" s="619" t="s">
        <v>2297</v>
      </c>
      <c r="D1505" s="827">
        <v>44606</v>
      </c>
      <c r="E1505" s="122"/>
      <c r="F1505" s="251">
        <v>44603</v>
      </c>
      <c r="G1505" s="251">
        <f>Table1[[#This Row],[Start Date]]</f>
        <v>44603</v>
      </c>
      <c r="H1505" s="251"/>
      <c r="I1505" s="621"/>
      <c r="J1505" s="85" t="str">
        <f>Table1[[#This Row],[Routine Activities (PM/ PMCAL, CM, Genba, Isotanker, Material Readiness, Sampling)]]</f>
        <v>MFG to sample Step B DSI for retest</v>
      </c>
    </row>
    <row r="1506" spans="3:10" s="816" customFormat="1" ht="28.4" hidden="1" customHeight="1" x14ac:dyDescent="0.35">
      <c r="C1506" s="619" t="s">
        <v>439</v>
      </c>
      <c r="D1506" s="827">
        <v>44606</v>
      </c>
      <c r="E1506" s="122"/>
      <c r="F1506" s="251">
        <v>44610</v>
      </c>
      <c r="G1506" s="251">
        <f>Table1[[#This Row],[Start Date]]</f>
        <v>44610</v>
      </c>
      <c r="H1506" s="251"/>
      <c r="I1506" s="621"/>
      <c r="J1506" s="85" t="str">
        <f>Table1[[#This Row],[Routine Activities (PM/ PMCAL, CM, Genba, Isotanker, Material Readiness, Sampling)]]</f>
        <v>Seed packout</v>
      </c>
    </row>
    <row r="1507" spans="3:10" s="816" customFormat="1" ht="28.4" hidden="1" customHeight="1" x14ac:dyDescent="0.35">
      <c r="C1507" s="619" t="s">
        <v>2298</v>
      </c>
      <c r="D1507" s="827">
        <v>44606</v>
      </c>
      <c r="E1507" s="122"/>
      <c r="F1507" s="251">
        <v>44608</v>
      </c>
      <c r="G1507" s="251">
        <f>Table1[[#This Row],[Start Date]]</f>
        <v>44608</v>
      </c>
      <c r="H1507" s="251"/>
      <c r="I1507" s="621" t="s">
        <v>2299</v>
      </c>
      <c r="J1507" s="85" t="str">
        <f>Table1[[#This Row],[Routine Activities (PM/ PMCAL, CM, Genba, Isotanker, Material Readiness, Sampling)]]</f>
        <v>Hydrogen cylinder removal</v>
      </c>
    </row>
    <row r="1508" spans="3:10" s="816" customFormat="1" ht="28.4" hidden="1" customHeight="1" x14ac:dyDescent="0.35">
      <c r="C1508" s="619" t="s">
        <v>2300</v>
      </c>
      <c r="D1508" s="827">
        <v>44606</v>
      </c>
      <c r="E1508" s="122"/>
      <c r="F1508" s="251">
        <v>44608</v>
      </c>
      <c r="G1508" s="251">
        <f>Table1[[#This Row],[Start Date]]</f>
        <v>44608</v>
      </c>
      <c r="H1508" s="251"/>
      <c r="I1508" s="621"/>
      <c r="J1508" s="85" t="str">
        <f>Table1[[#This Row],[Routine Activities (PM/ PMCAL, CM, Genba, Isotanker, Material Readiness, Sampling)]]</f>
        <v>DAI for cleaning go ahead</v>
      </c>
    </row>
    <row r="1509" spans="3:10" s="816" customFormat="1" ht="17.25" hidden="1" customHeight="1" x14ac:dyDescent="0.35">
      <c r="C1509" s="619" t="s">
        <v>2301</v>
      </c>
      <c r="D1509" s="827">
        <v>44697</v>
      </c>
      <c r="E1509" s="122" t="s">
        <v>2302</v>
      </c>
      <c r="F1509" s="251">
        <v>44699</v>
      </c>
      <c r="G1509" s="251">
        <f>Table1[[#This Row],[Start Date]]</f>
        <v>44699</v>
      </c>
      <c r="H1509" s="251"/>
      <c r="I1509" s="621"/>
      <c r="J1509" s="85" t="str">
        <f>Table1[[#This Row],[Routine Activities (PM/ PMCAL, CM, Genba, Isotanker, Material Readiness, Sampling)]]</f>
        <v>Stability sampling (Grace, C-1)</v>
      </c>
    </row>
    <row r="1510" spans="3:10" s="816" customFormat="1" ht="17.25" hidden="1" customHeight="1" x14ac:dyDescent="0.35">
      <c r="C1510" s="932" t="s">
        <v>2303</v>
      </c>
      <c r="D1510" s="933">
        <v>44704</v>
      </c>
      <c r="E1510" s="934" t="s">
        <v>780</v>
      </c>
      <c r="F1510" s="256">
        <v>44705</v>
      </c>
      <c r="G1510" s="256">
        <f>Table1[[#This Row],[Start Date]]</f>
        <v>44705</v>
      </c>
      <c r="H1510" s="256"/>
      <c r="I1510" s="935"/>
      <c r="J1510" s="936" t="str">
        <f>Table1[[#This Row],[Routine Activities (PM/ PMCAL, CM, Genba, Isotanker, Material Readiness, Sampling)]]</f>
        <v xml:space="preserve">Q2 2022 IS Quarterly Patching </v>
      </c>
    </row>
    <row r="1511" spans="3:10" s="816" customFormat="1" ht="17.25" customHeight="1" x14ac:dyDescent="0.35">
      <c r="C1511" s="937" t="s">
        <v>2304</v>
      </c>
      <c r="D1511" s="256">
        <v>44711</v>
      </c>
      <c r="E1511" s="934"/>
      <c r="F1511" s="256">
        <v>44714</v>
      </c>
      <c r="G1511" s="256">
        <f>Table1[[#This Row],[Start Date]]</f>
        <v>44714</v>
      </c>
      <c r="H1511" s="256"/>
      <c r="I1511" s="935"/>
      <c r="J1511" s="936" t="str">
        <f>Table1[[#This Row],[Routine Activities (PM/ PMCAL, CM, Genba, Isotanker, Material Readiness, Sampling)]]</f>
        <v>IH monitoring (MEK)</v>
      </c>
    </row>
    <row r="1512" spans="3:10" s="816" customFormat="1" ht="17.25" customHeight="1" x14ac:dyDescent="0.35">
      <c r="C1512" s="937" t="s">
        <v>2305</v>
      </c>
      <c r="D1512" s="256">
        <v>44711</v>
      </c>
      <c r="E1512" s="934"/>
      <c r="F1512" s="256">
        <v>44712</v>
      </c>
      <c r="G1512" s="256">
        <f>Table1[[#This Row],[Start Date]]</f>
        <v>44712</v>
      </c>
      <c r="H1512" s="256"/>
      <c r="I1512" s="935"/>
      <c r="J1512" s="936" t="str">
        <f>Table1[[#This Row],[Routine Activities (PM/ PMCAL, CM, Genba, Isotanker, Material Readiness, Sampling)]]</f>
        <v>IH monitoring (DMF)</v>
      </c>
    </row>
    <row r="1513" spans="3:10" s="816" customFormat="1" ht="17.25" customHeight="1" x14ac:dyDescent="0.35">
      <c r="C1513" s="937" t="s">
        <v>2306</v>
      </c>
      <c r="D1513" s="256">
        <v>44711</v>
      </c>
      <c r="E1513" s="934"/>
      <c r="F1513" s="256">
        <v>44719</v>
      </c>
      <c r="G1513" s="256">
        <f>Table1[[#This Row],[Start Date]]</f>
        <v>44719</v>
      </c>
      <c r="H1513" s="256"/>
      <c r="I1513" s="935"/>
      <c r="J1513" s="936" t="str">
        <f>Table1[[#This Row],[Routine Activities (PM/ PMCAL, CM, Genba, Isotanker, Material Readiness, Sampling)]]</f>
        <v>IH monitoring  (Offloading)</v>
      </c>
    </row>
    <row r="1514" spans="3:10" s="816" customFormat="1" ht="17.25" customHeight="1" x14ac:dyDescent="0.35">
      <c r="C1514" s="937" t="s">
        <v>2307</v>
      </c>
      <c r="D1514" s="256">
        <v>44711</v>
      </c>
      <c r="E1514" s="934"/>
      <c r="F1514" s="256">
        <v>44715</v>
      </c>
      <c r="G1514" s="256">
        <f>Table1[[#This Row],[Start Date]]</f>
        <v>44715</v>
      </c>
      <c r="H1514" s="256"/>
      <c r="I1514" s="938" t="s">
        <v>2308</v>
      </c>
      <c r="J1514" s="936" t="str">
        <f>Table1[[#This Row],[Routine Activities (PM/ PMCAL, CM, Genba, Isotanker, Material Readiness, Sampling)]]</f>
        <v>TRNQ for PCO swab</v>
      </c>
    </row>
    <row r="1515" spans="3:10" s="816" customFormat="1" ht="18.75" customHeight="1" x14ac:dyDescent="0.35">
      <c r="C1515" s="932" t="s">
        <v>2309</v>
      </c>
      <c r="D1515" s="256"/>
      <c r="E1515" s="934"/>
      <c r="F1515" s="256"/>
      <c r="G1515" s="256">
        <f>Table1[[#This Row],[Start Date]]</f>
        <v>0</v>
      </c>
      <c r="H1515" s="256"/>
      <c r="I1515" s="935" t="s">
        <v>2310</v>
      </c>
      <c r="J1515" s="936" t="str">
        <f>Table1[[#This Row],[Routine Activities (PM/ PMCAL, CM, Genba, Isotanker, Material Readiness, Sampling)]]</f>
        <v>Placeholder: Waste tank inspection (tank internal inspection)</v>
      </c>
    </row>
    <row r="1516" spans="3:10" s="816" customFormat="1" ht="28.4" hidden="1" customHeight="1" x14ac:dyDescent="0.35">
      <c r="C1516" s="619" t="s">
        <v>2311</v>
      </c>
      <c r="D1516" s="256">
        <v>44711</v>
      </c>
      <c r="E1516" s="122"/>
      <c r="F1516" s="827">
        <v>44642</v>
      </c>
      <c r="G1516" s="251">
        <f>Table1[[#This Row],[Start Date]]</f>
        <v>44642</v>
      </c>
      <c r="H1516" s="251"/>
      <c r="I1516" s="621"/>
      <c r="J1516" s="85" t="str">
        <f>Table1[[#This Row],[Routine Activities (PM/ PMCAL, CM, Genba, Isotanker, Material Readiness, Sampling)]]</f>
        <v>Install of delay timer for Reactor 54311, 54312 and Filter Dryer 59811</v>
      </c>
    </row>
    <row r="1517" spans="3:10" s="816" customFormat="1" ht="28.4" hidden="1" customHeight="1" x14ac:dyDescent="0.35">
      <c r="C1517" s="619" t="s">
        <v>2312</v>
      </c>
      <c r="D1517" s="827">
        <v>44662</v>
      </c>
      <c r="E1517" s="122" t="s">
        <v>2218</v>
      </c>
      <c r="F1517" s="827">
        <v>44663</v>
      </c>
      <c r="G1517" s="251">
        <f>Table1[[#This Row],[Start Date]]</f>
        <v>44663</v>
      </c>
      <c r="H1517" s="251"/>
      <c r="I1517" s="621"/>
      <c r="J1517" s="85" t="str">
        <f>Table1[[#This Row],[Routine Activities (PM/ PMCAL, CM, Genba, Isotanker, Material Readiness, Sampling)]]</f>
        <v>PR-016 sampling (to confirm if sampling is on Tuesday 12 Apr 2022)</v>
      </c>
    </row>
    <row r="1518" spans="3:10" s="816" customFormat="1" ht="15" hidden="1" customHeight="1" x14ac:dyDescent="0.35">
      <c r="C1518" s="844" t="s">
        <v>2313</v>
      </c>
      <c r="D1518" s="845" t="s">
        <v>767</v>
      </c>
      <c r="E1518" s="846"/>
      <c r="F1518" s="847"/>
      <c r="G1518" s="847"/>
      <c r="H1518" s="847"/>
      <c r="I1518" s="848"/>
      <c r="J1518" s="849" t="str">
        <f>Table1[[#This Row],[Routine Activities (PM/ PMCAL, CM, Genba, Isotanker, Material Readiness, Sampling)]]</f>
        <v>Production Activities</v>
      </c>
    </row>
    <row r="1519" spans="3:10" s="816" customFormat="1" ht="15" hidden="1" customHeight="1" x14ac:dyDescent="0.35">
      <c r="C1519" s="823"/>
      <c r="D1519" s="699"/>
      <c r="E1519" s="824"/>
      <c r="F1519" s="700"/>
      <c r="G1519" s="700">
        <f>Table1[[#This Row],[Start Date]]</f>
        <v>0</v>
      </c>
      <c r="H1519" s="700"/>
      <c r="I1519" s="825"/>
      <c r="J1519" s="826">
        <f>Table1[[#This Row],[Routine Activities (PM/ PMCAL, CM, Genba, Isotanker, Material Readiness, Sampling)]]</f>
        <v>0</v>
      </c>
    </row>
    <row r="1520" spans="3:10" s="816" customFormat="1" ht="15" hidden="1" customHeight="1" x14ac:dyDescent="0.35">
      <c r="C1520" s="823" t="s">
        <v>2314</v>
      </c>
      <c r="D1520" s="699">
        <v>44249</v>
      </c>
      <c r="E1520" s="824"/>
      <c r="F1520" s="700">
        <v>44249</v>
      </c>
      <c r="G1520" s="700">
        <f>Table1[[#This Row],[Start Date]]</f>
        <v>44249</v>
      </c>
      <c r="H1520" s="700"/>
      <c r="I1520" s="825"/>
      <c r="J1520" s="826" t="str">
        <f>Table1[[#This Row],[Routine Activities (PM/ PMCAL, CM, Genba, Isotanker, Material Readiness, Sampling)]]</f>
        <v>A3-2: Recyst &amp; Drying</v>
      </c>
    </row>
    <row r="1521" spans="3:10" s="816" customFormat="1" ht="15" hidden="1" customHeight="1" x14ac:dyDescent="0.35">
      <c r="C1521" s="823" t="s">
        <v>2315</v>
      </c>
      <c r="D1521" s="699">
        <v>44249</v>
      </c>
      <c r="E1521" s="824"/>
      <c r="F1521" s="700">
        <v>44250</v>
      </c>
      <c r="G1521" s="700">
        <f>Table1[[#This Row],[Start Date]]</f>
        <v>44250</v>
      </c>
      <c r="H1521" s="700"/>
      <c r="I1521" s="825"/>
      <c r="J1521" s="826" t="str">
        <f>Table1[[#This Row],[Routine Activities (PM/ PMCAL, CM, Genba, Isotanker, Material Readiness, Sampling)]]</f>
        <v>A3-2: Drying &amp; packout</v>
      </c>
    </row>
    <row r="1522" spans="3:10" s="816" customFormat="1" ht="15" hidden="1" customHeight="1" x14ac:dyDescent="0.35">
      <c r="C1522" s="823" t="s">
        <v>2316</v>
      </c>
      <c r="D1522" s="699">
        <v>44249</v>
      </c>
      <c r="E1522" s="824"/>
      <c r="F1522" s="700">
        <v>44251</v>
      </c>
      <c r="G1522" s="700">
        <f>Table1[[#This Row],[Start Date]]</f>
        <v>44251</v>
      </c>
      <c r="H1522" s="700"/>
      <c r="I1522" s="825"/>
      <c r="J1522" s="826" t="str">
        <f>Table1[[#This Row],[Routine Activities (PM/ PMCAL, CM, Genba, Isotanker, Material Readiness, Sampling)]]</f>
        <v>Post A3 clean: Rx 1 (MeOH)</v>
      </c>
    </row>
    <row r="1523" spans="3:10" s="816" customFormat="1" ht="15" hidden="1" customHeight="1" x14ac:dyDescent="0.35">
      <c r="C1523" s="823" t="s">
        <v>2317</v>
      </c>
      <c r="D1523" s="699">
        <v>44249</v>
      </c>
      <c r="E1523" s="824"/>
      <c r="F1523" s="700">
        <v>44252</v>
      </c>
      <c r="G1523" s="700">
        <f>Table1[[#This Row],[Start Date]]</f>
        <v>44252</v>
      </c>
      <c r="H1523" s="700"/>
      <c r="I1523" s="825"/>
      <c r="J1523" s="826" t="str">
        <f>Table1[[#This Row],[Routine Activities (PM/ PMCAL, CM, Genba, Isotanker, Material Readiness, Sampling)]]</f>
        <v>Post A3 clean: Rx 1 (DCM) &amp; HYD</v>
      </c>
    </row>
    <row r="1524" spans="3:10" s="816" customFormat="1" ht="15" hidden="1" customHeight="1" x14ac:dyDescent="0.35">
      <c r="C1524" s="823" t="s">
        <v>2318</v>
      </c>
      <c r="D1524" s="699">
        <v>44249</v>
      </c>
      <c r="E1524" s="824"/>
      <c r="F1524" s="700">
        <v>44253</v>
      </c>
      <c r="G1524" s="700">
        <f>Table1[[#This Row],[Start Date]]</f>
        <v>44253</v>
      </c>
      <c r="H1524" s="700"/>
      <c r="I1524" s="825"/>
      <c r="J1524" s="826" t="str">
        <f>Table1[[#This Row],[Routine Activities (PM/ PMCAL, CM, Genba, Isotanker, Material Readiness, Sampling)]]</f>
        <v>Post A3 clean: Rx 2 (MeOH)</v>
      </c>
    </row>
    <row r="1525" spans="3:10" s="816" customFormat="1" ht="15" hidden="1" customHeight="1" x14ac:dyDescent="0.35">
      <c r="C1525" s="823" t="s">
        <v>2319</v>
      </c>
      <c r="D1525" s="699">
        <v>44263</v>
      </c>
      <c r="E1525" s="824"/>
      <c r="F1525" s="700">
        <v>44263</v>
      </c>
      <c r="G1525" s="700">
        <f>Table1[[#This Row],[Start Date]]</f>
        <v>44263</v>
      </c>
      <c r="H1525" s="700"/>
      <c r="I1525" s="825"/>
      <c r="J1525" s="826" t="str">
        <f>Table1[[#This Row],[Routine Activities (PM/ PMCAL, CM, Genba, Isotanker, Material Readiness, Sampling)]]</f>
        <v xml:space="preserve">Post B clean: R1 fill/ boil </v>
      </c>
    </row>
    <row r="1526" spans="3:10" s="816" customFormat="1" ht="15" hidden="1" customHeight="1" x14ac:dyDescent="0.35">
      <c r="C1526" s="823" t="s">
        <v>2320</v>
      </c>
      <c r="D1526" s="699">
        <v>44263</v>
      </c>
      <c r="E1526" s="824"/>
      <c r="F1526" s="700">
        <v>44264</v>
      </c>
      <c r="G1526" s="700">
        <f>Table1[[#This Row],[Start Date]]</f>
        <v>44264</v>
      </c>
      <c r="H1526" s="700"/>
      <c r="I1526" s="825"/>
      <c r="J1526" s="826" t="str">
        <f>Table1[[#This Row],[Routine Activities (PM/ PMCAL, CM, Genba, Isotanker, Material Readiness, Sampling)]]</f>
        <v>Post B clean: R1 fill/ boil, once through &amp; EVI</v>
      </c>
    </row>
    <row r="1527" spans="3:10" s="816" customFormat="1" ht="15" hidden="1" customHeight="1" x14ac:dyDescent="0.35">
      <c r="C1527" s="823" t="s">
        <v>2321</v>
      </c>
      <c r="D1527" s="699">
        <v>44263</v>
      </c>
      <c r="E1527" s="824"/>
      <c r="F1527" s="700">
        <v>44265</v>
      </c>
      <c r="G1527" s="700">
        <f>Table1[[#This Row],[Start Date]]</f>
        <v>44265</v>
      </c>
      <c r="H1527" s="700"/>
      <c r="I1527" s="825"/>
      <c r="J1527" s="826" t="str">
        <f>Table1[[#This Row],[Routine Activities (PM/ PMCAL, CM, Genba, Isotanker, Material Readiness, Sampling)]]</f>
        <v>Post B clean: R1 process solvent flush</v>
      </c>
    </row>
    <row r="1528" spans="3:10" s="816" customFormat="1" ht="15" hidden="1" customHeight="1" x14ac:dyDescent="0.35">
      <c r="C1528" s="823" t="s">
        <v>2322</v>
      </c>
      <c r="D1528" s="699">
        <v>44263</v>
      </c>
      <c r="E1528" s="824"/>
      <c r="F1528" s="700">
        <v>44266</v>
      </c>
      <c r="G1528" s="700">
        <f>Table1[[#This Row],[Start Date]]</f>
        <v>44266</v>
      </c>
      <c r="H1528" s="700"/>
      <c r="I1528" s="825"/>
      <c r="J1528" s="826" t="str">
        <f>Table1[[#This Row],[Routine Activities (PM/ PMCAL, CM, Genba, Isotanker, Material Readiness, Sampling)]]</f>
        <v>Post B clean: FD cleaning</v>
      </c>
    </row>
    <row r="1529" spans="3:10" s="816" customFormat="1" ht="15" hidden="1" customHeight="1" x14ac:dyDescent="0.35">
      <c r="C1529" s="823" t="s">
        <v>2323</v>
      </c>
      <c r="D1529" s="699">
        <v>44501</v>
      </c>
      <c r="E1529" s="824"/>
      <c r="F1529" s="700">
        <v>44501</v>
      </c>
      <c r="G1529" s="700">
        <f>Table1[[#This Row],[Start Date]]</f>
        <v>44501</v>
      </c>
      <c r="H1529" s="700"/>
      <c r="I1529" s="825"/>
      <c r="J1529" s="826" t="str">
        <f>Table1[[#This Row],[Routine Activities (PM/ PMCAL, CM, Genba, Isotanker, Material Readiness, Sampling)]]</f>
        <v>Step C: Reaction</v>
      </c>
    </row>
    <row r="1530" spans="3:10" s="816" customFormat="1" ht="15" hidden="1" customHeight="1" x14ac:dyDescent="0.35">
      <c r="C1530" s="823" t="s">
        <v>2324</v>
      </c>
      <c r="D1530" s="699">
        <v>44501</v>
      </c>
      <c r="E1530" s="824"/>
      <c r="F1530" s="700">
        <v>44501</v>
      </c>
      <c r="G1530" s="700">
        <f>Table1[[#This Row],[Start Date]]</f>
        <v>44501</v>
      </c>
      <c r="H1530" s="700"/>
      <c r="I1530" s="825"/>
      <c r="J1530" s="826" t="str">
        <f>Table1[[#This Row],[Routine Activities (PM/ PMCAL, CM, Genba, Isotanker, Material Readiness, Sampling)]]</f>
        <v>Step C: IPC</v>
      </c>
    </row>
    <row r="1531" spans="3:10" s="816" customFormat="1" ht="15" hidden="1" customHeight="1" x14ac:dyDescent="0.35">
      <c r="C1531" s="823" t="s">
        <v>2325</v>
      </c>
      <c r="D1531" s="699">
        <v>44501</v>
      </c>
      <c r="E1531" s="824"/>
      <c r="F1531" s="700">
        <v>44502</v>
      </c>
      <c r="G1531" s="700">
        <f>Table1[[#This Row],[Start Date]]</f>
        <v>44502</v>
      </c>
      <c r="H1531" s="700"/>
      <c r="I1531" s="825"/>
      <c r="J1531" s="826" t="str">
        <f>Table1[[#This Row],[Routine Activities (PM/ PMCAL, CM, Genba, Isotanker, Material Readiness, Sampling)]]</f>
        <v>Step C: Quench and wash</v>
      </c>
    </row>
    <row r="1532" spans="3:10" s="816" customFormat="1" ht="15" hidden="1" customHeight="1" x14ac:dyDescent="0.35">
      <c r="C1532" s="823" t="s">
        <v>2326</v>
      </c>
      <c r="D1532" s="699">
        <v>44501</v>
      </c>
      <c r="E1532" s="824"/>
      <c r="F1532" s="700">
        <v>44502</v>
      </c>
      <c r="G1532" s="700">
        <f>Table1[[#This Row],[Start Date]]</f>
        <v>44502</v>
      </c>
      <c r="H1532" s="700"/>
      <c r="I1532" s="825"/>
      <c r="J1532" s="826" t="str">
        <f>Table1[[#This Row],[Routine Activities (PM/ PMCAL, CM, Genba, Isotanker, Material Readiness, Sampling)]]</f>
        <v>Pure pocket cleaning</v>
      </c>
    </row>
    <row r="1533" spans="3:10" s="816" customFormat="1" ht="15" hidden="1" customHeight="1" x14ac:dyDescent="0.35">
      <c r="C1533" s="823" t="s">
        <v>2327</v>
      </c>
      <c r="D1533" s="699">
        <v>44501</v>
      </c>
      <c r="E1533" s="824"/>
      <c r="F1533" s="700">
        <v>44502</v>
      </c>
      <c r="G1533" s="700">
        <f>Table1[[#This Row],[Start Date]]</f>
        <v>44502</v>
      </c>
      <c r="H1533" s="700"/>
      <c r="I1533" s="825"/>
      <c r="J1533" s="826" t="str">
        <f>Table1[[#This Row],[Routine Activities (PM/ PMCAL, CM, Genba, Isotanker, Material Readiness, Sampling)]]</f>
        <v>Step C: Distillation</v>
      </c>
    </row>
    <row r="1534" spans="3:10" s="816" customFormat="1" ht="15" hidden="1" customHeight="1" x14ac:dyDescent="0.35">
      <c r="C1534" s="823" t="s">
        <v>2328</v>
      </c>
      <c r="D1534" s="699">
        <v>44501</v>
      </c>
      <c r="E1534" s="824"/>
      <c r="F1534" s="700">
        <v>44503</v>
      </c>
      <c r="G1534" s="700">
        <f>Table1[[#This Row],[Start Date]]</f>
        <v>44503</v>
      </c>
      <c r="H1534" s="700"/>
      <c r="I1534" s="825"/>
      <c r="J1534" s="826" t="str">
        <f>Table1[[#This Row],[Routine Activities (PM/ PMCAL, CM, Genba, Isotanker, Material Readiness, Sampling)]]</f>
        <v>Step C: Filt &amp; washing</v>
      </c>
    </row>
    <row r="1535" spans="3:10" s="816" customFormat="1" ht="15" hidden="1" customHeight="1" x14ac:dyDescent="0.35">
      <c r="C1535" s="823" t="s">
        <v>2329</v>
      </c>
      <c r="D1535" s="699">
        <v>44501</v>
      </c>
      <c r="E1535" s="824"/>
      <c r="F1535" s="700">
        <v>44504</v>
      </c>
      <c r="G1535" s="700">
        <f>Table1[[#This Row],[Start Date]]</f>
        <v>44504</v>
      </c>
      <c r="H1535" s="700"/>
      <c r="I1535" s="825"/>
      <c r="J1535" s="826" t="str">
        <f>Table1[[#This Row],[Routine Activities (PM/ PMCAL, CM, Genba, Isotanker, Material Readiness, Sampling)]]</f>
        <v>Step C: Drying</v>
      </c>
    </row>
    <row r="1536" spans="3:10" s="816" customFormat="1" ht="15" hidden="1" customHeight="1" x14ac:dyDescent="0.35">
      <c r="C1536" s="823" t="s">
        <v>2330</v>
      </c>
      <c r="D1536" s="699">
        <v>44375</v>
      </c>
      <c r="E1536" s="824"/>
      <c r="F1536" s="700">
        <v>44375</v>
      </c>
      <c r="G1536" s="700">
        <f>Table1[[#This Row],[Start Date]]</f>
        <v>44375</v>
      </c>
      <c r="H1536" s="700"/>
      <c r="I1536" s="825"/>
      <c r="J1536" s="826" t="str">
        <f>Table1[[#This Row],[Routine Activities (PM/ PMCAL, CM, Genba, Isotanker, Material Readiness, Sampling)]]</f>
        <v>A3-6: Rxn prep &amp; IPC1.0</v>
      </c>
    </row>
    <row r="1537" spans="3:10" s="816" customFormat="1" ht="15" hidden="1" customHeight="1" x14ac:dyDescent="0.35">
      <c r="C1537" s="823" t="s">
        <v>2331</v>
      </c>
      <c r="D1537" s="699">
        <v>44375</v>
      </c>
      <c r="E1537" s="824"/>
      <c r="F1537" s="700">
        <v>44376</v>
      </c>
      <c r="G1537" s="700">
        <f>Table1[[#This Row],[Start Date]]</f>
        <v>44376</v>
      </c>
      <c r="H1537" s="700"/>
      <c r="I1537" s="825"/>
      <c r="J1537" s="826" t="str">
        <f>Table1[[#This Row],[Routine Activities (PM/ PMCAL, CM, Genba, Isotanker, Material Readiness, Sampling)]]</f>
        <v>A3-6: Crys monitoring &amp; filtration</v>
      </c>
    </row>
    <row r="1538" spans="3:10" s="816" customFormat="1" ht="15" hidden="1" customHeight="1" x14ac:dyDescent="0.35">
      <c r="C1538" s="823" t="s">
        <v>2332</v>
      </c>
      <c r="D1538" s="699">
        <v>44375</v>
      </c>
      <c r="E1538" s="824"/>
      <c r="F1538" s="700">
        <v>44377</v>
      </c>
      <c r="G1538" s="700">
        <f>Table1[[#This Row],[Start Date]]</f>
        <v>44377</v>
      </c>
      <c r="H1538" s="700"/>
      <c r="I1538" s="825"/>
      <c r="J1538" s="826" t="str">
        <f>Table1[[#This Row],[Routine Activities (PM/ PMCAL, CM, Genba, Isotanker, Material Readiness, Sampling)]]</f>
        <v>A3-6: Drying, IPC2.0 &amp; packout</v>
      </c>
    </row>
    <row r="1539" spans="3:10" s="816" customFormat="1" ht="15" hidden="1" customHeight="1" x14ac:dyDescent="0.35">
      <c r="C1539" s="823" t="s">
        <v>2333</v>
      </c>
      <c r="D1539" s="699">
        <v>44375</v>
      </c>
      <c r="E1539" s="824"/>
      <c r="F1539" s="700">
        <v>44378</v>
      </c>
      <c r="G1539" s="700">
        <f>Table1[[#This Row],[Start Date]]</f>
        <v>44378</v>
      </c>
      <c r="H1539" s="700"/>
      <c r="I1539" s="825"/>
      <c r="J1539" s="826" t="str">
        <f>Table1[[#This Row],[Routine Activities (PM/ PMCAL, CM, Genba, Isotanker, Material Readiness, Sampling)]]</f>
        <v>A3-6: Recryst. &amp; filtration</v>
      </c>
    </row>
    <row r="1540" spans="3:10" s="816" customFormat="1" ht="15" hidden="1" customHeight="1" x14ac:dyDescent="0.35">
      <c r="C1540" s="823" t="s">
        <v>2334</v>
      </c>
      <c r="D1540" s="699">
        <v>44375</v>
      </c>
      <c r="E1540" s="824"/>
      <c r="F1540" s="700">
        <v>44379</v>
      </c>
      <c r="G1540" s="700">
        <f>Table1[[#This Row],[Start Date]]</f>
        <v>44379</v>
      </c>
      <c r="H1540" s="700"/>
      <c r="I1540" s="825"/>
      <c r="J1540" s="826" t="str">
        <f>Table1[[#This Row],[Routine Activities (PM/ PMCAL, CM, Genba, Isotanker, Material Readiness, Sampling)]]</f>
        <v>A3-6: Drying, IPC2.1 &amp; packout</v>
      </c>
    </row>
    <row r="1541" spans="3:10" s="816" customFormat="1" ht="15" hidden="1" customHeight="1" x14ac:dyDescent="0.35">
      <c r="C1541" s="823" t="s">
        <v>2335</v>
      </c>
      <c r="D1541" s="699">
        <v>44473</v>
      </c>
      <c r="E1541" s="824"/>
      <c r="F1541" s="700">
        <v>44473</v>
      </c>
      <c r="G1541" s="700">
        <f>Table1[[#This Row],[Start Date]]</f>
        <v>44473</v>
      </c>
      <c r="H1541" s="700"/>
      <c r="I1541" s="825"/>
      <c r="J1541" s="826" t="str">
        <f>Table1[[#This Row],[Routine Activities (PM/ PMCAL, CM, Genba, Isotanker, Material Readiness, Sampling)]]</f>
        <v>A2: Prep KHCO3 soln</v>
      </c>
    </row>
    <row r="1542" spans="3:10" s="816" customFormat="1" ht="15" hidden="1" customHeight="1" x14ac:dyDescent="0.35">
      <c r="C1542" s="823" t="s">
        <v>2336</v>
      </c>
      <c r="D1542" s="699">
        <v>44473</v>
      </c>
      <c r="E1542" s="824"/>
      <c r="F1542" s="700">
        <v>44473</v>
      </c>
      <c r="G1542" s="700">
        <f>Table1[[#This Row],[Start Date]]</f>
        <v>44473</v>
      </c>
      <c r="H1542" s="700"/>
      <c r="I1542" s="825"/>
      <c r="J1542" s="826" t="str">
        <f>Table1[[#This Row],[Routine Activities (PM/ PMCAL, CM, Genba, Isotanker, Material Readiness, Sampling)]]</f>
        <v>A2: Solid and reagent charge</v>
      </c>
    </row>
    <row r="1543" spans="3:10" s="816" customFormat="1" ht="15" hidden="1" customHeight="1" x14ac:dyDescent="0.35">
      <c r="C1543" s="823" t="s">
        <v>2337</v>
      </c>
      <c r="D1543" s="699">
        <v>44473</v>
      </c>
      <c r="E1543" s="824"/>
      <c r="F1543" s="700">
        <v>44473</v>
      </c>
      <c r="G1543" s="700">
        <f>Table1[[#This Row],[Start Date]]</f>
        <v>44473</v>
      </c>
      <c r="H1543" s="700"/>
      <c r="I1543" s="825"/>
      <c r="J1543" s="826" t="str">
        <f>Table1[[#This Row],[Routine Activities (PM/ PMCAL, CM, Genba, Isotanker, Material Readiness, Sampling)]]</f>
        <v>A2: KHCO3 phase cut</v>
      </c>
    </row>
    <row r="1544" spans="3:10" s="816" customFormat="1" ht="15" hidden="1" customHeight="1" x14ac:dyDescent="0.35">
      <c r="C1544" s="823" t="s">
        <v>2338</v>
      </c>
      <c r="D1544" s="699">
        <v>44473</v>
      </c>
      <c r="E1544" s="824"/>
      <c r="F1544" s="700">
        <v>44474</v>
      </c>
      <c r="G1544" s="700">
        <f>Table1[[#This Row],[Start Date]]</f>
        <v>44474</v>
      </c>
      <c r="H1544" s="700"/>
      <c r="I1544" s="825"/>
      <c r="J1544" s="826" t="str">
        <f>Table1[[#This Row],[Routine Activities (PM/ PMCAL, CM, Genba, Isotanker, Material Readiness, Sampling)]]</f>
        <v xml:space="preserve">A2: Dist. + IPC </v>
      </c>
    </row>
    <row r="1545" spans="3:10" s="816" customFormat="1" ht="15" hidden="1" customHeight="1" x14ac:dyDescent="0.35">
      <c r="C1545" s="823" t="s">
        <v>2339</v>
      </c>
      <c r="D1545" s="699">
        <v>44473</v>
      </c>
      <c r="E1545" s="824"/>
      <c r="F1545" s="700">
        <v>44474</v>
      </c>
      <c r="G1545" s="700">
        <f>Table1[[#This Row],[Start Date]]</f>
        <v>44474</v>
      </c>
      <c r="H1545" s="700"/>
      <c r="I1545" s="825"/>
      <c r="J1545" s="826" t="str">
        <f>Table1[[#This Row],[Routine Activities (PM/ PMCAL, CM, Genba, Isotanker, Material Readiness, Sampling)]]</f>
        <v>A2: Prep NaHCO3 &amp; NaHSO4 soln</v>
      </c>
    </row>
    <row r="1546" spans="3:10" s="816" customFormat="1" ht="15" hidden="1" customHeight="1" x14ac:dyDescent="0.35">
      <c r="C1546" s="823" t="s">
        <v>2340</v>
      </c>
      <c r="D1546" s="699">
        <v>44473</v>
      </c>
      <c r="E1546" s="824"/>
      <c r="F1546" s="700">
        <v>44474</v>
      </c>
      <c r="G1546" s="700">
        <f>Table1[[#This Row],[Start Date]]</f>
        <v>44474</v>
      </c>
      <c r="H1546" s="700"/>
      <c r="I1546" s="825"/>
      <c r="J1546" s="826" t="str">
        <f>Table1[[#This Row],[Routine Activities (PM/ PMCAL, CM, Genba, Isotanker, Material Readiness, Sampling)]]</f>
        <v>A2: 13 phase cuts</v>
      </c>
    </row>
    <row r="1547" spans="3:10" s="816" customFormat="1" ht="15" hidden="1" customHeight="1" x14ac:dyDescent="0.35">
      <c r="C1547" s="823" t="s">
        <v>2341</v>
      </c>
      <c r="D1547" s="699">
        <v>44473</v>
      </c>
      <c r="E1547" s="824"/>
      <c r="F1547" s="700">
        <v>44475</v>
      </c>
      <c r="G1547" s="700">
        <f>Table1[[#This Row],[Start Date]]</f>
        <v>44475</v>
      </c>
      <c r="H1547" s="700"/>
      <c r="I1547" s="825"/>
      <c r="J1547" s="826" t="str">
        <f>Table1[[#This Row],[Routine Activities (PM/ PMCAL, CM, Genba, Isotanker, Material Readiness, Sampling)]]</f>
        <v>A2: Distillation + cryz</v>
      </c>
    </row>
    <row r="1548" spans="3:10" s="816" customFormat="1" ht="15" hidden="1" customHeight="1" x14ac:dyDescent="0.35">
      <c r="C1548" s="823" t="s">
        <v>2342</v>
      </c>
      <c r="D1548" s="699">
        <v>44473</v>
      </c>
      <c r="E1548" s="824"/>
      <c r="F1548" s="700">
        <v>44476</v>
      </c>
      <c r="G1548" s="700">
        <f>Table1[[#This Row],[Start Date]]</f>
        <v>44476</v>
      </c>
      <c r="H1548" s="700"/>
      <c r="I1548" s="825"/>
      <c r="J1548" s="826" t="str">
        <f>Table1[[#This Row],[Routine Activities (PM/ PMCAL, CM, Genba, Isotanker, Material Readiness, Sampling)]]</f>
        <v>A2: Filtration</v>
      </c>
    </row>
    <row r="1549" spans="3:10" s="816" customFormat="1" ht="15" hidden="1" customHeight="1" x14ac:dyDescent="0.35">
      <c r="C1549" s="823" t="s">
        <v>2343</v>
      </c>
      <c r="D1549" s="699">
        <v>44473</v>
      </c>
      <c r="E1549" s="824"/>
      <c r="F1549" s="700">
        <v>44477</v>
      </c>
      <c r="G1549" s="700">
        <f>Table1[[#This Row],[Start Date]]</f>
        <v>44477</v>
      </c>
      <c r="H1549" s="700"/>
      <c r="I1549" s="825"/>
      <c r="J1549" s="826" t="str">
        <f>Table1[[#This Row],[Routine Activities (PM/ PMCAL, CM, Genba, Isotanker, Material Readiness, Sampling)]]</f>
        <v>A2: Drying + offload</v>
      </c>
    </row>
    <row r="1550" spans="3:10" s="816" customFormat="1" ht="15" hidden="1" customHeight="1" x14ac:dyDescent="0.35">
      <c r="C1550" s="823" t="s">
        <v>2344</v>
      </c>
      <c r="D1550" s="699">
        <v>44473</v>
      </c>
      <c r="E1550" s="824"/>
      <c r="F1550" s="700"/>
      <c r="G1550" s="700">
        <f>Table1[[#This Row],[Start Date]]</f>
        <v>0</v>
      </c>
      <c r="H1550" s="700"/>
      <c r="I1550" s="825"/>
      <c r="J1550" s="826" t="str">
        <f>Table1[[#This Row],[Routine Activities (PM/ PMCAL, CM, Genba, Isotanker, Material Readiness, Sampling)]]</f>
        <v>A2: Batch cleaning</v>
      </c>
    </row>
    <row r="1551" spans="3:10" s="816" customFormat="1" ht="15" hidden="1" customHeight="1" x14ac:dyDescent="0.35">
      <c r="C1551" s="823" t="s">
        <v>2345</v>
      </c>
      <c r="D1551" s="699"/>
      <c r="E1551" s="824"/>
      <c r="F1551" s="700">
        <v>44278</v>
      </c>
      <c r="G1551" s="700">
        <f>Table1[[#This Row],[Start Date]]</f>
        <v>44278</v>
      </c>
      <c r="H1551" s="700"/>
      <c r="I1551" s="825"/>
      <c r="J1551" s="826" t="str">
        <f>Table1[[#This Row],[Routine Activities (PM/ PMCAL, CM, Genba, Isotanker, Material Readiness, Sampling)]]</f>
        <v>Post C Clean: reagent line &amp; workup rcvr</v>
      </c>
    </row>
    <row r="1552" spans="3:10" s="816" customFormat="1" ht="15" hidden="1" customHeight="1" x14ac:dyDescent="0.35">
      <c r="C1552" s="823" t="s">
        <v>2346</v>
      </c>
      <c r="D1552" s="699"/>
      <c r="E1552" s="824"/>
      <c r="F1552" s="700">
        <v>44278</v>
      </c>
      <c r="G1552" s="700">
        <f>Table1[[#This Row],[Start Date]]</f>
        <v>44278</v>
      </c>
      <c r="H1552" s="700"/>
      <c r="I1552" s="825"/>
      <c r="J1552" s="826" t="str">
        <f>Table1[[#This Row],[Routine Activities (PM/ PMCAL, CM, Genba, Isotanker, Material Readiness, Sampling)]]</f>
        <v>Post C Clean: R2 fill/ boil</v>
      </c>
    </row>
    <row r="1553" spans="3:10" s="816" customFormat="1" ht="15" hidden="1" customHeight="1" x14ac:dyDescent="0.35">
      <c r="C1553" s="823" t="s">
        <v>2347</v>
      </c>
      <c r="D1553" s="699"/>
      <c r="E1553" s="824"/>
      <c r="F1553" s="700">
        <v>44279</v>
      </c>
      <c r="G1553" s="700">
        <f>Table1[[#This Row],[Start Date]]</f>
        <v>44279</v>
      </c>
      <c r="H1553" s="700"/>
      <c r="I1553" s="825"/>
      <c r="J1553" s="826" t="str">
        <f>Table1[[#This Row],[Routine Activities (PM/ PMCAL, CM, Genba, Isotanker, Material Readiness, Sampling)]]</f>
        <v>Post C Clean: R2 process solvent flush</v>
      </c>
    </row>
    <row r="1554" spans="3:10" s="816" customFormat="1" ht="15" hidden="1" customHeight="1" x14ac:dyDescent="0.35">
      <c r="C1554" s="823" t="s">
        <v>2348</v>
      </c>
      <c r="D1554" s="699"/>
      <c r="E1554" s="824"/>
      <c r="F1554" s="700"/>
      <c r="G1554" s="700"/>
      <c r="H1554" s="700"/>
      <c r="I1554" s="825"/>
      <c r="J1554" s="826" t="str">
        <f>Table1[[#This Row],[Routine Activities (PM/ PMCAL, CM, Genba, Isotanker, Material Readiness, Sampling)]]</f>
        <v>Post C Clean: FD clean</v>
      </c>
    </row>
    <row r="1555" spans="3:10" s="816" customFormat="1" ht="15" hidden="1" customHeight="1" x14ac:dyDescent="0.35">
      <c r="C1555" s="823" t="s">
        <v>2349</v>
      </c>
      <c r="D1555" s="699"/>
      <c r="E1555" s="824"/>
      <c r="F1555" s="700"/>
      <c r="G1555" s="700"/>
      <c r="H1555" s="700"/>
      <c r="I1555" s="825"/>
      <c r="J1555" s="826" t="str">
        <f>Table1[[#This Row],[Routine Activities (PM/ PMCAL, CM, Genba, Isotanker, Material Readiness, Sampling)]]</f>
        <v>Post C clean: Chem canister &amp; reagent</v>
      </c>
    </row>
    <row r="1556" spans="3:10" s="816" customFormat="1" ht="15" hidden="1" customHeight="1" x14ac:dyDescent="0.35">
      <c r="C1556" s="823" t="s">
        <v>2350</v>
      </c>
      <c r="D1556" s="699">
        <v>44508</v>
      </c>
      <c r="E1556" s="824"/>
      <c r="F1556" s="700">
        <v>44508</v>
      </c>
      <c r="G1556" s="700">
        <f>Table1[[#This Row],[Start Date]]</f>
        <v>44508</v>
      </c>
      <c r="H1556" s="700" t="s">
        <v>340</v>
      </c>
      <c r="I1556" s="825"/>
      <c r="J1556" s="826" t="str">
        <f>Table1[[#This Row],[Routine Activities (PM/ PMCAL, CM, Genba, Isotanker, Material Readiness, Sampling)]]</f>
        <v>Step C: Drying for C-2</v>
      </c>
    </row>
    <row r="1557" spans="3:10" s="816" customFormat="1" ht="15" hidden="1" customHeight="1" x14ac:dyDescent="0.35">
      <c r="C1557" s="823" t="s">
        <v>2351</v>
      </c>
      <c r="D1557" s="699">
        <v>44508</v>
      </c>
      <c r="E1557" s="824"/>
      <c r="F1557" s="700">
        <v>44509</v>
      </c>
      <c r="G1557" s="700">
        <f>Table1[[#This Row],[Start Date]]</f>
        <v>44509</v>
      </c>
      <c r="H1557" s="700" t="s">
        <v>340</v>
      </c>
      <c r="I1557" s="825"/>
      <c r="J1557" s="826" t="str">
        <f>Table1[[#This Row],[Routine Activities (PM/ PMCAL, CM, Genba, Isotanker, Material Readiness, Sampling)]]</f>
        <v>Step C: IPC2.0 for C-2</v>
      </c>
    </row>
    <row r="1558" spans="3:10" s="816" customFormat="1" ht="15" hidden="1" customHeight="1" x14ac:dyDescent="0.35">
      <c r="C1558" s="823" t="s">
        <v>2352</v>
      </c>
      <c r="D1558" s="699">
        <v>44508</v>
      </c>
      <c r="E1558" s="824"/>
      <c r="F1558" s="700">
        <v>44511</v>
      </c>
      <c r="G1558" s="700">
        <f>Table1[[#This Row],[Start Date]]</f>
        <v>44511</v>
      </c>
      <c r="H1558" s="700" t="s">
        <v>340</v>
      </c>
      <c r="I1558" s="825"/>
      <c r="J1558" s="826" t="str">
        <f>Table1[[#This Row],[Routine Activities (PM/ PMCAL, CM, Genba, Isotanker, Material Readiness, Sampling)]]</f>
        <v>Step C: Packout for C-2</v>
      </c>
    </row>
    <row r="1559" spans="3:10" s="816" customFormat="1" ht="15" hidden="1" customHeight="1" x14ac:dyDescent="0.35">
      <c r="C1559" s="823" t="s">
        <v>2353</v>
      </c>
      <c r="D1559" s="699"/>
      <c r="E1559" s="824"/>
      <c r="F1559" s="700">
        <v>44280</v>
      </c>
      <c r="G1559" s="700">
        <f>Table1[[#This Row],[Start Date]]</f>
        <v>44280</v>
      </c>
      <c r="H1559" s="700"/>
      <c r="I1559" s="825"/>
      <c r="J1559" s="826" t="str">
        <f>Table1[[#This Row],[Routine Activities (PM/ PMCAL, CM, Genba, Isotanker, Material Readiness, Sampling)]]</f>
        <v>Post C clean: R1 fill/boil</v>
      </c>
    </row>
    <row r="1560" spans="3:10" s="816" customFormat="1" ht="15" hidden="1" customHeight="1" x14ac:dyDescent="0.35">
      <c r="C1560" s="823" t="s">
        <v>2354</v>
      </c>
      <c r="D1560" s="699"/>
      <c r="E1560" s="824"/>
      <c r="F1560" s="700">
        <v>44281</v>
      </c>
      <c r="G1560" s="700">
        <f>Table1[[#This Row],[Start Date]]</f>
        <v>44281</v>
      </c>
      <c r="H1560" s="700"/>
      <c r="I1560" s="825"/>
      <c r="J1560" s="826" t="str">
        <f>Table1[[#This Row],[Routine Activities (PM/ PMCAL, CM, Genba, Isotanker, Material Readiness, Sampling)]]</f>
        <v>Post C clean: R1 process solvent flush</v>
      </c>
    </row>
    <row r="1561" spans="3:10" s="816" customFormat="1" ht="15" hidden="1" customHeight="1" x14ac:dyDescent="0.35">
      <c r="C1561" s="823" t="s">
        <v>2355</v>
      </c>
      <c r="D1561" s="699"/>
      <c r="E1561" s="824"/>
      <c r="F1561" s="700"/>
      <c r="G1561" s="700"/>
      <c r="H1561" s="700"/>
      <c r="I1561" s="825"/>
      <c r="J1561" s="826" t="str">
        <f>Table1[[#This Row],[Routine Activities (PM/ PMCAL, CM, Genba, Isotanker, Material Readiness, Sampling)]]</f>
        <v>Equip release</v>
      </c>
    </row>
    <row r="1562" spans="3:10" s="816" customFormat="1" ht="15" hidden="1" customHeight="1" x14ac:dyDescent="0.35">
      <c r="C1562" s="823" t="s">
        <v>2356</v>
      </c>
      <c r="D1562" s="699">
        <v>44431</v>
      </c>
      <c r="E1562" s="824"/>
      <c r="F1562" s="700">
        <v>44431</v>
      </c>
      <c r="G1562" s="700">
        <f>Table1[[#This Row],[Start Date]]</f>
        <v>44431</v>
      </c>
      <c r="H1562" s="700"/>
      <c r="I1562" s="825"/>
      <c r="J1562" s="826" t="str">
        <f>Table1[[#This Row],[Routine Activities (PM/ PMCAL, CM, Genba, Isotanker, Material Readiness, Sampling)]]</f>
        <v>A1-3: Rxn, IPC, crys.</v>
      </c>
    </row>
    <row r="1563" spans="3:10" s="816" customFormat="1" ht="15" hidden="1" customHeight="1" x14ac:dyDescent="0.35">
      <c r="C1563" s="823" t="s">
        <v>2357</v>
      </c>
      <c r="D1563" s="699">
        <v>44431</v>
      </c>
      <c r="E1563" s="824"/>
      <c r="F1563" s="700">
        <v>44432</v>
      </c>
      <c r="G1563" s="700">
        <f>Table1[[#This Row],[Start Date]]</f>
        <v>44432</v>
      </c>
      <c r="H1563" s="700"/>
      <c r="I1563" s="825"/>
      <c r="J1563" s="826" t="str">
        <f>Table1[[#This Row],[Routine Activities (PM/ PMCAL, CM, Genba, Isotanker, Material Readiness, Sampling)]]</f>
        <v>A1-3: Dry, offload, batch clean</v>
      </c>
    </row>
    <row r="1564" spans="3:10" s="816" customFormat="1" ht="15" hidden="1" customHeight="1" x14ac:dyDescent="0.35">
      <c r="C1564" s="823" t="s">
        <v>2358</v>
      </c>
      <c r="D1564" s="699">
        <v>44424</v>
      </c>
      <c r="E1564" s="824"/>
      <c r="F1564" s="700">
        <v>44426</v>
      </c>
      <c r="G1564" s="700">
        <f>Table1[[#This Row],[Start Date]]</f>
        <v>44426</v>
      </c>
      <c r="H1564" s="700"/>
      <c r="I1564" s="825"/>
      <c r="J1564" s="826" t="str">
        <f>Table1[[#This Row],[Routine Activities (PM/ PMCAL, CM, Genba, Isotanker, Material Readiness, Sampling)]]</f>
        <v>A1-2: Rxn, IPC, crys.</v>
      </c>
    </row>
    <row r="1565" spans="3:10" s="816" customFormat="1" ht="15" hidden="1" customHeight="1" x14ac:dyDescent="0.35">
      <c r="C1565" s="823" t="s">
        <v>2359</v>
      </c>
      <c r="D1565" s="699">
        <v>44424</v>
      </c>
      <c r="E1565" s="824"/>
      <c r="F1565" s="700">
        <v>44427</v>
      </c>
      <c r="G1565" s="700">
        <f>Table1[[#This Row],[Start Date]]</f>
        <v>44427</v>
      </c>
      <c r="H1565" s="700"/>
      <c r="I1565" s="825"/>
      <c r="J1565" s="826" t="str">
        <f>Table1[[#This Row],[Routine Activities (PM/ PMCAL, CM, Genba, Isotanker, Material Readiness, Sampling)]]</f>
        <v>A1-2: Dry, offload, batch clean</v>
      </c>
    </row>
    <row r="1566" spans="3:10" s="816" customFormat="1" ht="15" hidden="1" customHeight="1" x14ac:dyDescent="0.35">
      <c r="C1566" s="823" t="s">
        <v>2360</v>
      </c>
      <c r="D1566" s="699">
        <v>44256</v>
      </c>
      <c r="E1566" s="824"/>
      <c r="F1566" s="700">
        <v>44256</v>
      </c>
      <c r="G1566" s="700">
        <f>Table1[[#This Row],[Start Date]]</f>
        <v>44256</v>
      </c>
      <c r="H1566" s="700"/>
      <c r="I1566" s="825"/>
      <c r="J1566" s="826" t="str">
        <f>Table1[[#This Row],[Routine Activities (PM/ PMCAL, CM, Genba, Isotanker, Material Readiness, Sampling)]]</f>
        <v>Post A3 clean: Rx 2 (EtOAc) &amp; FD</v>
      </c>
    </row>
    <row r="1567" spans="3:10" s="816" customFormat="1" ht="15" hidden="1" customHeight="1" x14ac:dyDescent="0.35">
      <c r="C1567" s="823" t="s">
        <v>2361</v>
      </c>
      <c r="D1567" s="699">
        <v>44256</v>
      </c>
      <c r="E1567" s="824"/>
      <c r="F1567" s="700">
        <v>44257</v>
      </c>
      <c r="G1567" s="700">
        <f>Table1[[#This Row],[Start Date]]</f>
        <v>44257</v>
      </c>
      <c r="H1567" s="700"/>
      <c r="I1567" s="825"/>
      <c r="J1567" s="826" t="str">
        <f>Table1[[#This Row],[Routine Activities (PM/ PMCAL, CM, Genba, Isotanker, Material Readiness, Sampling)]]</f>
        <v xml:space="preserve">Post A3 clean: FD </v>
      </c>
    </row>
    <row r="1568" spans="3:10" s="816" customFormat="1" ht="15" hidden="1" customHeight="1" x14ac:dyDescent="0.35">
      <c r="C1568" s="823" t="s">
        <v>2362</v>
      </c>
      <c r="D1568" s="699">
        <v>44256</v>
      </c>
      <c r="E1568" s="824"/>
      <c r="F1568" s="700">
        <v>44258</v>
      </c>
      <c r="G1568" s="700">
        <f>Table1[[#This Row],[Start Date]]</f>
        <v>44258</v>
      </c>
      <c r="H1568" s="700"/>
      <c r="I1568" s="825"/>
      <c r="J1568" s="826" t="str">
        <f>Table1[[#This Row],[Routine Activities (PM/ PMCAL, CM, Genba, Isotanker, Material Readiness, Sampling)]]</f>
        <v>Sample &amp; equip release</v>
      </c>
    </row>
    <row r="1569" spans="3:10" s="816" customFormat="1" ht="15" hidden="1" customHeight="1" x14ac:dyDescent="0.35">
      <c r="C1569" s="823" t="s">
        <v>2363</v>
      </c>
      <c r="D1569" s="699">
        <v>44256</v>
      </c>
      <c r="E1569" s="824"/>
      <c r="F1569" s="700">
        <v>44259</v>
      </c>
      <c r="G1569" s="700">
        <f>Table1[[#This Row],[Start Date]]</f>
        <v>44259</v>
      </c>
      <c r="H1569" s="700"/>
      <c r="I1569" s="825"/>
      <c r="J1569" s="826" t="str">
        <f>Table1[[#This Row],[Routine Activities (PM/ PMCAL, CM, Genba, Isotanker, Material Readiness, Sampling)]]</f>
        <v>Step B: Rx to filtration</v>
      </c>
    </row>
    <row r="1570" spans="3:10" s="816" customFormat="1" ht="15" hidden="1" customHeight="1" x14ac:dyDescent="0.35">
      <c r="C1570" s="823" t="s">
        <v>2364</v>
      </c>
      <c r="D1570" s="699">
        <v>44256</v>
      </c>
      <c r="E1570" s="824"/>
      <c r="F1570" s="700">
        <v>44260</v>
      </c>
      <c r="G1570" s="700">
        <f>Table1[[#This Row],[Start Date]]</f>
        <v>44260</v>
      </c>
      <c r="H1570" s="700"/>
      <c r="I1570" s="825"/>
      <c r="J1570" s="826" t="str">
        <f>Table1[[#This Row],[Routine Activities (PM/ PMCAL, CM, Genba, Isotanker, Material Readiness, Sampling)]]</f>
        <v>Step B: Dry &amp; offload</v>
      </c>
    </row>
    <row r="1571" spans="3:10" s="816" customFormat="1" ht="15" hidden="1" customHeight="1" x14ac:dyDescent="0.35">
      <c r="C1571" s="823" t="s">
        <v>2365</v>
      </c>
      <c r="D1571" s="699">
        <v>44403</v>
      </c>
      <c r="E1571" s="824"/>
      <c r="F1571" s="700">
        <v>44403</v>
      </c>
      <c r="G1571" s="700">
        <f>Table1[[#This Row],[Start Date]]</f>
        <v>44403</v>
      </c>
      <c r="H1571" s="700"/>
      <c r="I1571" s="825"/>
      <c r="J1571" s="826" t="str">
        <f>Table1[[#This Row],[Routine Activities (PM/ PMCAL, CM, Genba, Isotanker, Material Readiness, Sampling)]]</f>
        <v>Post B clean: chemical canister cleaning</v>
      </c>
    </row>
    <row r="1572" spans="3:10" s="816" customFormat="1" ht="15" hidden="1" customHeight="1" x14ac:dyDescent="0.35">
      <c r="C1572" s="823" t="s">
        <v>2366</v>
      </c>
      <c r="D1572" s="699">
        <v>44403</v>
      </c>
      <c r="E1572" s="824"/>
      <c r="F1572" s="700">
        <v>44403</v>
      </c>
      <c r="G1572" s="700">
        <f>Table1[[#This Row],[Start Date]]</f>
        <v>44403</v>
      </c>
      <c r="H1572" s="700"/>
      <c r="I1572" s="825"/>
      <c r="J1572" s="826" t="str">
        <f>Table1[[#This Row],[Routine Activities (PM/ PMCAL, CM, Genba, Isotanker, Material Readiness, Sampling)]]</f>
        <v>Post B clean: Rx 1 once through + fill boil</v>
      </c>
    </row>
    <row r="1573" spans="3:10" s="816" customFormat="1" ht="15" hidden="1" customHeight="1" x14ac:dyDescent="0.35">
      <c r="C1573" s="823" t="s">
        <v>2367</v>
      </c>
      <c r="D1573" s="699">
        <v>44403</v>
      </c>
      <c r="E1573" s="824"/>
      <c r="F1573" s="700">
        <v>44404</v>
      </c>
      <c r="G1573" s="700">
        <f>Table1[[#This Row],[Start Date]]</f>
        <v>44404</v>
      </c>
      <c r="H1573" s="700"/>
      <c r="I1573" s="825"/>
      <c r="J1573" s="826" t="str">
        <f>Table1[[#This Row],[Routine Activities (PM/ PMCAL, CM, Genba, Isotanker, Material Readiness, Sampling)]]</f>
        <v>Post B clean: Rx 1 fill/boil, once through + EVI</v>
      </c>
    </row>
    <row r="1574" spans="3:10" s="816" customFormat="1" ht="15" hidden="1" customHeight="1" x14ac:dyDescent="0.35">
      <c r="C1574" s="823" t="s">
        <v>2368</v>
      </c>
      <c r="D1574" s="699">
        <v>44403</v>
      </c>
      <c r="E1574" s="824"/>
      <c r="F1574" s="700">
        <v>44405</v>
      </c>
      <c r="G1574" s="700">
        <f>Table1[[#This Row],[Start Date]]</f>
        <v>44405</v>
      </c>
      <c r="H1574" s="700"/>
      <c r="I1574" s="825"/>
      <c r="J1574" s="826" t="str">
        <f>Table1[[#This Row],[Routine Activities (PM/ PMCAL, CM, Genba, Isotanker, Material Readiness, Sampling)]]</f>
        <v>Post B clean: RD, process solvent flushing, RS</v>
      </c>
    </row>
    <row r="1575" spans="3:10" s="816" customFormat="1" ht="15" hidden="1" customHeight="1" x14ac:dyDescent="0.35">
      <c r="C1575" s="823" t="s">
        <v>2322</v>
      </c>
      <c r="D1575" s="699">
        <v>44403</v>
      </c>
      <c r="E1575" s="824"/>
      <c r="F1575" s="700">
        <v>44406</v>
      </c>
      <c r="G1575" s="700">
        <f>Table1[[#This Row],[Start Date]]</f>
        <v>44406</v>
      </c>
      <c r="H1575" s="700"/>
      <c r="I1575" s="825"/>
      <c r="J1575" s="826" t="str">
        <f>Table1[[#This Row],[Routine Activities (PM/ PMCAL, CM, Genba, Isotanker, Material Readiness, Sampling)]]</f>
        <v>Post B clean: FD cleaning</v>
      </c>
    </row>
    <row r="1576" spans="3:10" s="816" customFormat="1" ht="15" hidden="1" customHeight="1" x14ac:dyDescent="0.35">
      <c r="C1576" s="823" t="s">
        <v>2369</v>
      </c>
      <c r="D1576" s="699">
        <v>44396</v>
      </c>
      <c r="E1576" s="824"/>
      <c r="F1576" s="700">
        <v>44396</v>
      </c>
      <c r="G1576" s="700">
        <f>Table1[[#This Row],[Start Date]]</f>
        <v>44396</v>
      </c>
      <c r="H1576" s="700"/>
      <c r="I1576" s="825"/>
      <c r="J1576" s="826" t="str">
        <f>Table1[[#This Row],[Routine Activities (PM/ PMCAL, CM, Genba, Isotanker, Material Readiness, Sampling)]]</f>
        <v>B-3: Rxn prep till crystallization</v>
      </c>
    </row>
    <row r="1577" spans="3:10" s="816" customFormat="1" ht="15" hidden="1" customHeight="1" x14ac:dyDescent="0.35">
      <c r="C1577" s="823" t="s">
        <v>2370</v>
      </c>
      <c r="D1577" s="699">
        <v>44396</v>
      </c>
      <c r="E1577" s="824"/>
      <c r="F1577" s="700">
        <v>44397</v>
      </c>
      <c r="G1577" s="700">
        <f>Table1[[#This Row],[Start Date]]</f>
        <v>44397</v>
      </c>
      <c r="H1577" s="700"/>
      <c r="I1577" s="825"/>
      <c r="J1577" s="826" t="str">
        <f>Table1[[#This Row],[Routine Activities (PM/ PMCAL, CM, Genba, Isotanker, Material Readiness, Sampling)]]</f>
        <v>B-3: Drying and packout</v>
      </c>
    </row>
    <row r="1578" spans="3:10" s="816" customFormat="1" ht="15" hidden="1" customHeight="1" x14ac:dyDescent="0.35">
      <c r="C1578" s="823" t="s">
        <v>2371</v>
      </c>
      <c r="D1578" s="699">
        <v>44396</v>
      </c>
      <c r="E1578" s="824"/>
      <c r="F1578" s="700">
        <v>44398</v>
      </c>
      <c r="G1578" s="700">
        <f>Table1[[#This Row],[Start Date]]</f>
        <v>44398</v>
      </c>
      <c r="H1578" s="700"/>
      <c r="I1578" s="825"/>
      <c r="J1578" s="826" t="str">
        <f>Table1[[#This Row],[Routine Activities (PM/ PMCAL, CM, Genba, Isotanker, Material Readiness, Sampling)]]</f>
        <v>B-4: Rxn prep till crystallization</v>
      </c>
    </row>
    <row r="1579" spans="3:10" s="816" customFormat="1" ht="15" hidden="1" customHeight="1" x14ac:dyDescent="0.35">
      <c r="C1579" s="823" t="s">
        <v>2372</v>
      </c>
      <c r="D1579" s="699">
        <v>44396</v>
      </c>
      <c r="E1579" s="824"/>
      <c r="F1579" s="700">
        <v>44399</v>
      </c>
      <c r="G1579" s="700">
        <f>Table1[[#This Row],[Start Date]]</f>
        <v>44399</v>
      </c>
      <c r="H1579" s="700"/>
      <c r="I1579" s="825"/>
      <c r="J1579" s="826" t="str">
        <f>Table1[[#This Row],[Routine Activities (PM/ PMCAL, CM, Genba, Isotanker, Material Readiness, Sampling)]]</f>
        <v>B-4: Drying and packout</v>
      </c>
    </row>
    <row r="1580" spans="3:10" s="816" customFormat="1" ht="15" hidden="1" customHeight="1" x14ac:dyDescent="0.35">
      <c r="C1580" s="823" t="s">
        <v>2373</v>
      </c>
      <c r="D1580" s="699">
        <v>44515</v>
      </c>
      <c r="E1580" s="824"/>
      <c r="F1580" s="700">
        <f>'Y2021 C-3'!B7</f>
        <v>44515.875</v>
      </c>
      <c r="G1580" s="700">
        <v>44518</v>
      </c>
      <c r="H1580" s="700" t="s">
        <v>340</v>
      </c>
      <c r="I1580" s="825"/>
      <c r="J1580" s="826" t="e">
        <f>Table1[[#This Row],[Routine Activities (PM/ PMCAL, CM, Genba, Isotanker, Material Readiness, Sampling)]]</f>
        <v>#VALUE!</v>
      </c>
    </row>
    <row r="1581" spans="3:10" s="816" customFormat="1" ht="15" hidden="1" customHeight="1" x14ac:dyDescent="0.35">
      <c r="C1581" s="823" t="s">
        <v>2374</v>
      </c>
      <c r="D1581" s="699">
        <v>44515</v>
      </c>
      <c r="E1581" s="824"/>
      <c r="F1581" s="700">
        <f>'Y2021 C-3'!B8</f>
        <v>44523.500000000007</v>
      </c>
      <c r="G1581" s="700">
        <f>'Y2021 C-3'!A34</f>
        <v>44523.500000000007</v>
      </c>
      <c r="H1581" s="700" t="s">
        <v>340</v>
      </c>
      <c r="I1581" s="825"/>
      <c r="J1581" s="826" t="e">
        <f>Table1[[#This Row],[Routine Activities (PM/ PMCAL, CM, Genba, Isotanker, Material Readiness, Sampling)]]</f>
        <v>#VALUE!</v>
      </c>
    </row>
    <row r="1582" spans="3:10" s="816" customFormat="1" ht="15" hidden="1" customHeight="1" x14ac:dyDescent="0.35">
      <c r="C1582" s="823" t="s">
        <v>2375</v>
      </c>
      <c r="D1582" s="699">
        <v>44515</v>
      </c>
      <c r="E1582" s="824"/>
      <c r="F1582" s="700">
        <f>'Y2021 C-3'!A35</f>
        <v>44525.000000000007</v>
      </c>
      <c r="G1582" s="700">
        <f>'Y2021 C-3'!A35</f>
        <v>44525.000000000007</v>
      </c>
      <c r="H1582" s="700" t="s">
        <v>340</v>
      </c>
      <c r="I1582" s="825"/>
      <c r="J1582" s="826" t="e">
        <f>Table1[[#This Row],[Routine Activities (PM/ PMCAL, CM, Genba, Isotanker, Material Readiness, Sampling)]]</f>
        <v>#VALUE!</v>
      </c>
    </row>
    <row r="1583" spans="3:10" s="816" customFormat="1" ht="15" hidden="1" customHeight="1" x14ac:dyDescent="0.35">
      <c r="C1583" s="823" t="s">
        <v>2376</v>
      </c>
      <c r="D1583" s="699">
        <v>44536</v>
      </c>
      <c r="E1583" s="824"/>
      <c r="F1583" s="700">
        <f>'Y2021 C-4'!B7</f>
        <v>44536.875</v>
      </c>
      <c r="G1583" s="700">
        <f>F1583</f>
        <v>44536.875</v>
      </c>
      <c r="H1583" s="700" t="s">
        <v>340</v>
      </c>
      <c r="I1583" s="825"/>
      <c r="J1583" s="826" t="e">
        <f>Table1[[#This Row],[Routine Activities (PM/ PMCAL, CM, Genba, Isotanker, Material Readiness, Sampling)]]</f>
        <v>#VALUE!</v>
      </c>
    </row>
    <row r="1584" spans="3:10" s="816" customFormat="1" ht="15" hidden="1" customHeight="1" x14ac:dyDescent="0.35">
      <c r="C1584" s="823" t="s">
        <v>2377</v>
      </c>
      <c r="D1584" s="699">
        <v>44543</v>
      </c>
      <c r="E1584" s="824"/>
      <c r="F1584" s="700">
        <f>'Y2021 C-4'!B8</f>
        <v>44544.500000000007</v>
      </c>
      <c r="G1584" s="700">
        <f t="shared" ref="G1584:G1596" si="0">F1584</f>
        <v>44544.500000000007</v>
      </c>
      <c r="H1584" s="700" t="s">
        <v>340</v>
      </c>
      <c r="I1584" s="825"/>
      <c r="J1584" s="826" t="e">
        <f>Table1[[#This Row],[Routine Activities (PM/ PMCAL, CM, Genba, Isotanker, Material Readiness, Sampling)]]</f>
        <v>#VALUE!</v>
      </c>
    </row>
    <row r="1585" spans="3:10" s="816" customFormat="1" ht="15" hidden="1" customHeight="1" x14ac:dyDescent="0.35">
      <c r="C1585" s="823" t="s">
        <v>2378</v>
      </c>
      <c r="D1585" s="699">
        <v>44543</v>
      </c>
      <c r="E1585" s="824"/>
      <c r="F1585" s="700">
        <f>'Y2021 C-4'!A35</f>
        <v>44546.000000000007</v>
      </c>
      <c r="G1585" s="700">
        <f t="shared" si="0"/>
        <v>44546.000000000007</v>
      </c>
      <c r="H1585" s="700" t="s">
        <v>340</v>
      </c>
      <c r="I1585" s="825"/>
      <c r="J1585" s="826" t="e">
        <f>Table1[[#This Row],[Routine Activities (PM/ PMCAL, CM, Genba, Isotanker, Material Readiness, Sampling)]]</f>
        <v>#VALUE!</v>
      </c>
    </row>
    <row r="1586" spans="3:10" ht="15" hidden="1" customHeight="1" x14ac:dyDescent="0.35">
      <c r="C1586" s="855" t="s">
        <v>2379</v>
      </c>
      <c r="D1586" s="699">
        <v>44543</v>
      </c>
      <c r="E1586" s="855"/>
      <c r="F1586" s="700">
        <v>44546</v>
      </c>
      <c r="G1586" s="700">
        <f t="shared" si="0"/>
        <v>44546</v>
      </c>
      <c r="H1586" s="855" t="s">
        <v>340</v>
      </c>
      <c r="I1586" s="856"/>
      <c r="J1586" s="857"/>
    </row>
    <row r="1587" spans="3:10" ht="15" hidden="1" customHeight="1" x14ac:dyDescent="0.35">
      <c r="C1587" s="855" t="s">
        <v>2380</v>
      </c>
      <c r="D1587" s="699">
        <v>44550</v>
      </c>
      <c r="E1587" s="855"/>
      <c r="F1587" s="700">
        <v>44550</v>
      </c>
      <c r="G1587" s="700">
        <f t="shared" si="0"/>
        <v>44550</v>
      </c>
      <c r="H1587" s="855" t="s">
        <v>340</v>
      </c>
      <c r="I1587" s="856"/>
      <c r="J1587" s="857"/>
    </row>
    <row r="1588" spans="3:10" ht="15" hidden="1" customHeight="1" x14ac:dyDescent="0.35">
      <c r="C1588" s="858" t="s">
        <v>2381</v>
      </c>
      <c r="D1588" s="699">
        <v>44550</v>
      </c>
      <c r="E1588" s="855"/>
      <c r="F1588" s="700">
        <v>44551</v>
      </c>
      <c r="G1588" s="700">
        <f t="shared" si="0"/>
        <v>44551</v>
      </c>
      <c r="H1588" s="855" t="s">
        <v>966</v>
      </c>
      <c r="I1588" s="856"/>
      <c r="J1588" s="857"/>
    </row>
    <row r="1589" spans="3:10" ht="15" hidden="1" customHeight="1" x14ac:dyDescent="0.35">
      <c r="C1589" s="858" t="s">
        <v>2382</v>
      </c>
      <c r="D1589" s="699">
        <v>44550</v>
      </c>
      <c r="E1589" s="855"/>
      <c r="F1589" s="700">
        <v>44551</v>
      </c>
      <c r="G1589" s="700">
        <f t="shared" si="0"/>
        <v>44551</v>
      </c>
      <c r="H1589" s="855"/>
      <c r="I1589" s="856"/>
      <c r="J1589" s="857"/>
    </row>
    <row r="1590" spans="3:10" ht="15" hidden="1" customHeight="1" x14ac:dyDescent="0.35">
      <c r="C1590" s="858" t="s">
        <v>2383</v>
      </c>
      <c r="D1590" s="699">
        <v>44550</v>
      </c>
      <c r="E1590" s="855"/>
      <c r="F1590" s="700">
        <v>44551</v>
      </c>
      <c r="G1590" s="700">
        <f t="shared" si="0"/>
        <v>44551</v>
      </c>
      <c r="H1590" s="855" t="s">
        <v>966</v>
      </c>
      <c r="I1590" s="856"/>
      <c r="J1590" s="857"/>
    </row>
    <row r="1591" spans="3:10" ht="15" hidden="1" customHeight="1" x14ac:dyDescent="0.35">
      <c r="C1591" s="858" t="s">
        <v>546</v>
      </c>
      <c r="D1591" s="699">
        <v>44557</v>
      </c>
      <c r="E1591" s="855"/>
      <c r="F1591" s="700">
        <v>44558</v>
      </c>
      <c r="G1591" s="700">
        <f t="shared" si="0"/>
        <v>44558</v>
      </c>
      <c r="H1591" s="855" t="s">
        <v>340</v>
      </c>
      <c r="I1591" s="856"/>
      <c r="J1591" s="857"/>
    </row>
    <row r="1592" spans="3:10" ht="15" hidden="1" customHeight="1" x14ac:dyDescent="0.35">
      <c r="C1592" s="858" t="s">
        <v>553</v>
      </c>
      <c r="D1592" s="699">
        <v>44557</v>
      </c>
      <c r="E1592" s="855"/>
      <c r="F1592" s="700">
        <v>44560</v>
      </c>
      <c r="G1592" s="700">
        <f t="shared" si="0"/>
        <v>44560</v>
      </c>
      <c r="H1592" s="855" t="s">
        <v>340</v>
      </c>
      <c r="I1592" s="856"/>
      <c r="J1592" s="857"/>
    </row>
    <row r="1593" spans="3:10" ht="15" hidden="1" customHeight="1" x14ac:dyDescent="0.35">
      <c r="C1593" s="858" t="s">
        <v>2384</v>
      </c>
      <c r="D1593" s="699">
        <v>44557</v>
      </c>
      <c r="E1593" s="855"/>
      <c r="F1593" s="700">
        <v>44564</v>
      </c>
      <c r="G1593" s="700">
        <f t="shared" si="0"/>
        <v>44564</v>
      </c>
      <c r="H1593" s="855" t="s">
        <v>340</v>
      </c>
      <c r="I1593" s="856"/>
      <c r="J1593" s="857"/>
    </row>
    <row r="1594" spans="3:10" ht="15" hidden="1" customHeight="1" x14ac:dyDescent="0.35">
      <c r="C1594" s="858" t="s">
        <v>2385</v>
      </c>
      <c r="D1594" s="699">
        <v>44564</v>
      </c>
      <c r="E1594" s="855"/>
      <c r="F1594" s="700">
        <v>44565</v>
      </c>
      <c r="G1594" s="700">
        <f t="shared" si="0"/>
        <v>44565</v>
      </c>
      <c r="H1594" s="855" t="s">
        <v>340</v>
      </c>
      <c r="I1594" s="856"/>
      <c r="J1594" s="857"/>
    </row>
    <row r="1595" spans="3:10" ht="15" hidden="1" customHeight="1" x14ac:dyDescent="0.35">
      <c r="C1595" s="858" t="s">
        <v>2386</v>
      </c>
      <c r="D1595" s="699">
        <v>44564</v>
      </c>
      <c r="E1595" s="855"/>
      <c r="F1595" s="700">
        <v>44566</v>
      </c>
      <c r="G1595" s="700">
        <f t="shared" si="0"/>
        <v>44566</v>
      </c>
      <c r="H1595" s="855" t="s">
        <v>340</v>
      </c>
      <c r="I1595" s="856"/>
      <c r="J1595" s="857"/>
    </row>
    <row r="1596" spans="3:10" ht="15" hidden="1" customHeight="1" x14ac:dyDescent="0.35">
      <c r="C1596" s="858" t="s">
        <v>2387</v>
      </c>
      <c r="D1596" s="699">
        <v>44564</v>
      </c>
      <c r="E1596" s="855"/>
      <c r="F1596" s="700">
        <v>44568</v>
      </c>
      <c r="G1596" s="700">
        <f t="shared" si="0"/>
        <v>44568</v>
      </c>
      <c r="H1596" s="855" t="s">
        <v>340</v>
      </c>
      <c r="I1596" s="856"/>
      <c r="J1596" s="857"/>
    </row>
    <row r="1597" spans="3:10" ht="15" hidden="1" customHeight="1" x14ac:dyDescent="0.35">
      <c r="C1597" s="858" t="s">
        <v>2388</v>
      </c>
      <c r="D1597" s="699">
        <v>44571</v>
      </c>
      <c r="E1597" s="855"/>
      <c r="F1597" s="700">
        <v>44571</v>
      </c>
      <c r="G1597" s="700">
        <f t="shared" ref="G1597:G1599" si="1">F1597</f>
        <v>44571</v>
      </c>
      <c r="H1597" s="855" t="s">
        <v>340</v>
      </c>
      <c r="I1597" s="856"/>
      <c r="J1597" s="857"/>
    </row>
    <row r="1598" spans="3:10" ht="15" hidden="1" customHeight="1" x14ac:dyDescent="0.35">
      <c r="C1598" s="858" t="s">
        <v>2389</v>
      </c>
      <c r="D1598" s="699">
        <v>44571</v>
      </c>
      <c r="E1598" s="855"/>
      <c r="F1598" s="700">
        <v>44573</v>
      </c>
      <c r="G1598" s="700">
        <f t="shared" si="1"/>
        <v>44573</v>
      </c>
      <c r="H1598" s="855" t="s">
        <v>966</v>
      </c>
      <c r="I1598" s="856"/>
      <c r="J1598" s="857"/>
    </row>
    <row r="1599" spans="3:10" ht="15" hidden="1" customHeight="1" x14ac:dyDescent="0.35">
      <c r="C1599" s="858" t="s">
        <v>2390</v>
      </c>
      <c r="D1599" s="699">
        <v>44571</v>
      </c>
      <c r="E1599" s="855"/>
      <c r="F1599" s="700">
        <v>44575</v>
      </c>
      <c r="G1599" s="700">
        <f t="shared" si="1"/>
        <v>44575</v>
      </c>
      <c r="H1599" s="855"/>
      <c r="I1599" s="856"/>
      <c r="J1599" s="857"/>
    </row>
    <row r="1600" spans="3:10" ht="15" hidden="1" customHeight="1" x14ac:dyDescent="0.35">
      <c r="C1600" s="858" t="s">
        <v>2391</v>
      </c>
      <c r="D1600" s="699">
        <v>44571</v>
      </c>
      <c r="E1600" s="855"/>
      <c r="F1600" s="700">
        <v>44578</v>
      </c>
      <c r="G1600" s="700">
        <f t="shared" ref="G1600:G1605" si="2">F1600</f>
        <v>44578</v>
      </c>
      <c r="H1600" s="855"/>
      <c r="I1600" s="856"/>
      <c r="J1600" s="857"/>
    </row>
    <row r="1601" spans="3:10" ht="15" hidden="1" customHeight="1" x14ac:dyDescent="0.35">
      <c r="C1601" s="858" t="s">
        <v>2392</v>
      </c>
      <c r="D1601" s="699">
        <v>44571</v>
      </c>
      <c r="E1601" s="855"/>
      <c r="F1601" s="700">
        <v>44580</v>
      </c>
      <c r="G1601" s="700">
        <f t="shared" si="2"/>
        <v>44580</v>
      </c>
      <c r="H1601" s="855"/>
      <c r="I1601" s="856"/>
      <c r="J1601" s="857"/>
    </row>
    <row r="1602" spans="3:10" ht="15" hidden="1" customHeight="1" x14ac:dyDescent="0.35">
      <c r="C1602" s="858" t="s">
        <v>2393</v>
      </c>
      <c r="D1602" s="699">
        <v>44571</v>
      </c>
      <c r="E1602" s="855"/>
      <c r="F1602" s="700">
        <v>44582</v>
      </c>
      <c r="G1602" s="700">
        <f t="shared" si="2"/>
        <v>44582</v>
      </c>
      <c r="H1602" s="855"/>
      <c r="I1602" s="856"/>
      <c r="J1602" s="857"/>
    </row>
    <row r="1603" spans="3:10" ht="14.15" hidden="1" customHeight="1" x14ac:dyDescent="0.35">
      <c r="C1603" s="858" t="s">
        <v>2394</v>
      </c>
      <c r="D1603" s="861">
        <v>44599</v>
      </c>
      <c r="E1603" s="855"/>
      <c r="F1603" s="861">
        <v>44599</v>
      </c>
      <c r="G1603" s="700">
        <f t="shared" si="2"/>
        <v>44599</v>
      </c>
      <c r="H1603" s="855" t="s">
        <v>340</v>
      </c>
      <c r="I1603" s="856"/>
      <c r="J1603" s="857"/>
    </row>
    <row r="1604" spans="3:10" ht="15" hidden="1" customHeight="1" x14ac:dyDescent="0.35">
      <c r="C1604" s="858" t="s">
        <v>2395</v>
      </c>
      <c r="D1604" s="861">
        <v>44599</v>
      </c>
      <c r="E1604" s="855"/>
      <c r="F1604" s="861">
        <v>44601</v>
      </c>
      <c r="G1604" s="700">
        <f t="shared" si="2"/>
        <v>44601</v>
      </c>
      <c r="H1604" s="855" t="s">
        <v>340</v>
      </c>
      <c r="I1604" s="856"/>
      <c r="J1604" s="857"/>
    </row>
    <row r="1605" spans="3:10" ht="15" hidden="1" customHeight="1" x14ac:dyDescent="0.35">
      <c r="C1605" s="858" t="s">
        <v>2396</v>
      </c>
      <c r="D1605" s="866">
        <v>44599</v>
      </c>
      <c r="E1605" s="855"/>
      <c r="F1605" s="866">
        <v>44603</v>
      </c>
      <c r="G1605" s="700">
        <f t="shared" si="2"/>
        <v>44603</v>
      </c>
      <c r="H1605" s="855" t="s">
        <v>966</v>
      </c>
      <c r="I1605" s="856"/>
      <c r="J1605" s="857"/>
    </row>
    <row r="1606" spans="3:10" ht="15" hidden="1" customHeight="1" x14ac:dyDescent="0.35">
      <c r="C1606" s="858" t="s">
        <v>2397</v>
      </c>
      <c r="D1606" s="699">
        <v>44606</v>
      </c>
      <c r="E1606" s="855"/>
      <c r="F1606" s="699">
        <v>44607</v>
      </c>
      <c r="G1606" s="700">
        <f t="shared" ref="G1606:G1613" si="3">F1606</f>
        <v>44607</v>
      </c>
      <c r="H1606" s="855" t="s">
        <v>340</v>
      </c>
      <c r="I1606" s="856"/>
      <c r="J1606" s="857"/>
    </row>
    <row r="1607" spans="3:10" ht="15" hidden="1" customHeight="1" x14ac:dyDescent="0.35">
      <c r="C1607" s="858" t="s">
        <v>2398</v>
      </c>
      <c r="D1607" s="699">
        <v>44606</v>
      </c>
      <c r="E1607" s="855"/>
      <c r="F1607" s="699">
        <v>44609</v>
      </c>
      <c r="G1607" s="700">
        <f t="shared" si="3"/>
        <v>44609</v>
      </c>
      <c r="H1607" s="855" t="s">
        <v>340</v>
      </c>
      <c r="I1607" s="856"/>
      <c r="J1607" s="857"/>
    </row>
    <row r="1608" spans="3:10" ht="15" hidden="1" customHeight="1" x14ac:dyDescent="0.35">
      <c r="C1608" s="858" t="s">
        <v>2399</v>
      </c>
      <c r="D1608" s="699">
        <v>44606</v>
      </c>
      <c r="E1608" s="855"/>
      <c r="F1608" s="699">
        <v>44613</v>
      </c>
      <c r="G1608" s="700">
        <f t="shared" si="3"/>
        <v>44613</v>
      </c>
      <c r="H1608" s="855" t="s">
        <v>340</v>
      </c>
      <c r="I1608" s="856"/>
      <c r="J1608" s="857"/>
    </row>
    <row r="1609" spans="3:10" ht="15" hidden="1" customHeight="1" x14ac:dyDescent="0.35">
      <c r="C1609" s="867" t="s">
        <v>2400</v>
      </c>
      <c r="D1609" s="699">
        <v>44613</v>
      </c>
      <c r="E1609" s="855"/>
      <c r="F1609" s="868">
        <v>44614.291666666679</v>
      </c>
      <c r="G1609" s="700">
        <f t="shared" si="3"/>
        <v>44614.291666666679</v>
      </c>
      <c r="H1609" s="855"/>
      <c r="I1609" s="856"/>
      <c r="J1609" s="857"/>
    </row>
    <row r="1610" spans="3:10" ht="15" hidden="1" customHeight="1" x14ac:dyDescent="0.35">
      <c r="C1610" s="867" t="s">
        <v>2401</v>
      </c>
      <c r="D1610" s="699">
        <v>44613</v>
      </c>
      <c r="E1610" s="855"/>
      <c r="F1610" s="868">
        <v>44615.062500000007</v>
      </c>
      <c r="G1610" s="700">
        <f t="shared" si="3"/>
        <v>44615.062500000007</v>
      </c>
      <c r="H1610" s="855"/>
      <c r="I1610" s="856"/>
      <c r="J1610" s="857"/>
    </row>
    <row r="1611" spans="3:10" ht="15" hidden="1" customHeight="1" x14ac:dyDescent="0.35">
      <c r="C1611" s="867" t="s">
        <v>2402</v>
      </c>
      <c r="D1611" s="699">
        <v>44613</v>
      </c>
      <c r="E1611" s="855"/>
      <c r="F1611" s="868">
        <v>44616.937500000015</v>
      </c>
      <c r="G1611" s="700">
        <f t="shared" si="3"/>
        <v>44616.937500000015</v>
      </c>
      <c r="H1611" s="855"/>
      <c r="I1611" s="856"/>
      <c r="J1611" s="857"/>
    </row>
    <row r="1612" spans="3:10" ht="15" hidden="1" customHeight="1" x14ac:dyDescent="0.35">
      <c r="C1612" s="867" t="s">
        <v>2403</v>
      </c>
      <c r="D1612" s="699">
        <v>44613</v>
      </c>
      <c r="E1612" s="855"/>
      <c r="F1612" s="868">
        <v>44617.58333333335</v>
      </c>
      <c r="G1612" s="700">
        <f t="shared" si="3"/>
        <v>44617.58333333335</v>
      </c>
      <c r="H1612" s="855"/>
      <c r="I1612" s="856"/>
      <c r="J1612" s="857"/>
    </row>
    <row r="1613" spans="3:10" ht="15" hidden="1" customHeight="1" x14ac:dyDescent="0.35">
      <c r="C1613" s="867" t="s">
        <v>2404</v>
      </c>
      <c r="D1613" s="699">
        <v>44613</v>
      </c>
      <c r="E1613" s="855"/>
      <c r="F1613" s="868">
        <v>44620.802083333358</v>
      </c>
      <c r="G1613" s="700">
        <f t="shared" si="3"/>
        <v>44620.802083333358</v>
      </c>
      <c r="H1613" s="855"/>
      <c r="I1613" s="856"/>
      <c r="J1613" s="857"/>
    </row>
    <row r="1614" spans="3:10" ht="15" hidden="1" customHeight="1" x14ac:dyDescent="0.35">
      <c r="C1614" s="858" t="s">
        <v>2405</v>
      </c>
      <c r="D1614" s="699">
        <v>44627</v>
      </c>
      <c r="E1614" s="890"/>
      <c r="F1614" s="868">
        <v>44628.75</v>
      </c>
      <c r="G1614" s="868">
        <v>44628.75</v>
      </c>
      <c r="H1614" s="891" t="s">
        <v>340</v>
      </c>
      <c r="I1614" s="892"/>
      <c r="J1614" s="893"/>
    </row>
    <row r="1615" spans="3:10" ht="15" hidden="1" customHeight="1" x14ac:dyDescent="0.35">
      <c r="C1615" s="858" t="s">
        <v>2406</v>
      </c>
      <c r="D1615" s="699">
        <v>44627</v>
      </c>
      <c r="E1615" s="890"/>
      <c r="F1615" s="868">
        <v>44629.53125</v>
      </c>
      <c r="G1615" s="868">
        <v>44629.53125</v>
      </c>
      <c r="H1615" s="891" t="s">
        <v>340</v>
      </c>
      <c r="I1615" s="892"/>
      <c r="J1615" s="893"/>
    </row>
    <row r="1616" spans="3:10" ht="15" hidden="1" customHeight="1" x14ac:dyDescent="0.35">
      <c r="C1616" s="858" t="s">
        <v>2407</v>
      </c>
      <c r="D1616" s="699">
        <v>44627</v>
      </c>
      <c r="E1616" s="890"/>
      <c r="F1616" s="868">
        <v>44630.375</v>
      </c>
      <c r="G1616" s="868">
        <v>44630.375</v>
      </c>
      <c r="H1616" s="891" t="s">
        <v>340</v>
      </c>
      <c r="I1616" s="892"/>
      <c r="J1616" s="893"/>
    </row>
    <row r="1617" spans="3:10" ht="15" hidden="1" customHeight="1" x14ac:dyDescent="0.35">
      <c r="C1617" s="858" t="s">
        <v>2408</v>
      </c>
      <c r="D1617" s="699">
        <v>44627</v>
      </c>
      <c r="E1617" s="890"/>
      <c r="F1617" s="868">
        <v>44631.15625</v>
      </c>
      <c r="G1617" s="868">
        <v>44631.15625</v>
      </c>
      <c r="H1617" s="891" t="s">
        <v>340</v>
      </c>
      <c r="I1617" s="892"/>
      <c r="J1617" s="893"/>
    </row>
    <row r="1618" spans="3:10" ht="15" hidden="1" customHeight="1" x14ac:dyDescent="0.35">
      <c r="C1618" s="858" t="s">
        <v>631</v>
      </c>
      <c r="D1618" s="699">
        <v>44634</v>
      </c>
      <c r="E1618" s="890"/>
      <c r="F1618" s="868">
        <v>44636.072916666664</v>
      </c>
      <c r="G1618" s="868">
        <v>44636.072916666664</v>
      </c>
      <c r="H1618" s="891"/>
      <c r="I1618" s="892"/>
      <c r="J1618" s="893"/>
    </row>
    <row r="1619" spans="3:10" ht="15" hidden="1" customHeight="1" x14ac:dyDescent="0.35">
      <c r="C1619" s="858" t="s">
        <v>638</v>
      </c>
      <c r="D1619" s="699">
        <v>44634</v>
      </c>
      <c r="E1619" s="890"/>
      <c r="F1619" s="868">
        <v>44636.763888888891</v>
      </c>
      <c r="G1619" s="868">
        <v>44636.680555555555</v>
      </c>
      <c r="H1619" s="891"/>
      <c r="I1619" s="892"/>
      <c r="J1619" s="893"/>
    </row>
    <row r="1620" spans="3:10" ht="15" hidden="1" customHeight="1" x14ac:dyDescent="0.35">
      <c r="C1620" s="858" t="s">
        <v>650</v>
      </c>
      <c r="D1620" s="699">
        <v>44634</v>
      </c>
      <c r="E1620" s="890"/>
      <c r="F1620" s="868">
        <v>44637</v>
      </c>
      <c r="G1620" s="868">
        <v>44637</v>
      </c>
      <c r="H1620" s="891"/>
      <c r="I1620" s="892"/>
      <c r="J1620" s="893"/>
    </row>
    <row r="1621" spans="3:10" ht="15" hidden="1" customHeight="1" x14ac:dyDescent="0.35">
      <c r="C1621" s="858" t="s">
        <v>666</v>
      </c>
      <c r="D1621" s="699">
        <v>44634</v>
      </c>
      <c r="E1621" s="890"/>
      <c r="F1621" s="868">
        <v>44638</v>
      </c>
      <c r="G1621" s="868">
        <v>44638</v>
      </c>
      <c r="H1621" s="891"/>
      <c r="I1621" s="892"/>
      <c r="J1621" s="893"/>
    </row>
    <row r="1629" spans="3:10" ht="15" customHeight="1" x14ac:dyDescent="0.35">
      <c r="C1629" s="125" t="s">
        <v>2409</v>
      </c>
    </row>
    <row r="1630" spans="3:10" ht="15" customHeight="1" x14ac:dyDescent="0.35">
      <c r="C1630" s="125" t="s">
        <v>1836</v>
      </c>
    </row>
    <row r="1631" spans="3:10" ht="15" customHeight="1" x14ac:dyDescent="0.35">
      <c r="C1631" s="125" t="s">
        <v>2155</v>
      </c>
    </row>
    <row r="1632" spans="3:10" ht="15" customHeight="1" x14ac:dyDescent="0.35">
      <c r="C1632" s="125" t="s">
        <v>2174</v>
      </c>
    </row>
    <row r="1633" spans="3:3" ht="15" customHeight="1" x14ac:dyDescent="0.35">
      <c r="C1633" s="125" t="s">
        <v>2081</v>
      </c>
    </row>
    <row r="1634" spans="3:3" ht="15" customHeight="1" x14ac:dyDescent="0.35">
      <c r="C1634" s="125" t="s">
        <v>2113</v>
      </c>
    </row>
    <row r="1635" spans="3:3" ht="15" customHeight="1" x14ac:dyDescent="0.35">
      <c r="C1635" s="125" t="s">
        <v>2410</v>
      </c>
    </row>
    <row r="1636" spans="3:3" ht="15" customHeight="1" x14ac:dyDescent="0.35">
      <c r="C1636" s="648" t="s">
        <v>2180</v>
      </c>
    </row>
  </sheetData>
  <phoneticPr fontId="62" type="noConversion"/>
  <dataValidations count="1">
    <dataValidation type="list" allowBlank="1" showInputMessage="1" showErrorMessage="1" sqref="H1:H61 H153:H1048576" xr:uid="{CA4E68C8-389A-42C8-9A3D-C14CC221886F}">
      <formula1>"In Progress, Completed, Cancelled, Not Required"</formula1>
    </dataValidation>
  </dataValidations>
  <pageMargins left="0.7" right="0.7" top="0.75" bottom="0.75" header="0.3" footer="0.3"/>
  <pageSetup paperSize="9" orientation="portrait" r:id="rId1"/>
  <headerFooter>
    <oddFooter>&amp;C&amp;1#&amp;"Calibri"&amp;10&amp;K000000 Non-Amgen</oddFooter>
  </headerFooter>
  <ignoredErrors>
    <ignoredError sqref="J15:J22" calculatedColumn="1"/>
  </ignoredErrors>
  <legacyDrawing r:id="rId2"/>
  <tableParts count="1">
    <tablePart r:id="rId3"/>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E0BA5F-9420-4309-8174-5D45DAA82110}">
  <sheetPr codeName="Sheet5"/>
  <dimension ref="B1:P71"/>
  <sheetViews>
    <sheetView showGridLines="0" zoomScale="125" zoomScaleNormal="150" zoomScaleSheetLayoutView="110" workbookViewId="0">
      <pane ySplit="5" topLeftCell="A8" activePane="bottomLeft" state="frozen"/>
      <selection activeCell="H7" sqref="H7:H16"/>
      <selection pane="bottomLeft" activeCell="F18" sqref="F18:F27"/>
    </sheetView>
  </sheetViews>
  <sheetFormatPr defaultRowHeight="14.5" x14ac:dyDescent="0.35"/>
  <cols>
    <col min="1" max="1" width="2.54296875" customWidth="1"/>
    <col min="2" max="4" width="18.54296875" customWidth="1"/>
    <col min="5" max="5" width="19.453125" customWidth="1"/>
    <col min="6" max="8" width="18.54296875" customWidth="1"/>
    <col min="9" max="9" width="2.54296875" customWidth="1"/>
    <col min="10" max="10" width="18.453125" style="15" customWidth="1"/>
    <col min="11" max="11" width="133.453125" bestFit="1" customWidth="1"/>
    <col min="12" max="12" width="2.54296875" customWidth="1"/>
    <col min="13" max="13" width="23.453125" hidden="1" customWidth="1"/>
    <col min="14" max="14" width="36.54296875" hidden="1" customWidth="1"/>
    <col min="15" max="16" width="0" hidden="1" customWidth="1"/>
  </cols>
  <sheetData>
    <row r="1" spans="2:16" ht="15.5" x14ac:dyDescent="0.35">
      <c r="B1" s="1088" t="s">
        <v>2411</v>
      </c>
      <c r="C1" s="1088"/>
      <c r="D1" s="1088"/>
      <c r="E1" s="1088"/>
      <c r="F1" s="1088"/>
      <c r="G1" s="1088"/>
      <c r="H1" s="1088"/>
      <c r="I1" s="1088"/>
      <c r="J1" s="1088"/>
      <c r="K1" s="1088"/>
    </row>
    <row r="2" spans="2:16" ht="14.9" hidden="1" customHeight="1" x14ac:dyDescent="0.35">
      <c r="D2" s="1089">
        <v>44705</v>
      </c>
      <c r="E2" s="1089"/>
      <c r="G2" s="3" t="s">
        <v>2412</v>
      </c>
      <c r="H2" s="4" t="s">
        <v>2413</v>
      </c>
      <c r="K2" s="680"/>
      <c r="M2" s="19"/>
      <c r="N2" s="19"/>
      <c r="O2" s="19"/>
      <c r="P2" s="19"/>
    </row>
    <row r="3" spans="2:16" ht="14.9" customHeight="1" x14ac:dyDescent="0.35">
      <c r="B3" s="5" t="s">
        <v>2414</v>
      </c>
      <c r="D3" s="1089"/>
      <c r="E3" s="1089"/>
      <c r="J3" s="679" t="s">
        <v>2415</v>
      </c>
      <c r="K3" s="2">
        <v>44693</v>
      </c>
      <c r="M3" s="20" t="s">
        <v>2416</v>
      </c>
      <c r="N3" s="19"/>
      <c r="O3" s="19"/>
      <c r="P3" s="19"/>
    </row>
    <row r="4" spans="2:16" ht="23" customHeight="1" x14ac:dyDescent="0.35">
      <c r="D4" s="1090"/>
      <c r="E4" s="1090"/>
      <c r="M4" s="19"/>
      <c r="N4" s="19"/>
      <c r="O4" s="19"/>
      <c r="P4" s="19"/>
    </row>
    <row r="5" spans="2:16" x14ac:dyDescent="0.35">
      <c r="B5" s="9" t="s">
        <v>2417</v>
      </c>
      <c r="C5" s="10" t="s">
        <v>2418</v>
      </c>
      <c r="D5" s="10" t="s">
        <v>2419</v>
      </c>
      <c r="E5" s="10" t="s">
        <v>2420</v>
      </c>
      <c r="F5" s="10" t="s">
        <v>2421</v>
      </c>
      <c r="G5" s="10" t="s">
        <v>2422</v>
      </c>
      <c r="H5" s="10" t="s">
        <v>2423</v>
      </c>
      <c r="J5" s="16" t="s">
        <v>2424</v>
      </c>
      <c r="K5" s="83" t="s">
        <v>2425</v>
      </c>
      <c r="M5" s="21" t="s">
        <v>2426</v>
      </c>
      <c r="N5" s="21" t="s">
        <v>2427</v>
      </c>
      <c r="O5" s="19"/>
      <c r="P5" s="19"/>
    </row>
    <row r="6" spans="2:16" x14ac:dyDescent="0.35">
      <c r="B6" s="6">
        <f>DATE(YEAR(D2),MONTH(D2),1)-WEEKDAY(DATE(YEAR(D2),MONTH(D2),1))+1</f>
        <v>44682</v>
      </c>
      <c r="C6" s="7">
        <f t="shared" ref="C6:H6" si="0">B6+1</f>
        <v>44683</v>
      </c>
      <c r="D6" s="7">
        <f t="shared" si="0"/>
        <v>44684</v>
      </c>
      <c r="E6" s="7">
        <f t="shared" si="0"/>
        <v>44685</v>
      </c>
      <c r="F6" s="7">
        <f t="shared" si="0"/>
        <v>44686</v>
      </c>
      <c r="G6" s="7">
        <f t="shared" si="0"/>
        <v>44687</v>
      </c>
      <c r="H6" s="7">
        <f t="shared" si="0"/>
        <v>44688</v>
      </c>
      <c r="J6" s="17" t="str">
        <f t="array" ref="J6">IFERROR(HYPERLINK("[Calendar-monthly-view3.xlsm]Schedule!$B$"&amp;MATCH(SMALL(IF('Monthly View'!$K$3=INT(Table1[Start Date]),Table1[Start Date],""),ROW(A1)),Table1[Start Date],0)+2,SMALL(IF('Monthly View'!$K$3=INT(Table1[Start Date]),Table1[Start Date],""),ROW(A1))),"")</f>
        <v/>
      </c>
      <c r="K6" s="84" t="str">
        <f t="array" ref="K6">IFERROR(INDEX(Table1[Routine Activities (PM/ PMCAL, CM, Genba, Isotanker, Material Readiness, Sampling)],SMALL(IF('Monthly View'!$K$3=INT(Table1[Start Date]),MATCH(ROW(Table1[Start Date]),ROW(Table1[Start Date])),""),ROW(A1))),"")</f>
        <v/>
      </c>
      <c r="M6" s="22"/>
      <c r="N6" s="22"/>
      <c r="O6" s="19"/>
      <c r="P6" s="19"/>
    </row>
    <row r="7" spans="2:16" ht="29.15" customHeight="1" x14ac:dyDescent="0.35">
      <c r="B7" s="1086" t="e">
        <f>Lookup_concat(B6,Table1[Start Date],Table1[Short Description])</f>
        <v>#VALUE!</v>
      </c>
      <c r="C7" s="1086" t="e">
        <f>Lookup_concat(C6,Table1[Start Date],Table1[Short Description])</f>
        <v>#VALUE!</v>
      </c>
      <c r="D7" s="1086" t="e">
        <f>Lookup_concat(D6,Table1[Start Date],Table1[Short Description])</f>
        <v>#VALUE!</v>
      </c>
      <c r="E7" s="1086" t="e">
        <f>Lookup_concat(E6,Table1[Start Date],Table1[Short Description])</f>
        <v>#VALUE!</v>
      </c>
      <c r="F7" s="1086" t="e">
        <f>Lookup_concat(F6,Table1[Start Date],Table1[Short Description])</f>
        <v>#VALUE!</v>
      </c>
      <c r="G7" s="1086" t="e">
        <f>Lookup_concat(G6,Table1[Start Date],Table1[Short Description])</f>
        <v>#VALUE!</v>
      </c>
      <c r="H7" s="1086" t="e">
        <f>Lookup_concat(H6,Table1[Start Date],Table1[Short Description])</f>
        <v>#VALUE!</v>
      </c>
      <c r="J7" s="17" t="str">
        <f t="array" ref="J7">IFERROR(HYPERLINK("[Calendar-monthly-view3.xlsm]Schedule!$B$"&amp;MATCH(SMALL(IF('Monthly View'!$K$3=INT(Table1[Start Date]),Table1[Start Date],""),ROW(A2)),Table1[Start Date],0)+2,SMALL(IF('Monthly View'!$K$3=INT(Table1[Start Date]),Table1[Start Date],""),ROW(A2))),"")</f>
        <v/>
      </c>
      <c r="K7" s="168" t="str">
        <f t="array" ref="K7">IFERROR(INDEX(Table1[Routine Activities (PM/ PMCAL, CM, Genba, Isotanker, Material Readiness, Sampling)],SMALL(IF('Monthly View'!$K$3=INT(Table1[Start Date]),MATCH(ROW(Table1[Start Date]),ROW(Table1[Start Date])),""),ROW(A2))),"")</f>
        <v/>
      </c>
      <c r="M7" s="19"/>
      <c r="N7" s="19"/>
      <c r="O7" s="19"/>
      <c r="P7" s="19"/>
    </row>
    <row r="8" spans="2:16" x14ac:dyDescent="0.35">
      <c r="B8" s="1086"/>
      <c r="C8" s="1086"/>
      <c r="D8" s="1086"/>
      <c r="E8" s="1086"/>
      <c r="F8" s="1086"/>
      <c r="G8" s="1086"/>
      <c r="H8" s="1086"/>
      <c r="J8" s="17" t="str">
        <f t="array" ref="J8">IFERROR(HYPERLINK("[Calendar-monthly-view3.xlsm]Schedule!$B$"&amp;MATCH(SMALL(IF('Monthly View'!$K$3=INT(Table1[Start Date]),Table1[Start Date],""),ROW(A3)),Table1[Start Date],0)+2,SMALL(IF('Monthly View'!$K$3=INT(Table1[Start Date]),Table1[Start Date],""),ROW(A3))),"")</f>
        <v/>
      </c>
      <c r="K8" s="84" t="str">
        <f t="array" ref="K8">IFERROR(INDEX(Table1[Routine Activities (PM/ PMCAL, CM, Genba, Isotanker, Material Readiness, Sampling)],SMALL(IF('Monthly View'!$K$3=INT(Table1[Start Date]),MATCH(ROW(Table1[Start Date]),ROW(Table1[Start Date])),""),ROW(A3))),"")</f>
        <v/>
      </c>
      <c r="M8" s="8"/>
    </row>
    <row r="9" spans="2:16" x14ac:dyDescent="0.35">
      <c r="B9" s="1086"/>
      <c r="C9" s="1086"/>
      <c r="D9" s="1086"/>
      <c r="E9" s="1086"/>
      <c r="F9" s="1086"/>
      <c r="G9" s="1086"/>
      <c r="H9" s="1086"/>
      <c r="J9" s="17" t="str">
        <f t="array" ref="J9">IFERROR(HYPERLINK("[Calendar-monthly-view3.xlsm]Schedule!$B$"&amp;MATCH(SMALL(IF('Monthly View'!$K$3=INT(Table1[Start Date]),Table1[Start Date],""),ROW(A4)),Table1[Start Date],0)+2,SMALL(IF('Monthly View'!$K$3=INT(Table1[Start Date]),Table1[Start Date],""),ROW(A4))),"")</f>
        <v/>
      </c>
      <c r="K9" s="84" t="str">
        <f t="array" ref="K9">IFERROR(INDEX(Table1[Routine Activities (PM/ PMCAL, CM, Genba, Isotanker, Material Readiness, Sampling)],SMALL(IF('Monthly View'!$K$3=INT(Table1[Start Date]),MATCH(ROW(Table1[Start Date]),ROW(Table1[Start Date])),""),ROW(A4))),"")</f>
        <v/>
      </c>
    </row>
    <row r="10" spans="2:16" x14ac:dyDescent="0.35">
      <c r="B10" s="1086"/>
      <c r="C10" s="1086"/>
      <c r="D10" s="1086"/>
      <c r="E10" s="1086"/>
      <c r="F10" s="1086"/>
      <c r="G10" s="1086"/>
      <c r="H10" s="1086"/>
      <c r="J10" s="17" t="str">
        <f t="array" ref="J10">IFERROR(HYPERLINK("[Calendar-monthly-view3.xlsm]Schedule!$B$"&amp;MATCH(SMALL(IF('Monthly View'!$K$3=INT(Table1[Start Date]),Table1[Start Date],""),ROW(A5)),Table1[Start Date],0)+2,SMALL(IF('Monthly View'!$K$3=INT(Table1[Start Date]),Table1[Start Date],""),ROW(A5))),"")</f>
        <v/>
      </c>
      <c r="K10" s="84" t="str">
        <f t="array" ref="K10">IFERROR(INDEX(Table1[Routine Activities (PM/ PMCAL, CM, Genba, Isotanker, Material Readiness, Sampling)],SMALL(IF('Monthly View'!$K$3=INT(Table1[Start Date]),MATCH(ROW(Table1[Start Date]),ROW(Table1[Start Date])),""),ROW(A5))),"")</f>
        <v/>
      </c>
    </row>
    <row r="11" spans="2:16" x14ac:dyDescent="0.35">
      <c r="B11" s="1086"/>
      <c r="C11" s="1086"/>
      <c r="D11" s="1086"/>
      <c r="E11" s="1086"/>
      <c r="F11" s="1086"/>
      <c r="G11" s="1086"/>
      <c r="H11" s="1086"/>
      <c r="J11" s="17" t="str">
        <f t="array" ref="J11">IFERROR(HYPERLINK("[Calendar-monthly-view3.xlsm]Schedule!$B$"&amp;MATCH(SMALL(IF('Monthly View'!$K$3=INT(Table1[Start Date]),Table1[Start Date],""),ROW(A6)),Table1[Start Date],0)+2,SMALL(IF('Monthly View'!$K$3=INT(Table1[Start Date]),Table1[Start Date],""),ROW(A6))),"")</f>
        <v/>
      </c>
      <c r="K11" s="84" t="str">
        <f t="array" ref="K11">IFERROR(INDEX(Table1[Routine Activities (PM/ PMCAL, CM, Genba, Isotanker, Material Readiness, Sampling)],SMALL(IF('Monthly View'!$K$3=INT(Table1[Start Date]),MATCH(ROW(Table1[Start Date]),ROW(Table1[Start Date])),""),ROW(A6))),"")</f>
        <v/>
      </c>
    </row>
    <row r="12" spans="2:16" ht="15" customHeight="1" x14ac:dyDescent="0.35">
      <c r="B12" s="1086"/>
      <c r="C12" s="1086"/>
      <c r="D12" s="1086"/>
      <c r="E12" s="1086"/>
      <c r="F12" s="1086"/>
      <c r="G12" s="1086"/>
      <c r="H12" s="1086"/>
      <c r="J12" s="17" t="str">
        <f t="array" ref="J12">IFERROR(HYPERLINK("[Calendar-monthly-view3.xlsm]Schedule!$B$"&amp;MATCH(SMALL(IF('Monthly View'!$K$3=INT(Table1[Start Date]),Table1[Start Date],""),ROW(A7)),Table1[Start Date],0)+2,SMALL(IF('Monthly View'!$K$3=INT(Table1[Start Date]),Table1[Start Date],""),ROW(A7))),"")</f>
        <v/>
      </c>
      <c r="K12" s="84" t="str">
        <f t="array" ref="K12">IFERROR(INDEX(Table1[Routine Activities (PM/ PMCAL, CM, Genba, Isotanker, Material Readiness, Sampling)],SMALL(IF('Monthly View'!$K$3=INT(Table1[Start Date]),MATCH(ROW(Table1[Start Date]),ROW(Table1[Start Date])),""),ROW(A7))),"")</f>
        <v/>
      </c>
    </row>
    <row r="13" spans="2:16" ht="15" customHeight="1" x14ac:dyDescent="0.35">
      <c r="B13" s="1086"/>
      <c r="C13" s="1086"/>
      <c r="D13" s="1086"/>
      <c r="E13" s="1086"/>
      <c r="F13" s="1086"/>
      <c r="G13" s="1086"/>
      <c r="H13" s="1086"/>
      <c r="J13" s="17" t="str">
        <f t="array" ref="J13">IFERROR(HYPERLINK("[Calendar-monthly-view3.xlsm]Schedule!$B$"&amp;MATCH(SMALL(IF('Monthly View'!$K$3=INT(Table1[Start Date]),Table1[Start Date],""),ROW(A8)),Table1[Start Date],0)+2,SMALL(IF('Monthly View'!$K$3=INT(Table1[Start Date]),Table1[Start Date],""),ROW(A8))),"")</f>
        <v/>
      </c>
      <c r="K13" s="84" t="str">
        <f t="array" ref="K13">IFERROR(INDEX(Table1[Routine Activities (PM/ PMCAL, CM, Genba, Isotanker, Material Readiness, Sampling)],SMALL(IF('Monthly View'!$K$3=INT(Table1[Start Date]),MATCH(ROW(Table1[Start Date]),ROW(Table1[Start Date])),""),ROW(A8))),"")</f>
        <v/>
      </c>
    </row>
    <row r="14" spans="2:16" x14ac:dyDescent="0.35">
      <c r="B14" s="1086"/>
      <c r="C14" s="1086"/>
      <c r="D14" s="1086"/>
      <c r="E14" s="1086"/>
      <c r="F14" s="1086"/>
      <c r="G14" s="1086"/>
      <c r="H14" s="1086"/>
      <c r="J14" s="17" t="str">
        <f t="array" ref="J14">IFERROR(HYPERLINK("[Calendar-monthly-view3.xlsm]Schedule!$B$"&amp;MATCH(SMALL(IF('Monthly View'!$K$3=INT(Table1[Start Date]),Table1[Start Date],""),ROW(A9)),Table1[Start Date],0)+2,SMALL(IF('Monthly View'!$K$3=INT(Table1[Start Date]),Table1[Start Date],""),ROW(A9))),"")</f>
        <v/>
      </c>
      <c r="K14" s="84" t="str">
        <f t="array" ref="K14">IFERROR(INDEX(Table1[Routine Activities (PM/ PMCAL, CM, Genba, Isotanker, Material Readiness, Sampling)],SMALL(IF('Monthly View'!$K$3=INT(Table1[Start Date]),MATCH(ROW(Table1[Start Date]),ROW(Table1[Start Date])),""),ROW(A9))),"")</f>
        <v/>
      </c>
    </row>
    <row r="15" spans="2:16" x14ac:dyDescent="0.35">
      <c r="B15" s="1086"/>
      <c r="C15" s="1086"/>
      <c r="D15" s="1086"/>
      <c r="E15" s="1086"/>
      <c r="F15" s="1086"/>
      <c r="G15" s="1086"/>
      <c r="H15" s="1086"/>
      <c r="J15" s="17" t="str">
        <f t="array" ref="J15">IFERROR(HYPERLINK("[Calendar-monthly-view3.xlsm]Schedule!$B$"&amp;MATCH(SMALL(IF('Monthly View'!$K$3=INT(Table1[Start Date]),Table1[Start Date],""),ROW(A10)),Table1[Start Date],0)+2,SMALL(IF('Monthly View'!$K$3=INT(Table1[Start Date]),Table1[Start Date],""),ROW(A10))),"")</f>
        <v/>
      </c>
      <c r="K15" s="84" t="str">
        <f t="array" ref="K15">IFERROR(INDEX(Table1[Routine Activities (PM/ PMCAL, CM, Genba, Isotanker, Material Readiness, Sampling)],SMALL(IF('Monthly View'!$K$3=INT(Table1[Start Date]),MATCH(ROW(Table1[Start Date]),ROW(Table1[Start Date])),""),ROW(A10))),"")</f>
        <v/>
      </c>
    </row>
    <row r="16" spans="2:16" x14ac:dyDescent="0.35">
      <c r="B16" s="1087"/>
      <c r="C16" s="1087"/>
      <c r="D16" s="1087"/>
      <c r="E16" s="1087"/>
      <c r="F16" s="1087"/>
      <c r="G16" s="1087"/>
      <c r="H16" s="1087"/>
      <c r="J16" s="17" t="str">
        <f t="array" ref="J16">IFERROR(HYPERLINK("[Calendar-monthly-view3.xlsm]Schedule!$B$"&amp;MATCH(SMALL(IF('Monthly View'!$K$3=INT(Table1[Start Date]),Table1[Start Date],""),ROW(A11)),Table1[Start Date],0)+2,SMALL(IF('Monthly View'!$K$3=INT(Table1[Start Date]),Table1[Start Date],""),ROW(A11))),"")</f>
        <v/>
      </c>
      <c r="K16" s="84" t="str">
        <f t="array" ref="K16">IFERROR(INDEX(Table1[Routine Activities (PM/ PMCAL, CM, Genba, Isotanker, Material Readiness, Sampling)],SMALL(IF('Monthly View'!$K$3=INT(Table1[Start Date]),MATCH(ROW(Table1[Start Date]),ROW(Table1[Start Date])),""),ROW(A11))),"")</f>
        <v/>
      </c>
    </row>
    <row r="17" spans="2:11" x14ac:dyDescent="0.35">
      <c r="B17" s="7">
        <f>H6+1</f>
        <v>44689</v>
      </c>
      <c r="C17" s="7">
        <f t="shared" ref="C17:H17" si="1">B17+1</f>
        <v>44690</v>
      </c>
      <c r="D17" s="7">
        <f t="shared" si="1"/>
        <v>44691</v>
      </c>
      <c r="E17" s="7">
        <f t="shared" si="1"/>
        <v>44692</v>
      </c>
      <c r="F17" s="7">
        <f t="shared" si="1"/>
        <v>44693</v>
      </c>
      <c r="G17" s="7">
        <f t="shared" si="1"/>
        <v>44694</v>
      </c>
      <c r="H17" s="7">
        <f t="shared" si="1"/>
        <v>44695</v>
      </c>
      <c r="J17" s="17" t="str">
        <f t="array" ref="J17">IFERROR(HYPERLINK("[Calendar-monthly-view3.xlsm]Schedule!$B$"&amp;MATCH(SMALL(IF('Monthly View'!$K$3=INT(Table1[Start Date]),Table1[Start Date],""),ROW(A12)),Table1[Start Date],0)+2,SMALL(IF('Monthly View'!$K$3=INT(Table1[Start Date]),Table1[Start Date],""),ROW(A12))),"")</f>
        <v/>
      </c>
      <c r="K17" s="84" t="str">
        <f t="array" ref="K17">IFERROR(INDEX(Table1[Routine Activities (PM/ PMCAL, CM, Genba, Isotanker, Material Readiness, Sampling)],SMALL(IF('Monthly View'!$K$3=INT(Table1[Start Date]),MATCH(ROW(Table1[Start Date]),ROW(Table1[Start Date])),""),ROW(A12))),"")</f>
        <v/>
      </c>
    </row>
    <row r="18" spans="2:11" ht="15" customHeight="1" x14ac:dyDescent="0.35">
      <c r="B18" s="1084" t="e">
        <f>Lookup_concat(B17,Table1[Start Date],Table1[Short Description])</f>
        <v>#VALUE!</v>
      </c>
      <c r="C18" s="1091" t="e">
        <f>Lookup_concat(C17, Table1[Start Date], Table1[Short Description])</f>
        <v>#VALUE!</v>
      </c>
      <c r="D18" s="1084" t="e">
        <f>Lookup_concat(D17,Table1[Start Date],Table1[Short Description])</f>
        <v>#VALUE!</v>
      </c>
      <c r="E18" s="1084" t="e">
        <f>Lookup_concat(E17,Table1[Start Date],Table1[Short Description])</f>
        <v>#VALUE!</v>
      </c>
      <c r="F18" s="1084" t="e">
        <f>Lookup_concat(F17,Table1[Start Date],Table1[Short Description])</f>
        <v>#VALUE!</v>
      </c>
      <c r="G18" s="1084" t="e">
        <f>Lookup_concat(G17,Table1[Start Date],Table1[Short Description])</f>
        <v>#VALUE!</v>
      </c>
      <c r="H18" s="1084" t="e">
        <f>Lookup_concat(H17,Table1[Start Date],Table1[Short Description])</f>
        <v>#VALUE!</v>
      </c>
      <c r="J18" s="17" t="str">
        <f t="array" ref="J18">IFERROR(HYPERLINK("[Calendar-monthly-view3.xlsm]Schedule!$B$"&amp;MATCH(SMALL(IF('Monthly View'!$K$3=INT(Table1[Start Date]),Table1[Start Date],""),ROW(A13)),Table1[Start Date],0)+2,SMALL(IF('Monthly View'!$K$3=INT(Table1[Start Date]),Table1[Start Date],""),ROW(A13))),"")</f>
        <v/>
      </c>
      <c r="K18" s="84" t="str">
        <f t="array" ref="K18">IFERROR(INDEX(Table1[Routine Activities (PM/ PMCAL, CM, Genba, Isotanker, Material Readiness, Sampling)],SMALL(IF('Monthly View'!$K$3=INT(Table1[Start Date]),MATCH(ROW(Table1[Start Date]),ROW(Table1[Start Date])),""),ROW(A13))),"")</f>
        <v/>
      </c>
    </row>
    <row r="19" spans="2:11" ht="15" customHeight="1" x14ac:dyDescent="0.35">
      <c r="B19" s="1084"/>
      <c r="C19" s="1084"/>
      <c r="D19" s="1084"/>
      <c r="E19" s="1084"/>
      <c r="F19" s="1084"/>
      <c r="G19" s="1084"/>
      <c r="H19" s="1084"/>
      <c r="J19" s="17" t="str">
        <f t="array" ref="J19">IFERROR(HYPERLINK("[Calendar-monthly-view3.xlsm]Schedule!$B$"&amp;MATCH(SMALL(IF('Monthly View'!$K$3=INT(Table1[Start Date]),Table1[Start Date],""),ROW(A14)),Table1[Start Date],0)+2,SMALL(IF('Monthly View'!$K$3=INT(Table1[Start Date]),Table1[Start Date],""),ROW(A14))),"")</f>
        <v/>
      </c>
      <c r="K19" s="84" t="str">
        <f t="array" ref="K19">IFERROR(INDEX(Table1[Routine Activities (PM/ PMCAL, CM, Genba, Isotanker, Material Readiness, Sampling)],SMALL(IF('Monthly View'!$K$3=INT(Table1[Start Date]),MATCH(ROW(Table1[Start Date]),ROW(Table1[Start Date])),""),ROW(A14))),"")</f>
        <v/>
      </c>
    </row>
    <row r="20" spans="2:11" x14ac:dyDescent="0.35">
      <c r="B20" s="1084"/>
      <c r="C20" s="1084"/>
      <c r="D20" s="1084"/>
      <c r="E20" s="1084"/>
      <c r="F20" s="1084"/>
      <c r="G20" s="1084"/>
      <c r="H20" s="1084"/>
      <c r="J20" s="17" t="str">
        <f t="array" ref="J20">IFERROR(HYPERLINK("[Calendar-monthly-view3.xlsm]Schedule!$B$"&amp;MATCH(SMALL(IF('Monthly View'!$K$3=INT(Table1[Start Date]),Table1[Start Date],""),ROW(A15)),Table1[Start Date],0)+2,SMALL(IF('Monthly View'!$K$3=INT(Table1[Start Date]),Table1[Start Date],""),ROW(A15))),"")</f>
        <v/>
      </c>
      <c r="K20" s="84" t="str">
        <f t="array" ref="K20">IFERROR(INDEX(Table1[Routine Activities (PM/ PMCAL, CM, Genba, Isotanker, Material Readiness, Sampling)],SMALL(IF('Monthly View'!$K$3=INT(Table1[Start Date]),MATCH(ROW(Table1[Start Date]),ROW(Table1[Start Date])),""),ROW(A15))),"")</f>
        <v/>
      </c>
    </row>
    <row r="21" spans="2:11" x14ac:dyDescent="0.35">
      <c r="B21" s="1084"/>
      <c r="C21" s="1084"/>
      <c r="D21" s="1084"/>
      <c r="E21" s="1084"/>
      <c r="F21" s="1084"/>
      <c r="G21" s="1084"/>
      <c r="H21" s="1084"/>
      <c r="J21" s="17" t="str">
        <f t="array" ref="J21">IFERROR(HYPERLINK("[Calendar-monthly-view3.xlsm]Schedule!$B$"&amp;MATCH(SMALL(IF('Monthly View'!$K$3=INT(Table1[Start Date]),Table1[Start Date],""),ROW(A16)),Table1[Start Date],0)+2,SMALL(IF('Monthly View'!$K$3=INT(Table1[Start Date]),Table1[Start Date],""),ROW(A16))),"")</f>
        <v/>
      </c>
      <c r="K21" s="84" t="str">
        <f t="array" ref="K21">IFERROR(INDEX(Table1[Routine Activities (PM/ PMCAL, CM, Genba, Isotanker, Material Readiness, Sampling)],SMALL(IF('Monthly View'!$K$3=INT(Table1[Start Date]),MATCH(ROW(Table1[Start Date]),ROW(Table1[Start Date])),""),ROW(A16))),"")</f>
        <v/>
      </c>
    </row>
    <row r="22" spans="2:11" x14ac:dyDescent="0.35">
      <c r="B22" s="1084"/>
      <c r="C22" s="1084"/>
      <c r="D22" s="1084"/>
      <c r="E22" s="1084"/>
      <c r="F22" s="1084"/>
      <c r="G22" s="1084"/>
      <c r="H22" s="1084"/>
      <c r="J22" s="17" t="str">
        <f t="array" ref="J22">IFERROR(HYPERLINK("[Calendar-monthly-view3.xlsm]Schedule!$B$"&amp;MATCH(SMALL(IF('Monthly View'!$K$3=INT(Table1[Start Date]),Table1[Start Date],""),ROW(A17)),Table1[Start Date],0)+2,SMALL(IF('Monthly View'!$K$3=INT(Table1[Start Date]),Table1[Start Date],""),ROW(A17))),"")</f>
        <v/>
      </c>
      <c r="K22" s="84" t="str">
        <f t="array" ref="K22">IFERROR(INDEX(Table1[Routine Activities (PM/ PMCAL, CM, Genba, Isotanker, Material Readiness, Sampling)],SMALL(IF('Monthly View'!$K$3=INT(Table1[Start Date]),MATCH(ROW(Table1[Start Date]),ROW(Table1[Start Date])),""),ROW(A17))),"")</f>
        <v/>
      </c>
    </row>
    <row r="23" spans="2:11" ht="15" customHeight="1" x14ac:dyDescent="0.35">
      <c r="B23" s="1084"/>
      <c r="C23" s="1084"/>
      <c r="D23" s="1084"/>
      <c r="E23" s="1084"/>
      <c r="F23" s="1084"/>
      <c r="G23" s="1084"/>
      <c r="H23" s="1084"/>
      <c r="J23" s="17" t="str">
        <f t="array" ref="J23">IFERROR(HYPERLINK("[Calendar-monthly-view3.xlsm]Schedule!$B$"&amp;MATCH(SMALL(IF('Monthly View'!$K$3=INT(Table1[Start Date]),Table1[Start Date],""),ROW(A18)),Table1[Start Date],0)+2,SMALL(IF('Monthly View'!$K$3=INT(Table1[Start Date]),Table1[Start Date],""),ROW(A18))),"")</f>
        <v/>
      </c>
      <c r="K23" s="84" t="str">
        <f t="array" ref="K23">IFERROR(INDEX(Table1[Routine Activities (PM/ PMCAL, CM, Genba, Isotanker, Material Readiness, Sampling)],SMALL(IF('Monthly View'!$K$3=INT(Table1[Start Date]),MATCH(ROW(Table1[Start Date]),ROW(Table1[Start Date])),""),ROW(A18))),"")</f>
        <v/>
      </c>
    </row>
    <row r="24" spans="2:11" x14ac:dyDescent="0.35">
      <c r="B24" s="1084"/>
      <c r="C24" s="1084"/>
      <c r="D24" s="1084"/>
      <c r="E24" s="1084"/>
      <c r="F24" s="1084"/>
      <c r="G24" s="1084"/>
      <c r="H24" s="1084"/>
      <c r="J24" s="17" t="str">
        <f t="array" ref="J24">IFERROR(HYPERLINK("[Calendar-monthly-view3.xlsm]Schedule!$B$"&amp;MATCH(SMALL(IF('Monthly View'!$K$3=INT(Table1[Start Date]),Table1[Start Date],""),ROW(A19)),Table1[Start Date],0)+2,SMALL(IF('Monthly View'!$K$3=INT(Table1[Start Date]),Table1[Start Date],""),ROW(A19))),"")</f>
        <v/>
      </c>
      <c r="K24" s="84" t="str">
        <f t="array" ref="K24">IFERROR(INDEX(Table1[Routine Activities (PM/ PMCAL, CM, Genba, Isotanker, Material Readiness, Sampling)],SMALL(IF('Monthly View'!$K$3=INT(Table1[Start Date]),MATCH(ROW(Table1[Start Date]),ROW(Table1[Start Date])),""),ROW(A19))),"")</f>
        <v/>
      </c>
    </row>
    <row r="25" spans="2:11" ht="15" customHeight="1" x14ac:dyDescent="0.35">
      <c r="B25" s="1084"/>
      <c r="C25" s="1084"/>
      <c r="D25" s="1084"/>
      <c r="E25" s="1084"/>
      <c r="F25" s="1084"/>
      <c r="G25" s="1084"/>
      <c r="H25" s="1084"/>
      <c r="J25" s="17" t="str">
        <f t="array" ref="J25">IFERROR(HYPERLINK("[Calendar-monthly-view3.xlsm]Schedule!$B$"&amp;MATCH(SMALL(IF('Monthly View'!$K$3=INT(Table1[Start Date]),Table1[Start Date],""),ROW(A20)),Table1[Start Date],0)+2,SMALL(IF('Monthly View'!$K$3=INT(Table1[Start Date]),Table1[Start Date],""),ROW(A20))),"")</f>
        <v/>
      </c>
      <c r="K25" s="84" t="str">
        <f t="array" ref="K25">IFERROR(INDEX(Table1[Routine Activities (PM/ PMCAL, CM, Genba, Isotanker, Material Readiness, Sampling)],SMALL(IF('Monthly View'!$K$3=INT(Table1[Start Date]),MATCH(ROW(Table1[Start Date]),ROW(Table1[Start Date])),""),ROW(A20))),"")</f>
        <v/>
      </c>
    </row>
    <row r="26" spans="2:11" x14ac:dyDescent="0.35">
      <c r="B26" s="1084"/>
      <c r="C26" s="1084"/>
      <c r="D26" s="1084"/>
      <c r="E26" s="1084"/>
      <c r="F26" s="1084"/>
      <c r="G26" s="1084"/>
      <c r="H26" s="1084"/>
      <c r="J26" s="17" t="str">
        <f t="array" ref="J26">IFERROR(HYPERLINK("[Calendar-monthly-view3.xlsm]Schedule!$B$"&amp;MATCH(SMALL(IF('Monthly View'!$K$3=INT(Table1[Start Date]),Table1[Start Date],""),ROW(A21)),Table1[Start Date],0)+2,SMALL(IF('Monthly View'!$K$3=INT(Table1[Start Date]),Table1[Start Date],""),ROW(A21))),"")</f>
        <v/>
      </c>
      <c r="K26" s="84" t="str">
        <f t="array" ref="K26">IFERROR(INDEX(Table1[Routine Activities (PM/ PMCAL, CM, Genba, Isotanker, Material Readiness, Sampling)],SMALL(IF('Monthly View'!$K$3=INT(Table1[Start Date]),MATCH(ROW(Table1[Start Date]),ROW(Table1[Start Date])),""),ROW(A21))),"")</f>
        <v/>
      </c>
    </row>
    <row r="27" spans="2:11" x14ac:dyDescent="0.35">
      <c r="B27" s="1085"/>
      <c r="C27" s="1085"/>
      <c r="D27" s="1085"/>
      <c r="E27" s="1085"/>
      <c r="F27" s="1085"/>
      <c r="G27" s="1085"/>
      <c r="H27" s="1085"/>
      <c r="J27" s="17" t="str">
        <f t="array" ref="J27">IFERROR(HYPERLINK("[Calendar-monthly-view3.xlsm]Schedule!$B$"&amp;MATCH(SMALL(IF('Monthly View'!$K$3=INT(Table1[Start Date]),Table1[Start Date],""),ROW(A22)),Table1[Start Date],0)+2,SMALL(IF('Monthly View'!$K$3=INT(Table1[Start Date]),Table1[Start Date],""),ROW(A22))),"")</f>
        <v/>
      </c>
      <c r="K27" s="84" t="str">
        <f t="array" ref="K27">IFERROR(INDEX(Table1[Routine Activities (PM/ PMCAL, CM, Genba, Isotanker, Material Readiness, Sampling)],SMALL(IF('Monthly View'!$K$3=INT(Table1[Start Date]),MATCH(ROW(Table1[Start Date]),ROW(Table1[Start Date])),""),ROW(A22))),"")</f>
        <v/>
      </c>
    </row>
    <row r="28" spans="2:11" x14ac:dyDescent="0.35">
      <c r="B28" s="7">
        <f>H17+1</f>
        <v>44696</v>
      </c>
      <c r="C28" s="7">
        <f t="shared" ref="C28:H28" si="2">B28+1</f>
        <v>44697</v>
      </c>
      <c r="D28" s="7">
        <f t="shared" si="2"/>
        <v>44698</v>
      </c>
      <c r="E28" s="7">
        <f t="shared" si="2"/>
        <v>44699</v>
      </c>
      <c r="F28" s="7">
        <f t="shared" si="2"/>
        <v>44700</v>
      </c>
      <c r="G28" s="7">
        <f t="shared" si="2"/>
        <v>44701</v>
      </c>
      <c r="H28" s="7">
        <f t="shared" si="2"/>
        <v>44702</v>
      </c>
      <c r="J28" s="17" t="str">
        <f t="array" ref="J28">IFERROR(HYPERLINK("[Calendar-monthly-view3.xlsm]Schedule!$B$"&amp;MATCH(SMALL(IF('Monthly View'!$K$3=INT(Table1[Start Date]),Table1[Start Date],""),ROW(A23)),Table1[Start Date],0)+2,SMALL(IF('Monthly View'!$K$3=INT(Table1[Start Date]),Table1[Start Date],""),ROW(A23))),"")</f>
        <v/>
      </c>
      <c r="K28" s="84" t="str">
        <f t="array" ref="K28">IFERROR(INDEX(Table1[Routine Activities (PM/ PMCAL, CM, Genba, Isotanker, Material Readiness, Sampling)],SMALL(IF('Monthly View'!$K$3=INT(Table1[Start Date]),MATCH(ROW(Table1[Start Date]),ROW(Table1[Start Date])),""),ROW(A23))),"")</f>
        <v/>
      </c>
    </row>
    <row r="29" spans="2:11" x14ac:dyDescent="0.35">
      <c r="B29" s="1084" t="e">
        <f>Lookup_concat(B28,Table1[Start Date],Table1[Short Description])</f>
        <v>#VALUE!</v>
      </c>
      <c r="C29" s="1084" t="e">
        <f>Lookup_concat(C28,Table1[Start Date],Table1[Short Description])</f>
        <v>#VALUE!</v>
      </c>
      <c r="D29" s="1084" t="e">
        <f>Lookup_concat(D28,Table1[Start Date],Table1[Short Description])</f>
        <v>#VALUE!</v>
      </c>
      <c r="E29" s="1084" t="e">
        <f>Lookup_concat(E28,Table1[Start Date],Table1[Short Description])</f>
        <v>#VALUE!</v>
      </c>
      <c r="F29" s="1084" t="e">
        <f>Lookup_concat(F28,Table1[Start Date],Table1[Short Description])</f>
        <v>#VALUE!</v>
      </c>
      <c r="G29" s="1084" t="e">
        <f>Lookup_concat(G28,Table1[Start Date],Table1[Short Description])</f>
        <v>#VALUE!</v>
      </c>
      <c r="H29" s="1084" t="e">
        <f>Lookup_concat(H28,Table1[Start Date],Table1[Short Description])</f>
        <v>#VALUE!</v>
      </c>
      <c r="J29" s="17" t="str">
        <f t="array" ref="J29">IFERROR(HYPERLINK("[Calendar-monthly-view3.xlsm]Schedule!$B$"&amp;MATCH(SMALL(IF('Monthly View'!$K$3=INT(Table1[Start Date]),Table1[Start Date],""),ROW(A24)),Table1[Start Date],0)+2,SMALL(IF('Monthly View'!$K$3=INT(Table1[Start Date]),Table1[Start Date],""),ROW(A24))),"")</f>
        <v/>
      </c>
      <c r="K29" s="84" t="str">
        <f t="array" ref="K29">IFERROR(INDEX(Table1[Routine Activities (PM/ PMCAL, CM, Genba, Isotanker, Material Readiness, Sampling)],SMALL(IF('Monthly View'!$K$3=INT(Table1[Start Date]),MATCH(ROW(Table1[Start Date]),ROW(Table1[Start Date])),""),ROW(A24))),"")</f>
        <v/>
      </c>
    </row>
    <row r="30" spans="2:11" x14ac:dyDescent="0.35">
      <c r="B30" s="1084"/>
      <c r="C30" s="1084"/>
      <c r="D30" s="1084"/>
      <c r="E30" s="1084"/>
      <c r="F30" s="1084"/>
      <c r="G30" s="1084"/>
      <c r="H30" s="1084"/>
      <c r="J30" s="17" t="str">
        <f t="array" ref="J30">IFERROR(HYPERLINK("[Calendar-monthly-view3.xlsm]Schedule!$B$"&amp;MATCH(SMALL(IF('Monthly View'!$K$3=INT(Table1[Start Date]),Table1[Start Date],""),ROW(A25)),Table1[Start Date],0)+2,SMALL(IF('Monthly View'!$K$3=INT(Table1[Start Date]),Table1[Start Date],""),ROW(A25))),"")</f>
        <v/>
      </c>
      <c r="K30" s="84" t="str">
        <f t="array" ref="K30">IFERROR(INDEX(Table1[Routine Activities (PM/ PMCAL, CM, Genba, Isotanker, Material Readiness, Sampling)],SMALL(IF('Monthly View'!$K$3=INT(Table1[Start Date]),MATCH(ROW(Table1[Start Date]),ROW(Table1[Start Date])),""),ROW(A25))),"")</f>
        <v/>
      </c>
    </row>
    <row r="31" spans="2:11" ht="15" customHeight="1" x14ac:dyDescent="0.35">
      <c r="B31" s="1084"/>
      <c r="C31" s="1084"/>
      <c r="D31" s="1084"/>
      <c r="E31" s="1084"/>
      <c r="F31" s="1084"/>
      <c r="G31" s="1084"/>
      <c r="H31" s="1084"/>
      <c r="J31" s="17" t="str">
        <f t="array" ref="J31">IFERROR(HYPERLINK("[Calendar-monthly-view3.xlsm]Schedule!$B$"&amp;MATCH(SMALL(IF('Monthly View'!$K$3=INT(Table1[Start Date]),Table1[Start Date],""),ROW(A26)),Table1[Start Date],0)+2,SMALL(IF('Monthly View'!$K$3=INT(Table1[Start Date]),Table1[Start Date],""),ROW(A26))),"")</f>
        <v/>
      </c>
      <c r="K31" s="84" t="str">
        <f t="array" ref="K31">IFERROR(INDEX(Table1[Routine Activities (PM/ PMCAL, CM, Genba, Isotanker, Material Readiness, Sampling)],SMALL(IF('Monthly View'!$K$3=INT(Table1[Start Date]),MATCH(ROW(Table1[Start Date]),ROW(Table1[Start Date])),""),ROW(A26))),"")</f>
        <v/>
      </c>
    </row>
    <row r="32" spans="2:11" x14ac:dyDescent="0.35">
      <c r="B32" s="1084"/>
      <c r="C32" s="1084"/>
      <c r="D32" s="1084"/>
      <c r="E32" s="1084"/>
      <c r="F32" s="1084"/>
      <c r="G32" s="1084"/>
      <c r="H32" s="1084"/>
      <c r="J32" s="17" t="str">
        <f t="array" ref="J32">IFERROR(HYPERLINK("[Calendar-monthly-view3.xlsm]Schedule!$B$"&amp;MATCH(SMALL(IF('Monthly View'!$K$3=INT(Table1[Start Date]),Table1[Start Date],""),ROW(A27)),Table1[Start Date],0)+2,SMALL(IF('Monthly View'!$K$3=INT(Table1[Start Date]),Table1[Start Date],""),ROW(A27))),"")</f>
        <v/>
      </c>
      <c r="K32" s="84" t="str">
        <f t="array" ref="K32">IFERROR(INDEX(Table1[Routine Activities (PM/ PMCAL, CM, Genba, Isotanker, Material Readiness, Sampling)],SMALL(IF('Monthly View'!$K$3=INT(Table1[Start Date]),MATCH(ROW(Table1[Start Date]),ROW(Table1[Start Date])),""),ROW(A27))),"")</f>
        <v/>
      </c>
    </row>
    <row r="33" spans="2:11" x14ac:dyDescent="0.35">
      <c r="B33" s="1084"/>
      <c r="C33" s="1084"/>
      <c r="D33" s="1084"/>
      <c r="E33" s="1084"/>
      <c r="F33" s="1084"/>
      <c r="G33" s="1084"/>
      <c r="H33" s="1084"/>
      <c r="J33" s="17" t="str">
        <f t="array" ref="J33">IFERROR(HYPERLINK("[Calendar-monthly-view3.xlsm]Schedule!$B$"&amp;MATCH(SMALL(IF('Monthly View'!$K$3=INT(Table1[Start Date]),Table1[Start Date],""),ROW(A28)),Table1[Start Date],0)+2,SMALL(IF('Monthly View'!$K$3=INT(Table1[Start Date]),Table1[Start Date],""),ROW(A28))),"")</f>
        <v/>
      </c>
      <c r="K33" s="84" t="str">
        <f t="array" ref="K33">IFERROR(INDEX(Table1[Routine Activities (PM/ PMCAL, CM, Genba, Isotanker, Material Readiness, Sampling)],SMALL(IF('Monthly View'!$K$3=INT(Table1[Start Date]),MATCH(ROW(Table1[Start Date]),ROW(Table1[Start Date])),""),ROW(A28))),"")</f>
        <v/>
      </c>
    </row>
    <row r="34" spans="2:11" ht="15" customHeight="1" x14ac:dyDescent="0.35">
      <c r="B34" s="1084"/>
      <c r="C34" s="1084"/>
      <c r="D34" s="1084"/>
      <c r="E34" s="1084"/>
      <c r="F34" s="1084"/>
      <c r="G34" s="1084"/>
      <c r="H34" s="1084"/>
      <c r="J34" s="17" t="str">
        <f t="array" ref="J34">IFERROR(HYPERLINK("[Calendar-monthly-view3.xlsm]Schedule!$B$"&amp;MATCH(SMALL(IF('Monthly View'!$K$3=INT(Table1[Start Date]),Table1[Start Date],""),ROW(A29)),Table1[Start Date],0)+2,SMALL(IF('Monthly View'!$K$3=INT(Table1[Start Date]),Table1[Start Date],""),ROW(A29))),"")</f>
        <v/>
      </c>
      <c r="K34" s="84" t="str">
        <f t="array" ref="K34">IFERROR(INDEX(Table1[Routine Activities (PM/ PMCAL, CM, Genba, Isotanker, Material Readiness, Sampling)],SMALL(IF('Monthly View'!$K$3=INT(Table1[Start Date]),MATCH(ROW(Table1[Start Date]),ROW(Table1[Start Date])),""),ROW(A29))),"")</f>
        <v/>
      </c>
    </row>
    <row r="35" spans="2:11" x14ac:dyDescent="0.35">
      <c r="B35" s="1084"/>
      <c r="C35" s="1084"/>
      <c r="D35" s="1084"/>
      <c r="E35" s="1084"/>
      <c r="F35" s="1084"/>
      <c r="G35" s="1084"/>
      <c r="H35" s="1084"/>
      <c r="J35" s="17" t="str">
        <f t="array" ref="J35">IFERROR(HYPERLINK("[Calendar-monthly-view3.xlsm]Schedule!$B$"&amp;MATCH(SMALL(IF('Monthly View'!$K$3=INT(Table1[Start Date]),Table1[Start Date],""),ROW(A30)),Table1[Start Date],0)+2,SMALL(IF('Monthly View'!$K$3=INT(Table1[Start Date]),Table1[Start Date],""),ROW(A30))),"")</f>
        <v/>
      </c>
      <c r="K35" s="84" t="str">
        <f t="array" ref="K35">IFERROR(INDEX(Table1[Routine Activities (PM/ PMCAL, CM, Genba, Isotanker, Material Readiness, Sampling)],SMALL(IF('Monthly View'!$K$3=INT(Table1[Start Date]),MATCH(ROW(Table1[Start Date]),ROW(Table1[Start Date])),""),ROW(A30))),"")</f>
        <v/>
      </c>
    </row>
    <row r="36" spans="2:11" x14ac:dyDescent="0.35">
      <c r="B36" s="1084"/>
      <c r="C36" s="1084"/>
      <c r="D36" s="1084"/>
      <c r="E36" s="1084"/>
      <c r="F36" s="1084"/>
      <c r="G36" s="1084"/>
      <c r="H36" s="1084"/>
      <c r="J36" s="17" t="str">
        <f t="array" ref="J36">IFERROR(HYPERLINK("[Calendar-monthly-view3.xlsm]Schedule!$B$"&amp;MATCH(SMALL(IF('Monthly View'!$K$3=INT(Table1[Start Date]),Table1[Start Date],""),ROW(A31)),Table1[Start Date],0)+2,SMALL(IF('Monthly View'!$K$3=INT(Table1[Start Date]),Table1[Start Date],""),ROW(A31))),"")</f>
        <v/>
      </c>
      <c r="K36" s="84" t="str">
        <f t="array" ref="K36">IFERROR(INDEX(Table1[Routine Activities (PM/ PMCAL, CM, Genba, Isotanker, Material Readiness, Sampling)],SMALL(IF('Monthly View'!$K$3=INT(Table1[Start Date]),MATCH(ROW(Table1[Start Date]),ROW(Table1[Start Date])),""),ROW(A31))),"")</f>
        <v/>
      </c>
    </row>
    <row r="37" spans="2:11" x14ac:dyDescent="0.35">
      <c r="B37" s="1084"/>
      <c r="C37" s="1084"/>
      <c r="D37" s="1084"/>
      <c r="E37" s="1084"/>
      <c r="F37" s="1084"/>
      <c r="G37" s="1084"/>
      <c r="H37" s="1084"/>
      <c r="J37" s="17" t="str">
        <f t="array" ref="J37">IFERROR(HYPERLINK("[Calendar-monthly-view3.xlsm]Schedule!$B$"&amp;MATCH(SMALL(IF('Monthly View'!$K$3=INT(Table1[Start Date]),Table1[Start Date],""),ROW(A32)),Table1[Start Date],0)+2,SMALL(IF('Monthly View'!$K$3=INT(Table1[Start Date]),Table1[Start Date],""),ROW(A32))),"")</f>
        <v/>
      </c>
      <c r="K37" s="84" t="str">
        <f t="array" ref="K37">IFERROR(INDEX(Table1[Routine Activities (PM/ PMCAL, CM, Genba, Isotanker, Material Readiness, Sampling)],SMALL(IF('Monthly View'!$K$3=INT(Table1[Start Date]),MATCH(ROW(Table1[Start Date]),ROW(Table1[Start Date])),""),ROW(A32))),"")</f>
        <v/>
      </c>
    </row>
    <row r="38" spans="2:11" x14ac:dyDescent="0.35">
      <c r="B38" s="1085"/>
      <c r="C38" s="1085"/>
      <c r="D38" s="1085"/>
      <c r="E38" s="1085"/>
      <c r="F38" s="1085"/>
      <c r="G38" s="1085"/>
      <c r="H38" s="1085"/>
      <c r="J38" s="17" t="str">
        <f t="array" ref="J38">IFERROR(HYPERLINK("[Calendar-monthly-view3.xlsm]Schedule!$B$"&amp;MATCH(SMALL(IF('Monthly View'!$K$3=INT(Table1[Start Date]),Table1[Start Date],""),ROW(A33)),Table1[Start Date],0)+2,SMALL(IF('Monthly View'!$K$3=INT(Table1[Start Date]),Table1[Start Date],""),ROW(A33))),"")</f>
        <v/>
      </c>
      <c r="K38" s="84" t="str">
        <f t="array" ref="K38">IFERROR(INDEX(Table1[Routine Activities (PM/ PMCAL, CM, Genba, Isotanker, Material Readiness, Sampling)],SMALL(IF('Monthly View'!$K$3=INT(Table1[Start Date]),MATCH(ROW(Table1[Start Date]),ROW(Table1[Start Date])),""),ROW(A33))),"")</f>
        <v/>
      </c>
    </row>
    <row r="39" spans="2:11" x14ac:dyDescent="0.35">
      <c r="B39" s="7">
        <f>H28+1</f>
        <v>44703</v>
      </c>
      <c r="C39" s="7">
        <f t="shared" ref="C39:H39" si="3">B39+1</f>
        <v>44704</v>
      </c>
      <c r="D39" s="7">
        <f t="shared" si="3"/>
        <v>44705</v>
      </c>
      <c r="E39" s="7">
        <f t="shared" si="3"/>
        <v>44706</v>
      </c>
      <c r="F39" s="7">
        <f t="shared" si="3"/>
        <v>44707</v>
      </c>
      <c r="G39" s="7">
        <f t="shared" si="3"/>
        <v>44708</v>
      </c>
      <c r="H39" s="7">
        <f t="shared" si="3"/>
        <v>44709</v>
      </c>
      <c r="J39" s="17" t="str">
        <f t="array" ref="J39">IFERROR(HYPERLINK("[Calendar-monthly-view3.xlsm]Schedule!$B$"&amp;MATCH(SMALL(IF('Monthly View'!$K$3=INT(Table1[Start Date]),Table1[Start Date],""),ROW(A34)),Table1[Start Date],0)+2,SMALL(IF('Monthly View'!$K$3=INT(Table1[Start Date]),Table1[Start Date],""),ROW(A34))),"")</f>
        <v/>
      </c>
      <c r="K39" s="84" t="str">
        <f t="array" ref="K39">IFERROR(INDEX(Table1[Routine Activities (PM/ PMCAL, CM, Genba, Isotanker, Material Readiness, Sampling)],SMALL(IF('Monthly View'!$K$3=INT(Table1[Start Date]),MATCH(ROW(Table1[Start Date]),ROW(Table1[Start Date])),""),ROW(A34))),"")</f>
        <v/>
      </c>
    </row>
    <row r="40" spans="2:11" x14ac:dyDescent="0.35">
      <c r="B40" s="1084"/>
      <c r="C40" s="1084" t="e">
        <f>Lookup_concat(C39,Table1[Start Date],Table1[Short Description])</f>
        <v>#VALUE!</v>
      </c>
      <c r="D40" s="1084" t="e">
        <f>Lookup_concat(D39,Table1[Start Date],Table1[Short Description])</f>
        <v>#VALUE!</v>
      </c>
      <c r="E40" s="1084" t="e">
        <f>Lookup_concat(E39,Table1[Start Date],Table1[Short Description])</f>
        <v>#VALUE!</v>
      </c>
      <c r="F40" s="1084" t="e">
        <f>Lookup_concat(F39,Table1[Start Date],Table1[Short Description])</f>
        <v>#VALUE!</v>
      </c>
      <c r="G40" s="1084" t="e">
        <f>Lookup_concat(G39,Table1[Start Date],Table1[Short Description])</f>
        <v>#VALUE!</v>
      </c>
      <c r="H40" s="1084" t="e">
        <f>Lookup_concat(H39,Table1[Start Date],Table1[Short Description])</f>
        <v>#VALUE!</v>
      </c>
    </row>
    <row r="41" spans="2:11" x14ac:dyDescent="0.35">
      <c r="B41" s="1084"/>
      <c r="C41" s="1084"/>
      <c r="D41" s="1084"/>
      <c r="E41" s="1084"/>
      <c r="F41" s="1084"/>
      <c r="G41" s="1084"/>
      <c r="H41" s="1084"/>
    </row>
    <row r="42" spans="2:11" x14ac:dyDescent="0.35">
      <c r="B42" s="1084"/>
      <c r="C42" s="1084"/>
      <c r="D42" s="1084"/>
      <c r="E42" s="1084"/>
      <c r="F42" s="1084"/>
      <c r="G42" s="1084"/>
      <c r="H42" s="1084"/>
    </row>
    <row r="43" spans="2:11" x14ac:dyDescent="0.35">
      <c r="B43" s="1084"/>
      <c r="C43" s="1084"/>
      <c r="D43" s="1084"/>
      <c r="E43" s="1084"/>
      <c r="F43" s="1084"/>
      <c r="G43" s="1084"/>
      <c r="H43" s="1084"/>
    </row>
    <row r="44" spans="2:11" x14ac:dyDescent="0.35">
      <c r="B44" s="1084"/>
      <c r="C44" s="1084"/>
      <c r="D44" s="1084"/>
      <c r="E44" s="1084"/>
      <c r="F44" s="1084"/>
      <c r="G44" s="1084"/>
      <c r="H44" s="1084"/>
    </row>
    <row r="45" spans="2:11" ht="15" customHeight="1" x14ac:dyDescent="0.35">
      <c r="B45" s="1084"/>
      <c r="C45" s="1084"/>
      <c r="D45" s="1084"/>
      <c r="E45" s="1084"/>
      <c r="F45" s="1084"/>
      <c r="G45" s="1084"/>
      <c r="H45" s="1084"/>
    </row>
    <row r="46" spans="2:11" x14ac:dyDescent="0.35">
      <c r="B46" s="1084"/>
      <c r="C46" s="1084"/>
      <c r="D46" s="1084"/>
      <c r="E46" s="1084"/>
      <c r="F46" s="1084"/>
      <c r="G46" s="1084"/>
      <c r="H46" s="1084"/>
    </row>
    <row r="47" spans="2:11" x14ac:dyDescent="0.35">
      <c r="B47" s="1084"/>
      <c r="C47" s="1084"/>
      <c r="D47" s="1084"/>
      <c r="E47" s="1084"/>
      <c r="F47" s="1084"/>
      <c r="G47" s="1084"/>
      <c r="H47" s="1084"/>
    </row>
    <row r="48" spans="2:11" x14ac:dyDescent="0.35">
      <c r="B48" s="1084"/>
      <c r="C48" s="1084"/>
      <c r="D48" s="1084"/>
      <c r="E48" s="1084"/>
      <c r="F48" s="1084"/>
      <c r="G48" s="1084"/>
      <c r="H48" s="1084"/>
    </row>
    <row r="49" spans="2:8" x14ac:dyDescent="0.35">
      <c r="B49" s="1085"/>
      <c r="C49" s="1085"/>
      <c r="D49" s="1085"/>
      <c r="E49" s="1085"/>
      <c r="F49" s="1085"/>
      <c r="G49" s="1085"/>
      <c r="H49" s="1085"/>
    </row>
    <row r="50" spans="2:8" x14ac:dyDescent="0.35">
      <c r="B50" s="7">
        <f>H39+1</f>
        <v>44710</v>
      </c>
      <c r="C50" s="7">
        <f t="shared" ref="C50:H50" si="4">B50+1</f>
        <v>44711</v>
      </c>
      <c r="D50" s="7">
        <f t="shared" si="4"/>
        <v>44712</v>
      </c>
      <c r="E50" s="7">
        <f t="shared" si="4"/>
        <v>44713</v>
      </c>
      <c r="F50" s="7">
        <f t="shared" si="4"/>
        <v>44714</v>
      </c>
      <c r="G50" s="7">
        <f t="shared" si="4"/>
        <v>44715</v>
      </c>
      <c r="H50" s="7">
        <f t="shared" si="4"/>
        <v>44716</v>
      </c>
    </row>
    <row r="51" spans="2:8" x14ac:dyDescent="0.35">
      <c r="B51" s="1084" t="e">
        <f>Lookup_concat(B50,Table1[Start Date],Table1[Short Description])</f>
        <v>#VALUE!</v>
      </c>
      <c r="C51" s="1084" t="e">
        <f>Lookup_concat(C50,Table1[Start Date],Table1[Short Description])</f>
        <v>#VALUE!</v>
      </c>
      <c r="D51" s="1084" t="e">
        <f>Lookup_concat(D50,Table1[Start Date],Table1[Short Description])</f>
        <v>#VALUE!</v>
      </c>
      <c r="E51" s="1084" t="e">
        <f>Lookup_concat(E50,Table1[Start Date],Table1[Short Description])</f>
        <v>#VALUE!</v>
      </c>
      <c r="F51" s="1084" t="e">
        <f>Lookup_concat(F50,Table1[Start Date],Table1[Short Description])</f>
        <v>#VALUE!</v>
      </c>
      <c r="G51" s="1084" t="e">
        <f>Lookup_concat(G50,Table1[Start Date],Table1[Short Description])</f>
        <v>#VALUE!</v>
      </c>
      <c r="H51" s="1084" t="e">
        <f>Lookup_concat(H50,Table1[Start Date],Table1[Short Description])</f>
        <v>#VALUE!</v>
      </c>
    </row>
    <row r="52" spans="2:8" x14ac:dyDescent="0.35">
      <c r="B52" s="1084"/>
      <c r="C52" s="1084"/>
      <c r="D52" s="1084"/>
      <c r="E52" s="1084"/>
      <c r="F52" s="1084"/>
      <c r="G52" s="1084"/>
      <c r="H52" s="1084"/>
    </row>
    <row r="53" spans="2:8" x14ac:dyDescent="0.35">
      <c r="B53" s="1084"/>
      <c r="C53" s="1084"/>
      <c r="D53" s="1084"/>
      <c r="E53" s="1084"/>
      <c r="F53" s="1084"/>
      <c r="G53" s="1084"/>
      <c r="H53" s="1084"/>
    </row>
    <row r="54" spans="2:8" x14ac:dyDescent="0.35">
      <c r="B54" s="1084"/>
      <c r="C54" s="1084"/>
      <c r="D54" s="1084"/>
      <c r="E54" s="1084"/>
      <c r="F54" s="1084"/>
      <c r="G54" s="1084"/>
      <c r="H54" s="1084"/>
    </row>
    <row r="55" spans="2:8" x14ac:dyDescent="0.35">
      <c r="B55" s="1084"/>
      <c r="C55" s="1084"/>
      <c r="D55" s="1084"/>
      <c r="E55" s="1084"/>
      <c r="F55" s="1084"/>
      <c r="G55" s="1084"/>
      <c r="H55" s="1084"/>
    </row>
    <row r="56" spans="2:8" ht="15" customHeight="1" x14ac:dyDescent="0.35">
      <c r="B56" s="1084"/>
      <c r="C56" s="1084"/>
      <c r="D56" s="1084"/>
      <c r="E56" s="1084"/>
      <c r="F56" s="1084"/>
      <c r="G56" s="1084"/>
      <c r="H56" s="1084"/>
    </row>
    <row r="57" spans="2:8" x14ac:dyDescent="0.35">
      <c r="B57" s="1084"/>
      <c r="C57" s="1084"/>
      <c r="D57" s="1084"/>
      <c r="E57" s="1084"/>
      <c r="F57" s="1084"/>
      <c r="G57" s="1084"/>
      <c r="H57" s="1084"/>
    </row>
    <row r="58" spans="2:8" x14ac:dyDescent="0.35">
      <c r="B58" s="1084"/>
      <c r="C58" s="1084"/>
      <c r="D58" s="1084"/>
      <c r="E58" s="1084"/>
      <c r="F58" s="1084"/>
      <c r="G58" s="1084"/>
      <c r="H58" s="1084"/>
    </row>
    <row r="59" spans="2:8" x14ac:dyDescent="0.35">
      <c r="B59" s="1084"/>
      <c r="C59" s="1084"/>
      <c r="D59" s="1084"/>
      <c r="E59" s="1084"/>
      <c r="F59" s="1084"/>
      <c r="G59" s="1084"/>
      <c r="H59" s="1084"/>
    </row>
    <row r="60" spans="2:8" x14ac:dyDescent="0.35">
      <c r="B60" s="1085"/>
      <c r="C60" s="1085"/>
      <c r="D60" s="1085"/>
      <c r="E60" s="1085"/>
      <c r="F60" s="1085"/>
      <c r="G60" s="1085"/>
      <c r="H60" s="1085"/>
    </row>
    <row r="61" spans="2:8" x14ac:dyDescent="0.35">
      <c r="B61" s="7">
        <f>H50+1</f>
        <v>44717</v>
      </c>
      <c r="C61" s="7">
        <f t="shared" ref="C61:H61" si="5">B61+1</f>
        <v>44718</v>
      </c>
      <c r="D61" s="7">
        <f t="shared" si="5"/>
        <v>44719</v>
      </c>
      <c r="E61" s="7">
        <f t="shared" si="5"/>
        <v>44720</v>
      </c>
      <c r="F61" s="7">
        <f t="shared" si="5"/>
        <v>44721</v>
      </c>
      <c r="G61" s="7">
        <f t="shared" si="5"/>
        <v>44722</v>
      </c>
      <c r="H61" s="7">
        <f t="shared" si="5"/>
        <v>44723</v>
      </c>
    </row>
    <row r="62" spans="2:8" x14ac:dyDescent="0.35">
      <c r="B62" s="14"/>
      <c r="C62" s="14"/>
      <c r="D62" s="14"/>
      <c r="E62" s="14"/>
      <c r="F62" s="14"/>
      <c r="G62" s="14"/>
      <c r="H62" s="14"/>
    </row>
    <row r="63" spans="2:8" x14ac:dyDescent="0.35">
      <c r="B63" s="14"/>
      <c r="C63" s="14"/>
      <c r="D63" s="14"/>
      <c r="E63" s="14"/>
      <c r="F63" s="14"/>
      <c r="G63" s="14"/>
      <c r="H63" s="14"/>
    </row>
    <row r="64" spans="2:8" x14ac:dyDescent="0.35">
      <c r="B64" s="14"/>
      <c r="C64" s="14"/>
      <c r="D64" s="14"/>
      <c r="E64" s="14"/>
      <c r="F64" s="14"/>
      <c r="G64" s="14"/>
      <c r="H64" s="14"/>
    </row>
    <row r="65" spans="2:8" x14ac:dyDescent="0.35">
      <c r="B65" s="14"/>
      <c r="C65" s="14"/>
      <c r="D65" s="14"/>
      <c r="E65" s="14"/>
      <c r="F65" s="14"/>
      <c r="G65" s="14"/>
      <c r="H65" s="14"/>
    </row>
    <row r="66" spans="2:8" x14ac:dyDescent="0.35">
      <c r="B66" s="14"/>
      <c r="C66" s="14"/>
      <c r="D66" s="14"/>
      <c r="E66" s="14"/>
      <c r="F66" s="14"/>
      <c r="G66" s="14"/>
      <c r="H66" s="14"/>
    </row>
    <row r="67" spans="2:8" ht="26.15" customHeight="1" x14ac:dyDescent="0.35">
      <c r="B67" s="12" t="e">
        <f>Lookup_concat(B61,Table1[Start Date],Table1[Short Description])</f>
        <v>#VALUE!</v>
      </c>
      <c r="C67" s="12" t="e">
        <f>Lookup_concat(C61,Table1[Start Date],Table1[Short Description])</f>
        <v>#VALUE!</v>
      </c>
      <c r="D67" s="12" t="e">
        <f>Lookup_concat(D61,Table1[Start Date],Table1[Short Description])</f>
        <v>#VALUE!</v>
      </c>
      <c r="E67" s="12" t="e">
        <f>Lookup_concat(E61,Table1[Start Date],Table1[Short Description])</f>
        <v>#VALUE!</v>
      </c>
      <c r="F67" s="12" t="e">
        <f>Lookup_concat(F61,Table1[Start Date],Table1[Short Description])</f>
        <v>#VALUE!</v>
      </c>
      <c r="G67" s="12" t="e">
        <f>Lookup_concat(G61,Table1[Start Date],Table1[Short Description])</f>
        <v>#VALUE!</v>
      </c>
      <c r="H67" s="12" t="e">
        <f>Lookup_concat(H61,Table1[Start Date],Table1[Short Description])</f>
        <v>#VALUE!</v>
      </c>
    </row>
    <row r="68" spans="2:8" x14ac:dyDescent="0.35">
      <c r="B68" s="12"/>
      <c r="C68" s="12"/>
      <c r="D68" s="12"/>
      <c r="E68" s="12"/>
      <c r="F68" s="12"/>
      <c r="G68" s="12"/>
      <c r="H68" s="12"/>
    </row>
    <row r="69" spans="2:8" x14ac:dyDescent="0.35">
      <c r="B69" s="12"/>
      <c r="C69" s="12"/>
      <c r="D69" s="12"/>
      <c r="E69" s="12"/>
      <c r="F69" s="12"/>
      <c r="G69" s="12"/>
      <c r="H69" s="12"/>
    </row>
    <row r="70" spans="2:8" x14ac:dyDescent="0.35">
      <c r="B70" s="12"/>
      <c r="C70" s="12"/>
      <c r="D70" s="12"/>
      <c r="E70" s="12"/>
      <c r="F70" s="12"/>
      <c r="G70" s="12"/>
      <c r="H70" s="12"/>
    </row>
    <row r="71" spans="2:8" x14ac:dyDescent="0.35">
      <c r="B71" s="13"/>
      <c r="C71" s="13"/>
      <c r="D71" s="13"/>
      <c r="E71" s="13"/>
      <c r="F71" s="13"/>
      <c r="G71" s="13"/>
      <c r="H71" s="13"/>
    </row>
  </sheetData>
  <mergeCells count="37">
    <mergeCell ref="B1:K1"/>
    <mergeCell ref="D2:E4"/>
    <mergeCell ref="H7:H16"/>
    <mergeCell ref="H29:H38"/>
    <mergeCell ref="B29:B38"/>
    <mergeCell ref="C29:C38"/>
    <mergeCell ref="D29:D38"/>
    <mergeCell ref="E29:E38"/>
    <mergeCell ref="F29:F38"/>
    <mergeCell ref="C18:C27"/>
    <mergeCell ref="D18:D27"/>
    <mergeCell ref="B7:B16"/>
    <mergeCell ref="C7:C16"/>
    <mergeCell ref="D7:D16"/>
    <mergeCell ref="F7:F16"/>
    <mergeCell ref="G7:G16"/>
    <mergeCell ref="G51:G60"/>
    <mergeCell ref="E18:E27"/>
    <mergeCell ref="F18:F27"/>
    <mergeCell ref="G18:G27"/>
    <mergeCell ref="G29:G38"/>
    <mergeCell ref="H18:H27"/>
    <mergeCell ref="E7:E16"/>
    <mergeCell ref="H51:H60"/>
    <mergeCell ref="B40:B49"/>
    <mergeCell ref="C40:C49"/>
    <mergeCell ref="D40:D49"/>
    <mergeCell ref="E40:E49"/>
    <mergeCell ref="F40:F49"/>
    <mergeCell ref="B51:B60"/>
    <mergeCell ref="C51:C60"/>
    <mergeCell ref="D51:D60"/>
    <mergeCell ref="E51:E60"/>
    <mergeCell ref="F51:F60"/>
    <mergeCell ref="G40:G49"/>
    <mergeCell ref="H40:H49"/>
    <mergeCell ref="B18:B27"/>
  </mergeCells>
  <conditionalFormatting sqref="B39:H40">
    <cfRule type="expression" dxfId="11" priority="2">
      <formula>B$39=TODAY()</formula>
    </cfRule>
  </conditionalFormatting>
  <conditionalFormatting sqref="B6:H7">
    <cfRule type="expression" dxfId="10" priority="3">
      <formula>B$6=TODAY()</formula>
    </cfRule>
    <cfRule type="expression" dxfId="9" priority="4">
      <formula>MONTH(B$6)&lt;&gt;MONTH($D$2)</formula>
    </cfRule>
  </conditionalFormatting>
  <conditionalFormatting sqref="B17:H18">
    <cfRule type="expression" dxfId="8" priority="5">
      <formula>B$17=TODAY()</formula>
    </cfRule>
    <cfRule type="expression" dxfId="7" priority="6">
      <formula>MONTH(B$17)&lt;&gt;MONTH($D$2)</formula>
    </cfRule>
  </conditionalFormatting>
  <conditionalFormatting sqref="B61:H71">
    <cfRule type="expression" dxfId="6" priority="11">
      <formula>B$61=TODAY()</formula>
    </cfRule>
    <cfRule type="expression" dxfId="5" priority="12">
      <formula>MONTH(B$61)&lt;&gt;MONTH($D$2)</formula>
    </cfRule>
  </conditionalFormatting>
  <conditionalFormatting sqref="B50:H51">
    <cfRule type="expression" dxfId="4" priority="9">
      <formula>B$50=TODAY()</formula>
    </cfRule>
    <cfRule type="expression" dxfId="3" priority="10">
      <formula>MONTH(B$50)&lt;&gt;MONTH($D$2)</formula>
    </cfRule>
  </conditionalFormatting>
  <conditionalFormatting sqref="B28:H29">
    <cfRule type="expression" dxfId="2" priority="7">
      <formula>B$28=TODAY()</formula>
    </cfRule>
    <cfRule type="expression" dxfId="1" priority="8">
      <formula>MONTH(B$28)&lt;&gt;MONTH($D$2)</formula>
    </cfRule>
  </conditionalFormatting>
  <conditionalFormatting sqref="B40:H41">
    <cfRule type="expression" dxfId="0" priority="1">
      <formula>MONTH(B$28)&lt;&gt;MONTH($D$2)</formula>
    </cfRule>
  </conditionalFormatting>
  <hyperlinks>
    <hyperlink ref="B3" location="Schedule!A1" display="Go to schedule" xr:uid="{52C6A95E-CCC6-4077-A35C-173089660123}"/>
  </hyperlinks>
  <pageMargins left="0.7" right="0.7" top="0.75" bottom="0.75" header="0.3" footer="0.3"/>
  <pageSetup paperSize="9" orientation="landscape" r:id="rId1"/>
  <headerFooter>
    <oddFooter>&amp;C&amp;1#&amp;"Calibri"&amp;10&amp;K000000 Non-Amgen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3457" r:id="rId4" name="Button 1">
              <controlPr defaultSize="0" print="0" autoFill="0" autoPict="0" macro="[0]!AddEvent">
                <anchor moveWithCells="1" sizeWithCells="1">
                  <from>
                    <xdr:col>14</xdr:col>
                    <xdr:colOff>222250</xdr:colOff>
                    <xdr:row>4</xdr:row>
                    <xdr:rowOff>38100</xdr:rowOff>
                  </from>
                  <to>
                    <xdr:col>15</xdr:col>
                    <xdr:colOff>266700</xdr:colOff>
                    <xdr:row>5</xdr:row>
                    <xdr:rowOff>107950</xdr:rowOff>
                  </to>
                </anchor>
              </controlPr>
            </control>
          </mc:Choice>
        </mc:AlternateContent>
        <mc:AlternateContent xmlns:mc="http://schemas.openxmlformats.org/markup-compatibility/2006">
          <mc:Choice Requires="x14">
            <control shapeId="403458" r:id="rId5" name="Button 2">
              <controlPr defaultSize="0" print="0" autoFill="0" autoPict="0" macro="[0]!Button1_Click">
                <anchor moveWithCells="1" sizeWithCells="1">
                  <from>
                    <xdr:col>5</xdr:col>
                    <xdr:colOff>717550</xdr:colOff>
                    <xdr:row>2</xdr:row>
                    <xdr:rowOff>0</xdr:rowOff>
                  </from>
                  <to>
                    <xdr:col>5</xdr:col>
                    <xdr:colOff>1174750</xdr:colOff>
                    <xdr:row>3</xdr:row>
                    <xdr:rowOff>0</xdr:rowOff>
                  </to>
                </anchor>
              </controlPr>
            </control>
          </mc:Choice>
        </mc:AlternateContent>
        <mc:AlternateContent xmlns:mc="http://schemas.openxmlformats.org/markup-compatibility/2006">
          <mc:Choice Requires="x14">
            <control shapeId="403459" r:id="rId6" name="Button 3">
              <controlPr defaultSize="0" print="0" autoFill="0" autoPict="0" macro="[0]!PreviousMonth">
                <anchor moveWithCells="1" sizeWithCells="1">
                  <from>
                    <xdr:col>6</xdr:col>
                    <xdr:colOff>717550</xdr:colOff>
                    <xdr:row>2</xdr:row>
                    <xdr:rowOff>0</xdr:rowOff>
                  </from>
                  <to>
                    <xdr:col>6</xdr:col>
                    <xdr:colOff>1174750</xdr:colOff>
                    <xdr:row>3</xdr:row>
                    <xdr:rowOff>0</xdr:rowOff>
                  </to>
                </anchor>
              </controlPr>
            </control>
          </mc:Choice>
        </mc:AlternateContent>
        <mc:AlternateContent xmlns:mc="http://schemas.openxmlformats.org/markup-compatibility/2006">
          <mc:Choice Requires="x14">
            <control shapeId="403460" r:id="rId7" name="Button 4">
              <controlPr defaultSize="0" print="0" autoFill="0" autoPict="0" macro="[0]!NextMonth">
                <anchor moveWithCells="1" sizeWithCells="1">
                  <from>
                    <xdr:col>7</xdr:col>
                    <xdr:colOff>107950</xdr:colOff>
                    <xdr:row>2</xdr:row>
                    <xdr:rowOff>0</xdr:rowOff>
                  </from>
                  <to>
                    <xdr:col>7</xdr:col>
                    <xdr:colOff>565150</xdr:colOff>
                    <xdr:row>3</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A9433A-82EA-4C94-8F1A-01C281F9EBA3}">
  <sheetPr codeName="Sheet109">
    <pageSetUpPr autoPageBreaks="0"/>
  </sheetPr>
  <dimension ref="A1:J50"/>
  <sheetViews>
    <sheetView topLeftCell="A3" zoomScaleNormal="100" workbookViewId="0">
      <selection activeCell="F21" sqref="F21"/>
    </sheetView>
  </sheetViews>
  <sheetFormatPr defaultColWidth="23.453125" defaultRowHeight="11.5" x14ac:dyDescent="0.25"/>
  <cols>
    <col min="1" max="1" width="28.453125" style="25" customWidth="1"/>
    <col min="2" max="2" width="25.453125" style="25" bestFit="1" customWidth="1"/>
    <col min="3" max="3" width="23.453125" style="25"/>
    <col min="4" max="4" width="17.453125" style="25" hidden="1" customWidth="1"/>
    <col min="5" max="5" width="23.453125" style="25"/>
    <col min="6" max="6" width="76.54296875" style="25" bestFit="1" customWidth="1"/>
    <col min="7" max="7" width="27.453125" style="25" customWidth="1"/>
    <col min="8" max="8" width="9" style="25" bestFit="1" customWidth="1"/>
    <col min="9" max="9" width="9.54296875" style="25" bestFit="1" customWidth="1"/>
    <col min="10" max="10" width="9.54296875" style="25" customWidth="1"/>
    <col min="11" max="16384" width="23.453125" style="25"/>
  </cols>
  <sheetData>
    <row r="1" spans="1:10" ht="12" thickBot="1" x14ac:dyDescent="0.3">
      <c r="A1" s="1047" t="s">
        <v>479</v>
      </c>
      <c r="B1" s="1048"/>
    </row>
    <row r="2" spans="1:10" x14ac:dyDescent="0.25">
      <c r="A2" s="43" t="s">
        <v>480</v>
      </c>
      <c r="B2" s="319">
        <f>A12</f>
        <v>44599.5</v>
      </c>
    </row>
    <row r="3" spans="1:10" ht="12" thickBot="1" x14ac:dyDescent="0.3">
      <c r="A3" s="42" t="s">
        <v>482</v>
      </c>
      <c r="B3" s="406">
        <v>44599.5</v>
      </c>
    </row>
    <row r="5" spans="1:10" x14ac:dyDescent="0.25">
      <c r="A5" s="1049" t="s">
        <v>484</v>
      </c>
      <c r="B5" s="1050"/>
      <c r="C5" s="1050"/>
      <c r="D5" s="1051"/>
    </row>
    <row r="6" spans="1:10" x14ac:dyDescent="0.25">
      <c r="A6" s="781" t="s">
        <v>485</v>
      </c>
      <c r="B6" s="781" t="s">
        <v>486</v>
      </c>
      <c r="C6" s="781" t="s">
        <v>487</v>
      </c>
      <c r="D6" s="781" t="s">
        <v>488</v>
      </c>
    </row>
    <row r="7" spans="1:10" x14ac:dyDescent="0.25">
      <c r="A7" s="41" t="str">
        <f>F15</f>
        <v>IPC1.0: Reaction Conversion</v>
      </c>
      <c r="B7" s="40">
        <f>INDEX($A$12:$A$62,MATCH(A7,$F$12:$F$45,0))</f>
        <v>44599.854166666664</v>
      </c>
      <c r="C7" s="37">
        <f>INDEX($B$12:$B$62,MATCH(A7,$F$12:$F$45,0))</f>
        <v>44599.854166666664</v>
      </c>
      <c r="D7" s="297"/>
    </row>
    <row r="8" spans="1:10" x14ac:dyDescent="0.25">
      <c r="A8" s="41" t="str">
        <f>F24</f>
        <v>IPC2.0: Purity, LOD</v>
      </c>
      <c r="B8" s="40">
        <f>INDEX($A$12:$A$62,MATCH(A8,$F$12:$F$45,0))</f>
        <v>44601.378472222219</v>
      </c>
      <c r="C8" s="37">
        <f>INDEX($B$12:$B$62,MATCH(A8,$F$12:$F$45,0))</f>
        <v>44601.378472222219</v>
      </c>
      <c r="D8" s="297"/>
      <c r="E8" s="298"/>
    </row>
    <row r="9" spans="1:10" x14ac:dyDescent="0.25">
      <c r="A9" s="41" t="s">
        <v>2428</v>
      </c>
      <c r="B9" s="40">
        <f>INDEX($A$12:$A$62,MATCH(A9,$F$12:$F$45,0))</f>
        <v>44603.211805555547</v>
      </c>
      <c r="C9" s="37">
        <f>B33</f>
        <v>44603.270833333328</v>
      </c>
      <c r="D9" s="297"/>
      <c r="E9" s="298"/>
    </row>
    <row r="11" spans="1:10" ht="23" x14ac:dyDescent="0.25">
      <c r="A11" s="781" t="s">
        <v>492</v>
      </c>
      <c r="B11" s="781" t="s">
        <v>493</v>
      </c>
      <c r="C11" s="781" t="s">
        <v>494</v>
      </c>
      <c r="D11" s="500" t="s">
        <v>495</v>
      </c>
      <c r="E11" s="781" t="s">
        <v>540</v>
      </c>
      <c r="F11" s="781" t="s">
        <v>541</v>
      </c>
      <c r="G11" s="781" t="s">
        <v>498</v>
      </c>
      <c r="H11" s="501" t="s">
        <v>112</v>
      </c>
      <c r="I11" s="781" t="s">
        <v>542</v>
      </c>
      <c r="J11" s="781" t="s">
        <v>2429</v>
      </c>
    </row>
    <row r="12" spans="1:10" x14ac:dyDescent="0.25">
      <c r="A12" s="31">
        <f>B3</f>
        <v>44599.5</v>
      </c>
      <c r="B12" s="37">
        <f>B3</f>
        <v>44599.5</v>
      </c>
      <c r="C12" s="170">
        <v>7.2916666666666671E-2</v>
      </c>
      <c r="D12" s="327"/>
      <c r="E12" s="37">
        <f t="shared" ref="E12:E34" si="0">B12+C12</f>
        <v>44599.572916666664</v>
      </c>
      <c r="F12" s="264" t="s">
        <v>543</v>
      </c>
      <c r="G12" s="862" t="s">
        <v>2430</v>
      </c>
      <c r="H12" s="78"/>
      <c r="I12" s="78"/>
      <c r="J12" s="78"/>
    </row>
    <row r="13" spans="1:10" ht="12.75" customHeight="1" x14ac:dyDescent="0.25">
      <c r="A13" s="31">
        <f t="shared" ref="A13:A34" si="1">IF(D12 = "",A12+C12,A12+D12)</f>
        <v>44599.572916666664</v>
      </c>
      <c r="B13" s="37">
        <f t="shared" ref="B13:B34" si="2">IF(D12 = "",B12+C12,B12+D12)</f>
        <v>44599.572916666664</v>
      </c>
      <c r="C13" s="170">
        <v>7.2916666666666671E-2</v>
      </c>
      <c r="D13" s="327" t="str">
        <f t="shared" ref="D13:D34" si="3">IF(_xlfn.ISFORMULA(E13)=TRUE,"",E13-B13)</f>
        <v/>
      </c>
      <c r="E13" s="37">
        <f t="shared" si="0"/>
        <v>44599.645833333328</v>
      </c>
      <c r="F13" s="264" t="s">
        <v>544</v>
      </c>
      <c r="G13" s="863" t="s">
        <v>2430</v>
      </c>
      <c r="H13" s="35"/>
      <c r="I13" s="35"/>
      <c r="J13" s="35"/>
    </row>
    <row r="14" spans="1:10" ht="12.75" customHeight="1" x14ac:dyDescent="0.25">
      <c r="A14" s="31">
        <f t="shared" si="1"/>
        <v>44599.645833333328</v>
      </c>
      <c r="B14" s="37">
        <f t="shared" si="2"/>
        <v>44599.645833333328</v>
      </c>
      <c r="C14" s="170">
        <v>0.20833333333333334</v>
      </c>
      <c r="D14" s="327" t="str">
        <f t="shared" si="3"/>
        <v/>
      </c>
      <c r="E14" s="37">
        <f t="shared" si="0"/>
        <v>44599.854166666664</v>
      </c>
      <c r="F14" s="264" t="s">
        <v>545</v>
      </c>
      <c r="G14" s="39"/>
      <c r="H14" s="39"/>
      <c r="I14" s="39"/>
      <c r="J14" s="39"/>
    </row>
    <row r="15" spans="1:10" ht="13.5" customHeight="1" x14ac:dyDescent="0.25">
      <c r="A15" s="31">
        <f t="shared" si="1"/>
        <v>44599.854166666664</v>
      </c>
      <c r="B15" s="37">
        <f t="shared" si="2"/>
        <v>44599.854166666664</v>
      </c>
      <c r="C15" s="170">
        <v>0.10416666666666667</v>
      </c>
      <c r="D15" s="327"/>
      <c r="E15" s="37">
        <f t="shared" si="0"/>
        <v>44599.958333333328</v>
      </c>
      <c r="F15" s="320" t="s">
        <v>546</v>
      </c>
      <c r="G15" s="35"/>
      <c r="H15" s="35"/>
      <c r="I15" s="35"/>
      <c r="J15" s="35"/>
    </row>
    <row r="16" spans="1:10" x14ac:dyDescent="0.25">
      <c r="A16" s="31">
        <f t="shared" si="1"/>
        <v>44599.958333333328</v>
      </c>
      <c r="B16" s="37">
        <f t="shared" si="2"/>
        <v>44599.958333333328</v>
      </c>
      <c r="C16" s="172">
        <v>0.57638888888888895</v>
      </c>
      <c r="D16" s="327" t="str">
        <f t="shared" si="3"/>
        <v/>
      </c>
      <c r="E16" s="37">
        <f t="shared" si="0"/>
        <v>44600.534722222219</v>
      </c>
      <c r="F16" s="264" t="s">
        <v>547</v>
      </c>
      <c r="G16" s="35"/>
      <c r="H16" s="497">
        <v>384</v>
      </c>
      <c r="I16" s="497">
        <v>384</v>
      </c>
      <c r="J16" s="235"/>
    </row>
    <row r="17" spans="1:10" hidden="1" x14ac:dyDescent="0.25">
      <c r="A17" s="31">
        <f t="shared" si="1"/>
        <v>44600.534722222219</v>
      </c>
      <c r="B17" s="504">
        <f>E16 + B50</f>
        <v>44600.576388888883</v>
      </c>
      <c r="C17" s="509">
        <v>0</v>
      </c>
      <c r="D17" s="505" t="str">
        <f t="shared" si="3"/>
        <v/>
      </c>
      <c r="E17" s="504">
        <f t="shared" si="0"/>
        <v>44600.576388888883</v>
      </c>
      <c r="F17" s="506" t="s">
        <v>2431</v>
      </c>
      <c r="G17" s="492"/>
      <c r="H17" s="495"/>
      <c r="I17" s="495"/>
      <c r="J17" s="495">
        <v>200</v>
      </c>
    </row>
    <row r="18" spans="1:10" ht="13.5" customHeight="1" x14ac:dyDescent="0.25">
      <c r="A18" s="31">
        <f t="shared" si="1"/>
        <v>44600.534722222219</v>
      </c>
      <c r="B18" s="37">
        <f>IF(D16 = "",B16+C16,B16+D16)</f>
        <v>44600.534722222219</v>
      </c>
      <c r="C18" s="172">
        <v>0.2638888888888889</v>
      </c>
      <c r="D18" s="327" t="str">
        <f t="shared" si="3"/>
        <v/>
      </c>
      <c r="E18" s="37">
        <f t="shared" si="0"/>
        <v>44600.798611111109</v>
      </c>
      <c r="F18" s="264" t="s">
        <v>548</v>
      </c>
      <c r="G18" s="35"/>
      <c r="H18" s="497"/>
      <c r="I18" s="497"/>
      <c r="J18" s="497"/>
    </row>
    <row r="19" spans="1:10" ht="13.5" hidden="1" customHeight="1" x14ac:dyDescent="0.25">
      <c r="A19" s="31">
        <f t="shared" si="1"/>
        <v>44600.798611111109</v>
      </c>
      <c r="B19" s="504">
        <f>E17</f>
        <v>44600.576388888883</v>
      </c>
      <c r="C19" s="172">
        <v>0</v>
      </c>
      <c r="D19" s="505" t="str">
        <f t="shared" si="3"/>
        <v/>
      </c>
      <c r="E19" s="504">
        <f>B19+C19</f>
        <v>44600.576388888883</v>
      </c>
      <c r="F19" s="506" t="s">
        <v>2432</v>
      </c>
      <c r="G19" s="507"/>
      <c r="H19" s="495">
        <v>384</v>
      </c>
      <c r="I19" s="495">
        <v>384</v>
      </c>
      <c r="J19" s="495"/>
    </row>
    <row r="20" spans="1:10" ht="12" customHeight="1" x14ac:dyDescent="0.25">
      <c r="A20" s="31">
        <f t="shared" si="1"/>
        <v>44600.798611111109</v>
      </c>
      <c r="B20" s="37">
        <f>IF(D18 = "",B18+C18,B18+D18)</f>
        <v>44600.798611111109</v>
      </c>
      <c r="C20" s="172">
        <v>4.8611111111111112E-2</v>
      </c>
      <c r="D20" s="327" t="str">
        <f t="shared" si="3"/>
        <v/>
      </c>
      <c r="E20" s="37">
        <f t="shared" si="0"/>
        <v>44600.847222222219</v>
      </c>
      <c r="F20" s="264" t="s">
        <v>549</v>
      </c>
      <c r="G20" s="39"/>
      <c r="H20" s="1052">
        <v>677.74</v>
      </c>
      <c r="I20" s="1052">
        <f>SUM(H20)</f>
        <v>677.74</v>
      </c>
      <c r="J20" s="1052"/>
    </row>
    <row r="21" spans="1:10" ht="12.75" customHeight="1" x14ac:dyDescent="0.25">
      <c r="A21" s="31">
        <f t="shared" si="1"/>
        <v>44600.847222222219</v>
      </c>
      <c r="B21" s="37">
        <f t="shared" si="2"/>
        <v>44600.847222222219</v>
      </c>
      <c r="C21" s="172">
        <v>6.25E-2</v>
      </c>
      <c r="D21" s="327"/>
      <c r="E21" s="37">
        <f t="shared" si="0"/>
        <v>44600.909722222219</v>
      </c>
      <c r="F21" s="264" t="s">
        <v>550</v>
      </c>
      <c r="G21" s="35"/>
      <c r="H21" s="1052"/>
      <c r="I21" s="1052"/>
      <c r="J21" s="1052"/>
    </row>
    <row r="22" spans="1:10" x14ac:dyDescent="0.25">
      <c r="A22" s="31">
        <f t="shared" si="1"/>
        <v>44600.909722222219</v>
      </c>
      <c r="B22" s="37">
        <f t="shared" si="2"/>
        <v>44600.909722222219</v>
      </c>
      <c r="C22" s="170">
        <v>0.42708333333333331</v>
      </c>
      <c r="D22" s="327" t="str">
        <f t="shared" si="3"/>
        <v/>
      </c>
      <c r="E22" s="37">
        <f t="shared" si="0"/>
        <v>44601.336805555555</v>
      </c>
      <c r="F22" s="264" t="s">
        <v>551</v>
      </c>
      <c r="G22" s="35"/>
      <c r="H22" s="1052"/>
      <c r="I22" s="1052"/>
      <c r="J22" s="1052"/>
    </row>
    <row r="23" spans="1:10" x14ac:dyDescent="0.25">
      <c r="A23" s="31">
        <f t="shared" si="1"/>
        <v>44601.336805555555</v>
      </c>
      <c r="B23" s="37">
        <f t="shared" si="2"/>
        <v>44601.336805555555</v>
      </c>
      <c r="C23" s="170">
        <v>4.1666666666666664E-2</v>
      </c>
      <c r="D23" s="327" t="str">
        <f t="shared" si="3"/>
        <v/>
      </c>
      <c r="E23" s="37">
        <f t="shared" si="0"/>
        <v>44601.378472222219</v>
      </c>
      <c r="F23" s="240" t="s">
        <v>552</v>
      </c>
      <c r="G23" s="863" t="s">
        <v>2430</v>
      </c>
      <c r="H23" s="773"/>
      <c r="I23" s="773"/>
      <c r="J23" s="773"/>
    </row>
    <row r="24" spans="1:10" ht="12" customHeight="1" x14ac:dyDescent="0.25">
      <c r="A24" s="31">
        <f t="shared" si="1"/>
        <v>44601.378472222219</v>
      </c>
      <c r="B24" s="37">
        <f t="shared" si="2"/>
        <v>44601.378472222219</v>
      </c>
      <c r="C24" s="170">
        <v>0.27083333333333331</v>
      </c>
      <c r="D24" s="327" t="str">
        <f t="shared" si="3"/>
        <v/>
      </c>
      <c r="E24" s="37">
        <f t="shared" si="0"/>
        <v>44601.649305555555</v>
      </c>
      <c r="F24" s="320" t="s">
        <v>553</v>
      </c>
      <c r="G24" s="863" t="s">
        <v>2430</v>
      </c>
      <c r="H24" s="35"/>
      <c r="I24" s="35"/>
      <c r="J24" s="35"/>
    </row>
    <row r="25" spans="1:10" ht="12" customHeight="1" x14ac:dyDescent="0.25">
      <c r="A25" s="494">
        <f t="shared" si="1"/>
        <v>44601.649305555555</v>
      </c>
      <c r="B25" s="493">
        <f t="shared" si="2"/>
        <v>44601.649305555555</v>
      </c>
      <c r="C25" s="170">
        <v>0.10416666666666667</v>
      </c>
      <c r="D25" s="498" t="str">
        <f t="shared" si="3"/>
        <v/>
      </c>
      <c r="E25" s="493">
        <f t="shared" si="0"/>
        <v>44601.753472222219</v>
      </c>
      <c r="F25" s="492" t="s">
        <v>2433</v>
      </c>
      <c r="G25" s="863" t="s">
        <v>2430</v>
      </c>
      <c r="H25" s="495">
        <v>500</v>
      </c>
      <c r="I25" s="495">
        <v>500</v>
      </c>
      <c r="J25" s="495"/>
    </row>
    <row r="26" spans="1:10" x14ac:dyDescent="0.25">
      <c r="A26" s="31">
        <f t="shared" si="1"/>
        <v>44601.753472222219</v>
      </c>
      <c r="B26" s="37">
        <f t="shared" si="2"/>
        <v>44601.753472222219</v>
      </c>
      <c r="C26" s="170">
        <v>0.27083333333333331</v>
      </c>
      <c r="D26" s="327" t="str">
        <f t="shared" si="3"/>
        <v/>
      </c>
      <c r="E26" s="37">
        <f t="shared" si="0"/>
        <v>44602.024305555555</v>
      </c>
      <c r="F26" s="35" t="s">
        <v>2434</v>
      </c>
      <c r="G26" s="35"/>
      <c r="H26" s="497">
        <v>708</v>
      </c>
      <c r="I26" s="511">
        <v>708</v>
      </c>
      <c r="J26" s="35"/>
    </row>
    <row r="27" spans="1:10" x14ac:dyDescent="0.25">
      <c r="A27" s="31">
        <f t="shared" si="1"/>
        <v>44602.024305555555</v>
      </c>
      <c r="B27" s="329">
        <f t="shared" si="2"/>
        <v>44602.024305555555</v>
      </c>
      <c r="C27" s="170">
        <v>0.29166666666666669</v>
      </c>
      <c r="D27" s="327" t="str">
        <f t="shared" si="3"/>
        <v/>
      </c>
      <c r="E27" s="37">
        <f t="shared" si="0"/>
        <v>44602.315972222219</v>
      </c>
      <c r="F27" s="35" t="s">
        <v>2435</v>
      </c>
      <c r="G27" s="35"/>
      <c r="H27" s="497">
        <v>720</v>
      </c>
      <c r="I27" s="511">
        <v>720</v>
      </c>
      <c r="J27" s="35"/>
    </row>
    <row r="28" spans="1:10" x14ac:dyDescent="0.25">
      <c r="A28" s="864">
        <f t="shared" si="1"/>
        <v>44602.315972222219</v>
      </c>
      <c r="B28" s="37">
        <v>44602.375</v>
      </c>
      <c r="C28" s="865">
        <v>0.25</v>
      </c>
      <c r="D28" s="327" t="str">
        <f t="shared" si="3"/>
        <v/>
      </c>
      <c r="E28" s="37">
        <f t="shared" si="0"/>
        <v>44602.625</v>
      </c>
      <c r="F28" s="35" t="s">
        <v>2436</v>
      </c>
      <c r="G28" s="739"/>
      <c r="H28" s="497"/>
      <c r="I28" s="511"/>
      <c r="J28" s="35"/>
    </row>
    <row r="29" spans="1:10" x14ac:dyDescent="0.25">
      <c r="A29" s="31">
        <f t="shared" si="1"/>
        <v>44602.565972222219</v>
      </c>
      <c r="B29" s="331">
        <f t="shared" si="2"/>
        <v>44602.625</v>
      </c>
      <c r="C29" s="170">
        <v>4.1666666666666664E-2</v>
      </c>
      <c r="D29" s="327" t="str">
        <f t="shared" si="3"/>
        <v/>
      </c>
      <c r="E29" s="37">
        <f t="shared" si="0"/>
        <v>44602.666666666664</v>
      </c>
      <c r="F29" s="35" t="s">
        <v>549</v>
      </c>
      <c r="G29" s="35"/>
      <c r="H29" s="320"/>
      <c r="I29" s="181"/>
      <c r="J29" s="181"/>
    </row>
    <row r="30" spans="1:10" x14ac:dyDescent="0.25">
      <c r="A30" s="31">
        <f t="shared" si="1"/>
        <v>44602.607638888883</v>
      </c>
      <c r="B30" s="37">
        <f t="shared" si="2"/>
        <v>44602.666666666664</v>
      </c>
      <c r="C30" s="170">
        <v>8.3333333333333329E-2</v>
      </c>
      <c r="D30" s="327" t="str">
        <f t="shared" si="3"/>
        <v/>
      </c>
      <c r="E30" s="37">
        <f t="shared" si="0"/>
        <v>44602.75</v>
      </c>
      <c r="F30" s="35" t="s">
        <v>672</v>
      </c>
      <c r="G30" s="35"/>
      <c r="H30" s="320"/>
      <c r="I30" s="181"/>
      <c r="J30" s="181"/>
    </row>
    <row r="31" spans="1:10" x14ac:dyDescent="0.25">
      <c r="A31" s="31">
        <f t="shared" si="1"/>
        <v>44602.690972222219</v>
      </c>
      <c r="B31" s="37">
        <f t="shared" si="2"/>
        <v>44602.75</v>
      </c>
      <c r="C31" s="170">
        <v>0.47916666666666669</v>
      </c>
      <c r="D31" s="327" t="str">
        <f t="shared" si="3"/>
        <v/>
      </c>
      <c r="E31" s="37">
        <f t="shared" si="0"/>
        <v>44603.229166666664</v>
      </c>
      <c r="F31" s="35" t="s">
        <v>551</v>
      </c>
      <c r="G31" s="35"/>
      <c r="H31" s="497">
        <v>290.7</v>
      </c>
      <c r="I31" s="512">
        <v>290.7</v>
      </c>
      <c r="J31" s="497"/>
    </row>
    <row r="32" spans="1:10" x14ac:dyDescent="0.25">
      <c r="A32" s="31">
        <f t="shared" si="1"/>
        <v>44603.170138888883</v>
      </c>
      <c r="B32" s="37">
        <f t="shared" si="2"/>
        <v>44603.229166666664</v>
      </c>
      <c r="C32" s="170">
        <v>4.1666666666666664E-2</v>
      </c>
      <c r="D32" s="327" t="str">
        <f t="shared" si="3"/>
        <v/>
      </c>
      <c r="E32" s="37">
        <f t="shared" si="0"/>
        <v>44603.270833333328</v>
      </c>
      <c r="F32" s="35" t="s">
        <v>2437</v>
      </c>
      <c r="G32" s="863" t="s">
        <v>2430</v>
      </c>
      <c r="H32" s="35"/>
      <c r="I32" s="35"/>
      <c r="J32" s="35"/>
    </row>
    <row r="33" spans="1:10" x14ac:dyDescent="0.25">
      <c r="A33" s="31">
        <f t="shared" si="1"/>
        <v>44603.211805555547</v>
      </c>
      <c r="B33" s="37">
        <f t="shared" si="2"/>
        <v>44603.270833333328</v>
      </c>
      <c r="C33" s="170">
        <v>0.22916666666666666</v>
      </c>
      <c r="D33" s="327" t="str">
        <f t="shared" si="3"/>
        <v/>
      </c>
      <c r="E33" s="37">
        <f t="shared" si="0"/>
        <v>44603.499999999993</v>
      </c>
      <c r="F33" s="320" t="s">
        <v>2428</v>
      </c>
      <c r="G33" s="863" t="s">
        <v>2430</v>
      </c>
      <c r="H33" s="35"/>
      <c r="I33" s="35"/>
      <c r="J33" s="35"/>
    </row>
    <row r="34" spans="1:10" x14ac:dyDescent="0.25">
      <c r="A34" s="31">
        <f t="shared" si="1"/>
        <v>44603.440972222212</v>
      </c>
      <c r="B34" s="37">
        <f t="shared" si="2"/>
        <v>44603.499999999993</v>
      </c>
      <c r="C34" s="170">
        <v>0.10416666666666667</v>
      </c>
      <c r="D34" s="327" t="str">
        <f t="shared" si="3"/>
        <v/>
      </c>
      <c r="E34" s="37">
        <f t="shared" si="0"/>
        <v>44603.604166666657</v>
      </c>
      <c r="F34" s="35" t="s">
        <v>2438</v>
      </c>
      <c r="G34" s="863" t="s">
        <v>2430</v>
      </c>
      <c r="H34" s="35"/>
      <c r="I34" s="35"/>
      <c r="J34" s="35"/>
    </row>
    <row r="35" spans="1:10" ht="21" x14ac:dyDescent="0.55000000000000004">
      <c r="A35" s="34"/>
      <c r="B35" s="33" t="s">
        <v>534</v>
      </c>
      <c r="C35" s="32">
        <f>SUM(C12:C34)</f>
        <v>4.0451388888888884</v>
      </c>
      <c r="D35" s="32">
        <f>SUM(D12:D25)</f>
        <v>0</v>
      </c>
      <c r="G35" s="243" t="s">
        <v>535</v>
      </c>
      <c r="H35" s="496">
        <f>SUM(H12:H34)</f>
        <v>3664.4399999999996</v>
      </c>
      <c r="I35" s="499">
        <f>SUM(I12:I34)</f>
        <v>3664.4399999999996</v>
      </c>
      <c r="J35" s="183">
        <f>SUM(J12:J34)</f>
        <v>200</v>
      </c>
    </row>
    <row r="36" spans="1:10" x14ac:dyDescent="0.25">
      <c r="B36" s="31" t="s">
        <v>536</v>
      </c>
      <c r="C36" s="30">
        <f>(C35*60)/1440</f>
        <v>0.16854745370370369</v>
      </c>
      <c r="D36" s="30">
        <f>(D35*60)/1440</f>
        <v>0</v>
      </c>
      <c r="F36" s="26"/>
    </row>
    <row r="37" spans="1:10" x14ac:dyDescent="0.25">
      <c r="C37" s="774"/>
      <c r="F37" s="26"/>
    </row>
    <row r="46" spans="1:10" x14ac:dyDescent="0.25">
      <c r="C46" s="27"/>
      <c r="D46" s="27"/>
    </row>
    <row r="50" spans="2:2" x14ac:dyDescent="0.25">
      <c r="B50" s="502">
        <v>4.1666666666666664E-2</v>
      </c>
    </row>
  </sheetData>
  <mergeCells count="5">
    <mergeCell ref="A1:B1"/>
    <mergeCell ref="A5:D5"/>
    <mergeCell ref="H20:H22"/>
    <mergeCell ref="I20:I22"/>
    <mergeCell ref="J20:J22"/>
  </mergeCells>
  <pageMargins left="0.75" right="0.75" top="1" bottom="1" header="0.5" footer="0.5"/>
  <pageSetup orientation="portrait" r:id="rId1"/>
  <headerFooter alignWithMargins="0">
    <oddFooter>&amp;R&amp;"Arial,Regular"&amp;08&amp;K7F7F7FAmgen Proprietary - Confidential   &amp;C&amp;"Arial,Regular"&amp;08&amp;K7F7F7FAmgen Proprietary - For Internal Use Only</oddFooter>
    <evenFooter>&amp;R&amp;"Arial,Regular"&amp;08&amp;K7F7F7FAmgen Proprietary - Confidential   &amp;C&amp;"Arial,Regular"&amp;08&amp;K7F7F7FAmgen Proprietary - For Internal Use Only</evenFooter>
    <firstFooter>&amp;R&amp;"Arial,Regular"&amp;08&amp;K7F7F7FAmgen Proprietary - Confidential   &amp;C&amp;"Arial,Regular"&amp;08&amp;K7F7F7FAmgen Proprietary - For Internal Use Only</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3F4613-9131-49C2-B35B-A0B6279CAC00}">
  <sheetPr codeName="Sheet31">
    <pageSetUpPr autoPageBreaks="0"/>
  </sheetPr>
  <dimension ref="A1:G42"/>
  <sheetViews>
    <sheetView zoomScale="110" zoomScaleNormal="110" workbookViewId="0">
      <selection activeCell="D28" sqref="D28"/>
    </sheetView>
  </sheetViews>
  <sheetFormatPr defaultColWidth="23.453125" defaultRowHeight="11.5" x14ac:dyDescent="0.25"/>
  <cols>
    <col min="1" max="2" width="27.453125" style="25" bestFit="1" customWidth="1"/>
    <col min="3" max="3" width="23.453125" style="25"/>
    <col min="4" max="4" width="23.453125" style="25" customWidth="1"/>
    <col min="5" max="5" width="23.453125" style="25"/>
    <col min="6" max="6" width="47.453125" style="25" bestFit="1" customWidth="1"/>
    <col min="7" max="7" width="27.453125" style="25" customWidth="1"/>
    <col min="8" max="8" width="15.453125" style="25" customWidth="1"/>
    <col min="9" max="9" width="14.54296875" style="25" customWidth="1"/>
    <col min="10" max="10" width="13.453125" style="25" customWidth="1"/>
    <col min="11" max="16384" width="23.453125" style="25"/>
  </cols>
  <sheetData>
    <row r="1" spans="1:7" ht="12" thickBot="1" x14ac:dyDescent="0.3">
      <c r="A1" s="1053" t="s">
        <v>479</v>
      </c>
      <c r="B1" s="1054"/>
    </row>
    <row r="2" spans="1:7" x14ac:dyDescent="0.25">
      <c r="A2" s="43" t="s">
        <v>480</v>
      </c>
      <c r="B2" s="44">
        <f>A11</f>
        <v>44195.354166666664</v>
      </c>
    </row>
    <row r="3" spans="1:7" ht="12" thickBot="1" x14ac:dyDescent="0.3">
      <c r="A3" s="42" t="s">
        <v>482</v>
      </c>
      <c r="B3" s="45">
        <f>A11</f>
        <v>44195.354166666664</v>
      </c>
    </row>
    <row r="5" spans="1:7" x14ac:dyDescent="0.25">
      <c r="A5" s="1049" t="s">
        <v>484</v>
      </c>
      <c r="B5" s="1050"/>
      <c r="C5" s="1050"/>
      <c r="D5" s="1051"/>
    </row>
    <row r="6" spans="1:7" x14ac:dyDescent="0.25">
      <c r="A6" s="781" t="s">
        <v>485</v>
      </c>
      <c r="B6" s="781" t="s">
        <v>486</v>
      </c>
      <c r="C6" s="781" t="s">
        <v>487</v>
      </c>
      <c r="D6" s="781" t="s">
        <v>488</v>
      </c>
    </row>
    <row r="7" spans="1:7" x14ac:dyDescent="0.25">
      <c r="A7" s="41" t="str">
        <f>F13</f>
        <v xml:space="preserve">IPC: LC for reaction conversion </v>
      </c>
      <c r="B7" s="40">
        <f>INDEX($A$11:$A$57,MATCH(A7,$F$11:$F$54,0))</f>
        <v>44195.645833333328</v>
      </c>
      <c r="C7" s="37">
        <f>INDEX($A$11:$A$57,MATCH(A7,$F$11:$F$57,0))</f>
        <v>44195.645833333328</v>
      </c>
      <c r="D7" s="37"/>
    </row>
    <row r="8" spans="1:7" x14ac:dyDescent="0.25">
      <c r="A8" s="41" t="str">
        <f>F17</f>
        <v xml:space="preserve">IPC: LOD </v>
      </c>
      <c r="B8" s="40">
        <f>INDEX($A$11:$A$57,MATCH(A8,$F$11:$F$54,0))</f>
        <v>44196.708333333328</v>
      </c>
      <c r="C8" s="37">
        <f>INDEX($A$11:$A$57,MATCH(A8,$F$11:$F$57,0))</f>
        <v>44196.708333333328</v>
      </c>
      <c r="D8" s="37"/>
    </row>
    <row r="9" spans="1:7" ht="12" thickBot="1" x14ac:dyDescent="0.3"/>
    <row r="10" spans="1:7" ht="23.5" thickBot="1" x14ac:dyDescent="0.3">
      <c r="A10" s="749" t="s">
        <v>492</v>
      </c>
      <c r="B10" s="749" t="s">
        <v>493</v>
      </c>
      <c r="C10" s="651" t="s">
        <v>494</v>
      </c>
      <c r="D10" s="654" t="s">
        <v>495</v>
      </c>
      <c r="E10" s="749" t="s">
        <v>540</v>
      </c>
      <c r="F10" s="749" t="s">
        <v>541</v>
      </c>
      <c r="G10" s="749" t="s">
        <v>498</v>
      </c>
    </row>
    <row r="11" spans="1:7" x14ac:dyDescent="0.25">
      <c r="A11" s="31">
        <v>44195.354166666664</v>
      </c>
      <c r="B11" s="38">
        <f>A11</f>
        <v>44195.354166666664</v>
      </c>
      <c r="C11" s="228">
        <v>0.10416666666666667</v>
      </c>
      <c r="D11" s="72"/>
      <c r="E11" s="653">
        <f t="shared" ref="E11:E18" si="0">B11+C11</f>
        <v>44195.458333333328</v>
      </c>
      <c r="F11" s="35" t="s">
        <v>2439</v>
      </c>
      <c r="G11" s="35"/>
    </row>
    <row r="12" spans="1:7" ht="12.75" customHeight="1" x14ac:dyDescent="0.25">
      <c r="A12" s="31">
        <f t="shared" ref="A12:A18" si="1">A11+C11</f>
        <v>44195.458333333328</v>
      </c>
      <c r="B12" s="38">
        <f>IF(D11 = "",B11+C11,B11+D11)</f>
        <v>44195.458333333328</v>
      </c>
      <c r="C12" s="229">
        <v>0.1875</v>
      </c>
      <c r="D12" s="73"/>
      <c r="E12" s="317">
        <f t="shared" si="0"/>
        <v>44195.645833333328</v>
      </c>
      <c r="F12" s="35" t="s">
        <v>2440</v>
      </c>
      <c r="G12" s="35"/>
    </row>
    <row r="13" spans="1:7" x14ac:dyDescent="0.25">
      <c r="A13" s="31">
        <f t="shared" si="1"/>
        <v>44195.645833333328</v>
      </c>
      <c r="B13" s="38">
        <f t="shared" ref="B13:B18" si="2">IF(D12 = "",B12+C12,B12+D12)</f>
        <v>44195.645833333328</v>
      </c>
      <c r="C13" s="229">
        <v>0.16666666666666666</v>
      </c>
      <c r="D13" s="73"/>
      <c r="E13" s="317">
        <f t="shared" si="0"/>
        <v>44195.812499999993</v>
      </c>
      <c r="F13" s="39" t="s">
        <v>2441</v>
      </c>
      <c r="G13" s="79"/>
    </row>
    <row r="14" spans="1:7" ht="13.5" customHeight="1" x14ac:dyDescent="0.25">
      <c r="A14" s="31">
        <f>A13+C13</f>
        <v>44195.812499999993</v>
      </c>
      <c r="B14" s="38">
        <f t="shared" si="2"/>
        <v>44195.812499999993</v>
      </c>
      <c r="C14" s="230">
        <v>8.3333333333333329E-2</v>
      </c>
      <c r="D14" s="74"/>
      <c r="E14" s="318">
        <f t="shared" si="0"/>
        <v>44195.895833333328</v>
      </c>
      <c r="F14" s="35" t="s">
        <v>548</v>
      </c>
      <c r="G14" s="35"/>
    </row>
    <row r="15" spans="1:7" x14ac:dyDescent="0.25">
      <c r="A15" s="31">
        <f t="shared" si="1"/>
        <v>44195.895833333328</v>
      </c>
      <c r="B15" s="38">
        <f t="shared" si="2"/>
        <v>44195.895833333328</v>
      </c>
      <c r="C15" s="230">
        <v>0.4375</v>
      </c>
      <c r="D15" s="74"/>
      <c r="E15" s="318">
        <f t="shared" si="0"/>
        <v>44196.333333333328</v>
      </c>
      <c r="F15" s="35" t="s">
        <v>2442</v>
      </c>
      <c r="G15" s="35"/>
    </row>
    <row r="16" spans="1:7" ht="13.5" customHeight="1" x14ac:dyDescent="0.25">
      <c r="A16" s="31">
        <f t="shared" si="1"/>
        <v>44196.333333333328</v>
      </c>
      <c r="B16" s="38">
        <f t="shared" si="2"/>
        <v>44196.333333333328</v>
      </c>
      <c r="C16" s="230">
        <v>0.375</v>
      </c>
      <c r="D16" s="74"/>
      <c r="E16" s="318">
        <f t="shared" si="0"/>
        <v>44196.708333333328</v>
      </c>
      <c r="F16" s="35" t="s">
        <v>551</v>
      </c>
      <c r="G16" s="35"/>
    </row>
    <row r="17" spans="1:7" ht="12" customHeight="1" x14ac:dyDescent="0.25">
      <c r="A17" s="31">
        <f t="shared" si="1"/>
        <v>44196.708333333328</v>
      </c>
      <c r="B17" s="38">
        <f t="shared" si="2"/>
        <v>44196.708333333328</v>
      </c>
      <c r="C17" s="229">
        <v>4.1666666666666664E-2</v>
      </c>
      <c r="D17" s="73"/>
      <c r="E17" s="317">
        <f t="shared" si="0"/>
        <v>44196.749999999993</v>
      </c>
      <c r="F17" s="39" t="s">
        <v>2443</v>
      </c>
      <c r="G17" s="39" t="s">
        <v>2444</v>
      </c>
    </row>
    <row r="18" spans="1:7" ht="12.75" customHeight="1" thickBot="1" x14ac:dyDescent="0.3">
      <c r="A18" s="31">
        <f t="shared" si="1"/>
        <v>44196.749999999993</v>
      </c>
      <c r="B18" s="38">
        <f t="shared" si="2"/>
        <v>44196.749999999993</v>
      </c>
      <c r="C18" s="652">
        <v>0.10416666666666667</v>
      </c>
      <c r="D18" s="655"/>
      <c r="E18" s="317">
        <f t="shared" si="0"/>
        <v>44196.854166666657</v>
      </c>
      <c r="F18" s="35" t="s">
        <v>554</v>
      </c>
      <c r="G18" s="35"/>
    </row>
    <row r="19" spans="1:7" ht="21" x14ac:dyDescent="0.55000000000000004">
      <c r="A19" s="34"/>
      <c r="B19" s="33" t="s">
        <v>534</v>
      </c>
      <c r="C19" s="32">
        <f>SUM(C11:C18)</f>
        <v>1.5000000000000002</v>
      </c>
      <c r="D19" s="32">
        <f>SUM(D11:D18)</f>
        <v>0</v>
      </c>
      <c r="G19" s="26"/>
    </row>
    <row r="20" spans="1:7" x14ac:dyDescent="0.25">
      <c r="B20" s="31" t="s">
        <v>536</v>
      </c>
      <c r="C20" s="30">
        <f>(C19*60)/1440</f>
        <v>6.2500000000000014E-2</v>
      </c>
      <c r="D20" s="30">
        <f>(D19*60)/1440</f>
        <v>0</v>
      </c>
      <c r="G20" s="26"/>
    </row>
    <row r="21" spans="1:7" x14ac:dyDescent="0.25">
      <c r="G21" s="26"/>
    </row>
    <row r="22" spans="1:7" x14ac:dyDescent="0.25">
      <c r="G22" s="26"/>
    </row>
    <row r="23" spans="1:7" hidden="1" x14ac:dyDescent="0.25">
      <c r="A23" s="1053" t="s">
        <v>555</v>
      </c>
      <c r="B23" s="1054"/>
      <c r="G23" s="26"/>
    </row>
    <row r="24" spans="1:7" hidden="1" x14ac:dyDescent="0.25">
      <c r="A24" s="781" t="s">
        <v>556</v>
      </c>
      <c r="B24" s="29" t="e">
        <f>MAX(A18,#REF!)</f>
        <v>#REF!</v>
      </c>
      <c r="G24" s="26"/>
    </row>
    <row r="25" spans="1:7" hidden="1" x14ac:dyDescent="0.25">
      <c r="A25" s="781" t="s">
        <v>557</v>
      </c>
      <c r="B25" s="28" t="e">
        <f>MAX((#REF!+#REF!),(B18+C18))</f>
        <v>#REF!</v>
      </c>
      <c r="G25" s="26"/>
    </row>
    <row r="26" spans="1:7" x14ac:dyDescent="0.25">
      <c r="G26" s="26"/>
    </row>
    <row r="27" spans="1:7" x14ac:dyDescent="0.25">
      <c r="G27" s="26"/>
    </row>
    <row r="28" spans="1:7" x14ac:dyDescent="0.25">
      <c r="G28" s="26"/>
    </row>
    <row r="29" spans="1:7" x14ac:dyDescent="0.25">
      <c r="G29" s="26"/>
    </row>
    <row r="30" spans="1:7" x14ac:dyDescent="0.25">
      <c r="C30" s="27"/>
      <c r="D30" s="27"/>
      <c r="G30" s="26"/>
    </row>
    <row r="31" spans="1:7" x14ac:dyDescent="0.25">
      <c r="G31" s="26"/>
    </row>
    <row r="32" spans="1:7" x14ac:dyDescent="0.25">
      <c r="G32" s="26"/>
    </row>
    <row r="33" spans="6:7" x14ac:dyDescent="0.25">
      <c r="G33" s="26"/>
    </row>
    <row r="34" spans="6:7" x14ac:dyDescent="0.25">
      <c r="G34" s="26"/>
    </row>
    <row r="35" spans="6:7" x14ac:dyDescent="0.25">
      <c r="G35" s="26"/>
    </row>
    <row r="36" spans="6:7" x14ac:dyDescent="0.25">
      <c r="G36" s="26"/>
    </row>
    <row r="37" spans="6:7" x14ac:dyDescent="0.25">
      <c r="G37" s="26"/>
    </row>
    <row r="38" spans="6:7" x14ac:dyDescent="0.25">
      <c r="G38" s="26"/>
    </row>
    <row r="39" spans="6:7" x14ac:dyDescent="0.25">
      <c r="G39" s="26"/>
    </row>
    <row r="40" spans="6:7" x14ac:dyDescent="0.25">
      <c r="G40" s="26"/>
    </row>
    <row r="41" spans="6:7" x14ac:dyDescent="0.25">
      <c r="F41" s="26"/>
    </row>
    <row r="42" spans="6:7" x14ac:dyDescent="0.25">
      <c r="F42" s="26"/>
    </row>
  </sheetData>
  <mergeCells count="3">
    <mergeCell ref="A1:B1"/>
    <mergeCell ref="A5:D5"/>
    <mergeCell ref="A23:B23"/>
  </mergeCells>
  <pageMargins left="0.75" right="0.75" top="1" bottom="1" header="0.5" footer="0.5"/>
  <pageSetup orientation="portrait" r:id="rId1"/>
  <headerFooter alignWithMargins="0">
    <oddFooter>&amp;R&amp;"Arial,Regular"&amp;08&amp;K7F7F7FAmgen Proprietary - Confidential   &amp;C&amp;"Calibri"&amp;11&amp;K000000&amp;"Calibri"&amp;11&amp;K000000&amp;"Arial,Regular"&amp;08&amp;K7F7F7FAmgen Proprietary - For Internal Use Only_x000D_&amp;1#&amp;"Calibri"&amp;10&amp;K000000 Non-Amgen</oddFooter>
    <evenFooter>&amp;R&amp;"Arial,Regular"&amp;08&amp;K7F7F7FAmgen Proprietary - Confidential   &amp;C&amp;"Arial,Regular"&amp;08&amp;K7F7F7FAmgen Proprietary - For Internal Use Only</evenFooter>
    <firstFooter>&amp;R&amp;"Arial,Regular"&amp;08&amp;K7F7F7FAmgen Proprietary - Confidential   &amp;C&amp;"Arial,Regular"&amp;08&amp;K7F7F7FAmgen Proprietary - For Internal Use Only</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9567-D3F6-4533-B883-E6F1FC779177}">
  <sheetPr codeName="Sheet67">
    <pageSetUpPr autoPageBreaks="0"/>
  </sheetPr>
  <dimension ref="A1:G42"/>
  <sheetViews>
    <sheetView zoomScale="160" zoomScaleNormal="160" workbookViewId="0">
      <selection activeCell="A6" sqref="A6:C7"/>
    </sheetView>
  </sheetViews>
  <sheetFormatPr defaultColWidth="23.453125" defaultRowHeight="11.5" x14ac:dyDescent="0.25"/>
  <cols>
    <col min="1" max="2" width="27.453125" style="25" bestFit="1" customWidth="1"/>
    <col min="3" max="3" width="23.453125" style="25"/>
    <col min="4" max="4" width="23.453125" style="25" customWidth="1"/>
    <col min="5" max="5" width="23.453125" style="25"/>
    <col min="6" max="6" width="47.453125" style="25" bestFit="1" customWidth="1"/>
    <col min="7" max="7" width="27.453125" style="25" customWidth="1"/>
    <col min="8" max="8" width="15.453125" style="25" customWidth="1"/>
    <col min="9" max="9" width="14.54296875" style="25" customWidth="1"/>
    <col min="10" max="10" width="13.453125" style="25" customWidth="1"/>
    <col min="11" max="16384" width="23.453125" style="25"/>
  </cols>
  <sheetData>
    <row r="1" spans="1:7" ht="12" thickBot="1" x14ac:dyDescent="0.3">
      <c r="A1" s="1053" t="s">
        <v>479</v>
      </c>
      <c r="B1" s="1054"/>
    </row>
    <row r="2" spans="1:7" x14ac:dyDescent="0.25">
      <c r="A2" s="43" t="s">
        <v>480</v>
      </c>
      <c r="B2" s="44">
        <f>A11</f>
        <v>44200.354166666664</v>
      </c>
    </row>
    <row r="3" spans="1:7" ht="12" thickBot="1" x14ac:dyDescent="0.3">
      <c r="A3" s="42" t="s">
        <v>482</v>
      </c>
      <c r="B3" s="45">
        <f>A11</f>
        <v>44200.354166666664</v>
      </c>
    </row>
    <row r="5" spans="1:7" x14ac:dyDescent="0.25">
      <c r="A5" s="1049" t="s">
        <v>484</v>
      </c>
      <c r="B5" s="1050"/>
      <c r="C5" s="1050"/>
      <c r="D5" s="1051"/>
    </row>
    <row r="6" spans="1:7" x14ac:dyDescent="0.25">
      <c r="A6" s="781" t="s">
        <v>485</v>
      </c>
      <c r="B6" s="781" t="s">
        <v>486</v>
      </c>
      <c r="C6" s="781" t="s">
        <v>487</v>
      </c>
      <c r="D6" s="781" t="s">
        <v>488</v>
      </c>
    </row>
    <row r="7" spans="1:7" x14ac:dyDescent="0.25">
      <c r="A7" s="41" t="str">
        <f>F13</f>
        <v xml:space="preserve">IPC: LC for reaction conversion </v>
      </c>
      <c r="B7" s="40">
        <f>INDEX($A$11:$A$57,MATCH(A7,$F$11:$F$54,0))</f>
        <v>44200.645833333328</v>
      </c>
      <c r="C7" s="37">
        <f>INDEX($A$11:$A$57,MATCH(A7,$F$11:$F$57,0))</f>
        <v>44200.645833333328</v>
      </c>
      <c r="D7" s="37"/>
    </row>
    <row r="8" spans="1:7" x14ac:dyDescent="0.25">
      <c r="A8" s="41" t="str">
        <f>F17</f>
        <v xml:space="preserve">IPC: LOD </v>
      </c>
      <c r="B8" s="40">
        <f>INDEX($A$11:$A$57,MATCH(A8,$F$11:$F$54,0))</f>
        <v>44201.708333333328</v>
      </c>
      <c r="C8" s="37">
        <f>INDEX($A$11:$A$57,MATCH(A8,$F$11:$F$57,0))</f>
        <v>44201.708333333328</v>
      </c>
      <c r="D8" s="37"/>
    </row>
    <row r="9" spans="1:7" ht="12" thickBot="1" x14ac:dyDescent="0.3"/>
    <row r="10" spans="1:7" ht="23.5" thickBot="1" x14ac:dyDescent="0.3">
      <c r="A10" s="749" t="s">
        <v>492</v>
      </c>
      <c r="B10" s="749" t="s">
        <v>493</v>
      </c>
      <c r="C10" s="651" t="s">
        <v>494</v>
      </c>
      <c r="D10" s="654" t="s">
        <v>495</v>
      </c>
      <c r="E10" s="749" t="s">
        <v>540</v>
      </c>
      <c r="F10" s="749" t="s">
        <v>541</v>
      </c>
      <c r="G10" s="749" t="s">
        <v>498</v>
      </c>
    </row>
    <row r="11" spans="1:7" x14ac:dyDescent="0.25">
      <c r="A11" s="31">
        <v>44200.354166666664</v>
      </c>
      <c r="B11" s="38">
        <f>A11</f>
        <v>44200.354166666664</v>
      </c>
      <c r="C11" s="228">
        <v>0.10416666666666667</v>
      </c>
      <c r="D11" s="72"/>
      <c r="E11" s="653">
        <f t="shared" ref="E11:E18" si="0">B11+C11</f>
        <v>44200.458333333328</v>
      </c>
      <c r="F11" s="35" t="s">
        <v>2439</v>
      </c>
      <c r="G11" s="35"/>
    </row>
    <row r="12" spans="1:7" ht="12.75" customHeight="1" x14ac:dyDescent="0.25">
      <c r="A12" s="31">
        <f t="shared" ref="A12:A18" si="1">A11+C11</f>
        <v>44200.458333333328</v>
      </c>
      <c r="B12" s="38">
        <f>IF(D11 = "",B11+C11,B11+D11)</f>
        <v>44200.458333333328</v>
      </c>
      <c r="C12" s="229">
        <v>0.1875</v>
      </c>
      <c r="D12" s="73"/>
      <c r="E12" s="317">
        <f t="shared" si="0"/>
        <v>44200.645833333328</v>
      </c>
      <c r="F12" s="35" t="s">
        <v>2440</v>
      </c>
      <c r="G12" s="35"/>
    </row>
    <row r="13" spans="1:7" x14ac:dyDescent="0.25">
      <c r="A13" s="31">
        <f t="shared" si="1"/>
        <v>44200.645833333328</v>
      </c>
      <c r="B13" s="38">
        <f t="shared" ref="B13:B18" si="2">IF(D12 = "",B12+C12,B12+D12)</f>
        <v>44200.645833333328</v>
      </c>
      <c r="C13" s="229">
        <v>0.16666666666666666</v>
      </c>
      <c r="D13" s="73"/>
      <c r="E13" s="317">
        <f t="shared" si="0"/>
        <v>44200.812499999993</v>
      </c>
      <c r="F13" s="39" t="s">
        <v>2441</v>
      </c>
      <c r="G13" s="79"/>
    </row>
    <row r="14" spans="1:7" ht="13.5" customHeight="1" x14ac:dyDescent="0.25">
      <c r="A14" s="31">
        <f>A13+C13</f>
        <v>44200.812499999993</v>
      </c>
      <c r="B14" s="38">
        <f t="shared" si="2"/>
        <v>44200.812499999993</v>
      </c>
      <c r="C14" s="230">
        <v>8.3333333333333329E-2</v>
      </c>
      <c r="D14" s="74"/>
      <c r="E14" s="318">
        <f t="shared" si="0"/>
        <v>44200.895833333328</v>
      </c>
      <c r="F14" s="35" t="s">
        <v>548</v>
      </c>
      <c r="G14" s="35"/>
    </row>
    <row r="15" spans="1:7" x14ac:dyDescent="0.25">
      <c r="A15" s="31">
        <f t="shared" si="1"/>
        <v>44200.895833333328</v>
      </c>
      <c r="B15" s="38">
        <f t="shared" si="2"/>
        <v>44200.895833333328</v>
      </c>
      <c r="C15" s="230">
        <v>0.4375</v>
      </c>
      <c r="D15" s="74"/>
      <c r="E15" s="318">
        <f t="shared" si="0"/>
        <v>44201.333333333328</v>
      </c>
      <c r="F15" s="35" t="s">
        <v>2442</v>
      </c>
      <c r="G15" s="35"/>
    </row>
    <row r="16" spans="1:7" ht="13.5" customHeight="1" x14ac:dyDescent="0.25">
      <c r="A16" s="31">
        <f t="shared" si="1"/>
        <v>44201.333333333328</v>
      </c>
      <c r="B16" s="38">
        <f t="shared" si="2"/>
        <v>44201.333333333328</v>
      </c>
      <c r="C16" s="230">
        <v>0.375</v>
      </c>
      <c r="D16" s="74"/>
      <c r="E16" s="318">
        <f t="shared" si="0"/>
        <v>44201.708333333328</v>
      </c>
      <c r="F16" s="35" t="s">
        <v>551</v>
      </c>
      <c r="G16" s="35"/>
    </row>
    <row r="17" spans="1:7" ht="12" customHeight="1" x14ac:dyDescent="0.25">
      <c r="A17" s="31">
        <f t="shared" si="1"/>
        <v>44201.708333333328</v>
      </c>
      <c r="B17" s="38">
        <f t="shared" si="2"/>
        <v>44201.708333333328</v>
      </c>
      <c r="C17" s="229">
        <v>4.1666666666666664E-2</v>
      </c>
      <c r="D17" s="73"/>
      <c r="E17" s="317">
        <f t="shared" si="0"/>
        <v>44201.749999999993</v>
      </c>
      <c r="F17" s="39" t="s">
        <v>2443</v>
      </c>
      <c r="G17" s="39" t="s">
        <v>2444</v>
      </c>
    </row>
    <row r="18" spans="1:7" ht="12.75" customHeight="1" thickBot="1" x14ac:dyDescent="0.3">
      <c r="A18" s="31">
        <f t="shared" si="1"/>
        <v>44201.749999999993</v>
      </c>
      <c r="B18" s="38">
        <f t="shared" si="2"/>
        <v>44201.749999999993</v>
      </c>
      <c r="C18" s="652">
        <v>0.10416666666666667</v>
      </c>
      <c r="D18" s="655"/>
      <c r="E18" s="317">
        <f t="shared" si="0"/>
        <v>44201.854166666657</v>
      </c>
      <c r="F18" s="35" t="s">
        <v>554</v>
      </c>
      <c r="G18" s="35"/>
    </row>
    <row r="19" spans="1:7" ht="21" x14ac:dyDescent="0.55000000000000004">
      <c r="A19" s="34"/>
      <c r="B19" s="33" t="s">
        <v>534</v>
      </c>
      <c r="C19" s="32">
        <f>SUM(C11:C18)</f>
        <v>1.5000000000000002</v>
      </c>
      <c r="D19" s="32">
        <f>SUM(D11:D18)</f>
        <v>0</v>
      </c>
      <c r="G19" s="26"/>
    </row>
    <row r="20" spans="1:7" x14ac:dyDescent="0.25">
      <c r="B20" s="31" t="s">
        <v>536</v>
      </c>
      <c r="C20" s="30">
        <f>(C19*60)/1440</f>
        <v>6.2500000000000014E-2</v>
      </c>
      <c r="D20" s="30">
        <f>(D19*60)/1440</f>
        <v>0</v>
      </c>
      <c r="G20" s="26"/>
    </row>
    <row r="21" spans="1:7" x14ac:dyDescent="0.25">
      <c r="G21" s="26"/>
    </row>
    <row r="22" spans="1:7" x14ac:dyDescent="0.25">
      <c r="G22" s="26"/>
    </row>
    <row r="23" spans="1:7" hidden="1" x14ac:dyDescent="0.25">
      <c r="A23" s="1053" t="s">
        <v>555</v>
      </c>
      <c r="B23" s="1054"/>
      <c r="G23" s="26"/>
    </row>
    <row r="24" spans="1:7" hidden="1" x14ac:dyDescent="0.25">
      <c r="A24" s="781" t="s">
        <v>556</v>
      </c>
      <c r="B24" s="29" t="e">
        <f>MAX(A18,#REF!)</f>
        <v>#REF!</v>
      </c>
      <c r="G24" s="26"/>
    </row>
    <row r="25" spans="1:7" hidden="1" x14ac:dyDescent="0.25">
      <c r="A25" s="781" t="s">
        <v>557</v>
      </c>
      <c r="B25" s="28" t="e">
        <f>MAX((#REF!+#REF!),(B18+C18))</f>
        <v>#REF!</v>
      </c>
      <c r="G25" s="26"/>
    </row>
    <row r="26" spans="1:7" x14ac:dyDescent="0.25">
      <c r="G26" s="26"/>
    </row>
    <row r="27" spans="1:7" x14ac:dyDescent="0.25">
      <c r="G27" s="26"/>
    </row>
    <row r="28" spans="1:7" x14ac:dyDescent="0.25">
      <c r="G28" s="26"/>
    </row>
    <row r="29" spans="1:7" x14ac:dyDescent="0.25">
      <c r="G29" s="26"/>
    </row>
    <row r="30" spans="1:7" x14ac:dyDescent="0.25">
      <c r="C30" s="27"/>
      <c r="D30" s="27"/>
      <c r="G30" s="26"/>
    </row>
    <row r="31" spans="1:7" x14ac:dyDescent="0.25">
      <c r="G31" s="26"/>
    </row>
    <row r="32" spans="1:7" x14ac:dyDescent="0.25">
      <c r="G32" s="26"/>
    </row>
    <row r="33" spans="6:7" x14ac:dyDescent="0.25">
      <c r="G33" s="26"/>
    </row>
    <row r="34" spans="6:7" x14ac:dyDescent="0.25">
      <c r="G34" s="26"/>
    </row>
    <row r="35" spans="6:7" x14ac:dyDescent="0.25">
      <c r="G35" s="26"/>
    </row>
    <row r="36" spans="6:7" x14ac:dyDescent="0.25">
      <c r="G36" s="26"/>
    </row>
    <row r="37" spans="6:7" x14ac:dyDescent="0.25">
      <c r="G37" s="26"/>
    </row>
    <row r="38" spans="6:7" x14ac:dyDescent="0.25">
      <c r="G38" s="26"/>
    </row>
    <row r="39" spans="6:7" x14ac:dyDescent="0.25">
      <c r="G39" s="26"/>
    </row>
    <row r="40" spans="6:7" x14ac:dyDescent="0.25">
      <c r="G40" s="26"/>
    </row>
    <row r="41" spans="6:7" x14ac:dyDescent="0.25">
      <c r="F41" s="26"/>
    </row>
    <row r="42" spans="6:7" x14ac:dyDescent="0.25">
      <c r="F42" s="26"/>
    </row>
  </sheetData>
  <mergeCells count="3">
    <mergeCell ref="A1:B1"/>
    <mergeCell ref="A5:D5"/>
    <mergeCell ref="A23:B23"/>
  </mergeCells>
  <pageMargins left="0.75" right="0.75" top="1" bottom="1" header="0.5" footer="0.5"/>
  <pageSetup orientation="portrait" r:id="rId1"/>
  <headerFooter alignWithMargins="0">
    <oddFooter>&amp;R&amp;"Arial,Regular"&amp;08&amp;K7F7F7FAmgen Proprietary - Confidential   &amp;C&amp;"Calibri"&amp;11&amp;K000000&amp;"Calibri"&amp;11&amp;K000000&amp;"Arial,Regular"&amp;08&amp;K7F7F7FAmgen Proprietary - For Internal Use Only_x000D_&amp;1#&amp;"Calibri"&amp;10&amp;K000000 Non-Amgen</oddFooter>
    <evenFooter>&amp;R&amp;"Arial,Regular"&amp;08&amp;K7F7F7FAmgen Proprietary - Confidential   &amp;C&amp;"Arial,Regular"&amp;08&amp;K7F7F7FAmgen Proprietary - For Internal Use Only</evenFooter>
    <firstFooter>&amp;R&amp;"Arial,Regular"&amp;08&amp;K7F7F7FAmgen Proprietary - Confidential   &amp;C&amp;"Arial,Regular"&amp;08&amp;K7F7F7FAmgen Proprietary - For Internal Use Only</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8AB4A0-9EE5-44DB-968F-2D3C58D333AA}">
  <sheetPr codeName="Sheet69">
    <pageSetUpPr autoPageBreaks="0"/>
  </sheetPr>
  <dimension ref="A1:M53"/>
  <sheetViews>
    <sheetView zoomScale="120" zoomScaleNormal="120" workbookViewId="0">
      <selection activeCell="F25" sqref="F25"/>
    </sheetView>
  </sheetViews>
  <sheetFormatPr defaultColWidth="9.453125" defaultRowHeight="11.5" x14ac:dyDescent="0.25"/>
  <cols>
    <col min="1" max="1" width="25" style="25" bestFit="1" customWidth="1"/>
    <col min="2" max="2" width="23.453125" style="25" bestFit="1" customWidth="1"/>
    <col min="3" max="3" width="23.453125" style="25" customWidth="1"/>
    <col min="4" max="4" width="20.54296875" style="25" customWidth="1"/>
    <col min="5" max="5" width="21.54296875" style="25" customWidth="1"/>
    <col min="6" max="6" width="50.54296875" style="25" customWidth="1"/>
    <col min="7" max="7" width="43.453125" style="25" bestFit="1" customWidth="1"/>
    <col min="8" max="11" width="14.453125" style="25" customWidth="1"/>
    <col min="12" max="16384" width="9.453125" style="25"/>
  </cols>
  <sheetData>
    <row r="1" spans="1:13" ht="12" thickBot="1" x14ac:dyDescent="0.3">
      <c r="A1" s="1053" t="s">
        <v>479</v>
      </c>
      <c r="B1" s="1054"/>
    </row>
    <row r="2" spans="1:13" ht="12" thickBot="1" x14ac:dyDescent="0.3">
      <c r="A2" s="772" t="s">
        <v>480</v>
      </c>
      <c r="B2" s="115">
        <f>A11</f>
        <v>44214.416666666664</v>
      </c>
    </row>
    <row r="3" spans="1:13" x14ac:dyDescent="0.25">
      <c r="A3" s="772" t="s">
        <v>482</v>
      </c>
      <c r="B3" s="454">
        <f>A11</f>
        <v>44214.416666666664</v>
      </c>
    </row>
    <row r="5" spans="1:13" x14ac:dyDescent="0.25">
      <c r="A5" s="1049" t="s">
        <v>484</v>
      </c>
      <c r="B5" s="1050"/>
      <c r="C5" s="1050"/>
      <c r="D5" s="1051"/>
    </row>
    <row r="6" spans="1:13" x14ac:dyDescent="0.25">
      <c r="A6" s="781" t="s">
        <v>485</v>
      </c>
      <c r="B6" s="781" t="s">
        <v>486</v>
      </c>
      <c r="C6" s="781" t="s">
        <v>487</v>
      </c>
      <c r="D6" s="781" t="s">
        <v>488</v>
      </c>
    </row>
    <row r="7" spans="1:13" x14ac:dyDescent="0.25">
      <c r="A7" s="41" t="str">
        <f>F16</f>
        <v>IPC: Reaction Conversion</v>
      </c>
      <c r="B7" s="455">
        <f>INDEX($A$11:$A$60,MATCH(A7,$F$11:$F$57,0))</f>
        <v>44215.416666666664</v>
      </c>
      <c r="C7" s="37">
        <f>INDEX($A$11:$A$60,MATCH(A7,$F$11:$F$57,0))</f>
        <v>44215.416666666664</v>
      </c>
      <c r="D7" s="475"/>
    </row>
    <row r="8" spans="1:13" x14ac:dyDescent="0.25">
      <c r="A8" s="35" t="s">
        <v>2445</v>
      </c>
      <c r="B8" s="455">
        <f>INDEX($A$11:$A$60,MATCH(A8,$F$11:$F$57,0))</f>
        <v>44218.729166666664</v>
      </c>
      <c r="C8" s="37">
        <f>INDEX($A$11:$A$60,MATCH(A8,$F$11:$F$57,0))</f>
        <v>44218.729166666664</v>
      </c>
      <c r="D8" s="110"/>
    </row>
    <row r="9" spans="1:13" x14ac:dyDescent="0.25">
      <c r="B9" s="453"/>
    </row>
    <row r="10" spans="1:13" ht="23" x14ac:dyDescent="0.25">
      <c r="A10" s="749" t="s">
        <v>492</v>
      </c>
      <c r="B10" s="749" t="s">
        <v>493</v>
      </c>
      <c r="C10" s="749" t="s">
        <v>494</v>
      </c>
      <c r="D10" s="86" t="s">
        <v>495</v>
      </c>
      <c r="E10" s="749" t="s">
        <v>560</v>
      </c>
      <c r="F10" s="749" t="s">
        <v>541</v>
      </c>
      <c r="G10" s="749" t="s">
        <v>498</v>
      </c>
      <c r="H10" s="749" t="s">
        <v>561</v>
      </c>
      <c r="I10" s="749" t="s">
        <v>126</v>
      </c>
      <c r="J10" s="749" t="s">
        <v>92</v>
      </c>
      <c r="K10" s="749" t="s">
        <v>501</v>
      </c>
    </row>
    <row r="11" spans="1:13" x14ac:dyDescent="0.25">
      <c r="A11" s="31">
        <v>44214.416666666664</v>
      </c>
      <c r="B11" s="38">
        <f>A11</f>
        <v>44214.416666666664</v>
      </c>
      <c r="C11" s="36">
        <v>6.25E-2</v>
      </c>
      <c r="D11" s="327" t="str">
        <f t="shared" ref="D11:D27" si="0">IF(_xlfn.ISFORMULA(E11)=TRUE,"",E11-B11)</f>
        <v/>
      </c>
      <c r="E11" s="114">
        <f t="shared" ref="E11:E27" si="1">B11+C11</f>
        <v>44214.479166666664</v>
      </c>
      <c r="F11" s="35" t="s">
        <v>562</v>
      </c>
      <c r="G11" s="35"/>
      <c r="H11" s="684"/>
      <c r="I11" s="684"/>
      <c r="J11" s="684"/>
      <c r="K11" s="684"/>
      <c r="L11" s="1057"/>
      <c r="M11" s="1056"/>
    </row>
    <row r="12" spans="1:13" ht="12.75" customHeight="1" x14ac:dyDescent="0.25">
      <c r="A12" s="31">
        <f t="shared" ref="A12:A27" si="2">IF(D11 = "",A11+C11,A11+D11)</f>
        <v>44214.479166666664</v>
      </c>
      <c r="B12" s="685">
        <f>IF(D11 = "",B11+C11,B11+D11)</f>
        <v>44214.479166666664</v>
      </c>
      <c r="C12" s="36">
        <v>0.375</v>
      </c>
      <c r="D12" s="327">
        <v>0.39583333333333331</v>
      </c>
      <c r="E12" s="114">
        <f t="shared" si="1"/>
        <v>44214.854166666664</v>
      </c>
      <c r="F12" s="35" t="s">
        <v>563</v>
      </c>
      <c r="G12" s="35"/>
      <c r="H12" s="684"/>
      <c r="I12" s="684"/>
      <c r="J12" s="684"/>
      <c r="K12" s="684"/>
      <c r="L12" s="1055"/>
      <c r="M12" s="1056"/>
    </row>
    <row r="13" spans="1:13" ht="12" customHeight="1" x14ac:dyDescent="0.25">
      <c r="A13" s="31">
        <f t="shared" si="2"/>
        <v>44214.875</v>
      </c>
      <c r="B13" s="37">
        <f t="shared" ref="B13:B27" si="3">IF(D12 = "",B12+C12,B12+D12)</f>
        <v>44214.875</v>
      </c>
      <c r="C13" s="36">
        <v>0.22916666666666666</v>
      </c>
      <c r="D13" s="327"/>
      <c r="E13" s="114">
        <f t="shared" si="1"/>
        <v>44215.104166666664</v>
      </c>
      <c r="F13" s="35" t="s">
        <v>564</v>
      </c>
      <c r="G13" s="39"/>
      <c r="H13" s="684"/>
      <c r="I13" s="684"/>
      <c r="J13" s="684">
        <f>(199.6 + 36 + 81 + 81 + 81) / 0.997</f>
        <v>480.04012036108327</v>
      </c>
      <c r="K13" s="684"/>
    </row>
    <row r="14" spans="1:13" ht="12" customHeight="1" x14ac:dyDescent="0.25">
      <c r="A14" s="31">
        <f t="shared" si="2"/>
        <v>44215.104166666664</v>
      </c>
      <c r="B14" s="37">
        <f t="shared" si="3"/>
        <v>44215.104166666664</v>
      </c>
      <c r="C14" s="36">
        <v>0.10416666666666667</v>
      </c>
      <c r="D14" s="327" t="str">
        <f t="shared" si="0"/>
        <v/>
      </c>
      <c r="E14" s="114">
        <f t="shared" si="1"/>
        <v>44215.208333333328</v>
      </c>
      <c r="F14" s="35" t="s">
        <v>565</v>
      </c>
      <c r="G14" s="39"/>
      <c r="H14" s="684"/>
      <c r="I14" s="684"/>
      <c r="J14" s="684"/>
      <c r="K14" s="684"/>
      <c r="L14" s="1057"/>
      <c r="M14" s="1056"/>
    </row>
    <row r="15" spans="1:13" ht="12.75" customHeight="1" x14ac:dyDescent="0.25">
      <c r="A15" s="31">
        <f t="shared" si="2"/>
        <v>44215.208333333328</v>
      </c>
      <c r="B15" s="37">
        <f t="shared" si="3"/>
        <v>44215.208333333328</v>
      </c>
      <c r="C15" s="36">
        <v>0.20833333333333334</v>
      </c>
      <c r="D15" s="327" t="str">
        <f t="shared" si="0"/>
        <v/>
      </c>
      <c r="E15" s="114">
        <f t="shared" si="1"/>
        <v>44215.416666666664</v>
      </c>
      <c r="F15" s="35" t="s">
        <v>566</v>
      </c>
      <c r="G15" s="35"/>
      <c r="H15" s="684"/>
      <c r="I15" s="684"/>
      <c r="J15" s="684"/>
      <c r="K15" s="684"/>
      <c r="L15" s="1055"/>
      <c r="M15" s="1056"/>
    </row>
    <row r="16" spans="1:13" ht="13.4" customHeight="1" x14ac:dyDescent="0.25">
      <c r="A16" s="31">
        <f t="shared" si="2"/>
        <v>44215.416666666664</v>
      </c>
      <c r="B16" s="37">
        <f t="shared" si="3"/>
        <v>44215.416666666664</v>
      </c>
      <c r="C16" s="111">
        <v>0.14583333333333334</v>
      </c>
      <c r="D16" s="327">
        <v>0.1875</v>
      </c>
      <c r="E16" s="114">
        <f t="shared" si="1"/>
        <v>44215.5625</v>
      </c>
      <c r="F16" s="39" t="s">
        <v>567</v>
      </c>
      <c r="G16" s="35" t="s">
        <v>568</v>
      </c>
      <c r="H16" s="458"/>
      <c r="I16" s="458"/>
      <c r="J16" s="458"/>
      <c r="K16" s="458"/>
    </row>
    <row r="17" spans="1:13" x14ac:dyDescent="0.25">
      <c r="A17" s="31">
        <f t="shared" si="2"/>
        <v>44215.604166666664</v>
      </c>
      <c r="B17" s="37">
        <f t="shared" si="3"/>
        <v>44215.604166666664</v>
      </c>
      <c r="C17" s="111">
        <v>0.375</v>
      </c>
      <c r="D17" s="327" t="str">
        <f t="shared" si="0"/>
        <v/>
      </c>
      <c r="E17" s="114">
        <f t="shared" si="1"/>
        <v>44215.979166666664</v>
      </c>
      <c r="F17" s="35" t="s">
        <v>569</v>
      </c>
      <c r="G17" s="35"/>
      <c r="H17" s="684"/>
      <c r="I17" s="684"/>
      <c r="J17" s="684"/>
      <c r="K17" s="684"/>
    </row>
    <row r="18" spans="1:13" x14ac:dyDescent="0.25">
      <c r="A18" s="31">
        <f t="shared" si="2"/>
        <v>44215.979166666664</v>
      </c>
      <c r="B18" s="37">
        <f t="shared" si="3"/>
        <v>44215.979166666664</v>
      </c>
      <c r="C18" s="111">
        <v>0.5</v>
      </c>
      <c r="D18" s="327" t="str">
        <f t="shared" si="0"/>
        <v/>
      </c>
      <c r="E18" s="114">
        <f t="shared" si="1"/>
        <v>44216.479166666664</v>
      </c>
      <c r="F18" s="35" t="s">
        <v>570</v>
      </c>
      <c r="G18" s="35"/>
      <c r="H18" s="684"/>
      <c r="I18" s="684"/>
      <c r="J18" s="684">
        <f>(69.5 + 36 + 48 + 62.6 + 36 + 48 + 48 + 48)/0.997</f>
        <v>397.29187562688065</v>
      </c>
      <c r="K18" s="684"/>
    </row>
    <row r="19" spans="1:13" x14ac:dyDescent="0.25">
      <c r="A19" s="31">
        <f t="shared" si="2"/>
        <v>44216.479166666664</v>
      </c>
      <c r="B19" s="37">
        <f t="shared" si="3"/>
        <v>44216.479166666664</v>
      </c>
      <c r="C19" s="111">
        <v>4.1666666666666664E-2</v>
      </c>
      <c r="D19" s="327"/>
      <c r="E19" s="114">
        <f t="shared" si="1"/>
        <v>44216.520833333328</v>
      </c>
      <c r="F19" s="35" t="s">
        <v>2446</v>
      </c>
      <c r="G19" s="35"/>
      <c r="H19" s="684">
        <f>40+120</f>
        <v>160</v>
      </c>
      <c r="I19" s="684"/>
      <c r="J19" s="684"/>
      <c r="K19" s="684">
        <f>H19</f>
        <v>160</v>
      </c>
    </row>
    <row r="20" spans="1:13" ht="13.5" customHeight="1" x14ac:dyDescent="0.25">
      <c r="A20" s="31">
        <f t="shared" si="2"/>
        <v>44216.520833333328</v>
      </c>
      <c r="B20" s="37">
        <f t="shared" si="3"/>
        <v>44216.520833333328</v>
      </c>
      <c r="C20" s="111">
        <v>0.52083333333333337</v>
      </c>
      <c r="D20" s="327" t="str">
        <f t="shared" si="0"/>
        <v/>
      </c>
      <c r="E20" s="114">
        <f t="shared" si="1"/>
        <v>44217.041666666664</v>
      </c>
      <c r="F20" s="35" t="s">
        <v>571</v>
      </c>
      <c r="G20" s="35"/>
      <c r="H20" s="684"/>
      <c r="I20" s="684"/>
      <c r="J20" s="684"/>
      <c r="K20" s="684"/>
    </row>
    <row r="21" spans="1:13" ht="12" customHeight="1" x14ac:dyDescent="0.25">
      <c r="A21" s="31">
        <f t="shared" si="2"/>
        <v>44217.041666666664</v>
      </c>
      <c r="B21" s="37">
        <f t="shared" si="3"/>
        <v>44217.041666666664</v>
      </c>
      <c r="C21" s="36">
        <v>0.5</v>
      </c>
      <c r="D21" s="327" t="str">
        <f t="shared" si="0"/>
        <v/>
      </c>
      <c r="E21" s="114">
        <f t="shared" si="1"/>
        <v>44217.541666666664</v>
      </c>
      <c r="F21" s="35" t="s">
        <v>548</v>
      </c>
      <c r="G21" s="39"/>
      <c r="H21" s="684"/>
      <c r="I21" s="684"/>
      <c r="J21" s="684"/>
      <c r="K21" s="684"/>
      <c r="L21" s="1058"/>
      <c r="M21" s="1059"/>
    </row>
    <row r="22" spans="1:13" ht="12.75" customHeight="1" x14ac:dyDescent="0.25">
      <c r="A22" s="31">
        <f t="shared" si="2"/>
        <v>44217.541666666664</v>
      </c>
      <c r="B22" s="37">
        <f t="shared" si="3"/>
        <v>44217.541666666664</v>
      </c>
      <c r="C22" s="36">
        <v>0.125</v>
      </c>
      <c r="D22" s="327" t="str">
        <f t="shared" si="0"/>
        <v/>
      </c>
      <c r="E22" s="114">
        <f t="shared" si="1"/>
        <v>44217.666666666664</v>
      </c>
      <c r="F22" s="35" t="s">
        <v>549</v>
      </c>
      <c r="G22" s="35"/>
      <c r="H22" s="684">
        <f>(252.2 + 36 + 78.4 + 174.3 + 70.4 + 70.4 + 70.4 + 66 + 54.7)/0.902</f>
        <v>967.62749445676275</v>
      </c>
      <c r="I22" s="684">
        <f>54.7/0.684</f>
        <v>79.970760233918128</v>
      </c>
      <c r="J22" s="684"/>
      <c r="K22" s="684">
        <f>SUM(H22:I22)</f>
        <v>1047.598254690681</v>
      </c>
      <c r="L22" s="1060"/>
      <c r="M22" s="1059"/>
    </row>
    <row r="23" spans="1:13" ht="12.75" customHeight="1" x14ac:dyDescent="0.25">
      <c r="A23" s="31">
        <f t="shared" si="2"/>
        <v>44217.666666666664</v>
      </c>
      <c r="B23" s="37">
        <f t="shared" si="3"/>
        <v>44217.666666666664</v>
      </c>
      <c r="C23" s="36">
        <v>0.4375</v>
      </c>
      <c r="D23" s="327" t="str">
        <f t="shared" si="0"/>
        <v/>
      </c>
      <c r="E23" s="114">
        <f t="shared" si="1"/>
        <v>44218.104166666664</v>
      </c>
      <c r="F23" s="35" t="s">
        <v>572</v>
      </c>
      <c r="G23" s="35"/>
      <c r="H23" s="1061">
        <f>26.1/0.902</f>
        <v>28.935698447893571</v>
      </c>
      <c r="I23" s="1063">
        <f>(13.1 + 32.8)/0.684</f>
        <v>67.105263157894726</v>
      </c>
      <c r="J23" s="684"/>
      <c r="K23" s="1061">
        <f t="shared" ref="K23" si="4">SUM(H23:I23)</f>
        <v>96.040961605788297</v>
      </c>
    </row>
    <row r="24" spans="1:13" ht="12.75" customHeight="1" x14ac:dyDescent="0.25">
      <c r="A24" s="31">
        <f t="shared" si="2"/>
        <v>44218.104166666664</v>
      </c>
      <c r="B24" s="37">
        <f t="shared" si="3"/>
        <v>44218.104166666664</v>
      </c>
      <c r="C24" s="36">
        <v>0.625</v>
      </c>
      <c r="D24" s="327" t="str">
        <f t="shared" si="0"/>
        <v/>
      </c>
      <c r="E24" s="114">
        <f t="shared" si="1"/>
        <v>44218.729166666664</v>
      </c>
      <c r="F24" s="35" t="s">
        <v>551</v>
      </c>
      <c r="G24" s="35"/>
      <c r="H24" s="1062"/>
      <c r="I24" s="1063"/>
      <c r="J24" s="684"/>
      <c r="K24" s="1062"/>
    </row>
    <row r="25" spans="1:13" ht="12.75" customHeight="1" x14ac:dyDescent="0.25">
      <c r="A25" s="31">
        <f t="shared" si="2"/>
        <v>44218.729166666664</v>
      </c>
      <c r="B25" s="37">
        <f t="shared" si="3"/>
        <v>44218.729166666664</v>
      </c>
      <c r="C25" s="36">
        <v>6.25E-2</v>
      </c>
      <c r="D25" s="327" t="str">
        <f t="shared" si="0"/>
        <v/>
      </c>
      <c r="E25" s="114">
        <f t="shared" si="1"/>
        <v>44218.791666666664</v>
      </c>
      <c r="F25" s="35" t="s">
        <v>2445</v>
      </c>
      <c r="G25" s="35"/>
      <c r="H25" s="684"/>
      <c r="I25" s="684"/>
      <c r="J25" s="684"/>
      <c r="K25" s="684"/>
    </row>
    <row r="26" spans="1:13" ht="12.75" customHeight="1" x14ac:dyDescent="0.25">
      <c r="A26" s="31">
        <f t="shared" si="2"/>
        <v>44218.791666666664</v>
      </c>
      <c r="B26" s="37">
        <f t="shared" si="3"/>
        <v>44218.791666666664</v>
      </c>
      <c r="C26" s="36">
        <v>0.16666666666666666</v>
      </c>
      <c r="D26" s="327" t="str">
        <f t="shared" si="0"/>
        <v/>
      </c>
      <c r="E26" s="114">
        <f t="shared" si="1"/>
        <v>44218.958333333328</v>
      </c>
      <c r="F26" s="35" t="s">
        <v>2447</v>
      </c>
      <c r="G26" s="35"/>
      <c r="H26" s="684"/>
      <c r="I26" s="684"/>
      <c r="J26" s="684"/>
      <c r="K26" s="684"/>
    </row>
    <row r="27" spans="1:13" ht="12.75" customHeight="1" x14ac:dyDescent="0.25">
      <c r="A27" s="185">
        <f t="shared" si="2"/>
        <v>44218.958333333328</v>
      </c>
      <c r="B27" s="467">
        <f t="shared" si="3"/>
        <v>44218.958333333328</v>
      </c>
      <c r="C27" s="187">
        <v>0.25</v>
      </c>
      <c r="D27" s="510" t="str">
        <f t="shared" si="0"/>
        <v/>
      </c>
      <c r="E27" s="542">
        <f t="shared" si="1"/>
        <v>44219.208333333328</v>
      </c>
      <c r="F27" s="167" t="s">
        <v>2448</v>
      </c>
      <c r="G27" s="35"/>
      <c r="H27" s="684">
        <v>327</v>
      </c>
      <c r="I27" s="684"/>
      <c r="J27" s="684"/>
      <c r="K27" s="684">
        <f>SUM(H27:I27)</f>
        <v>327</v>
      </c>
    </row>
    <row r="28" spans="1:13" x14ac:dyDescent="0.25">
      <c r="B28" s="112" t="s">
        <v>534</v>
      </c>
      <c r="C28" s="36">
        <f>SUM(C11:C27)</f>
        <v>4.729166666666667</v>
      </c>
      <c r="D28" s="32">
        <f>SUM(D11:D26)</f>
        <v>0.58333333333333326</v>
      </c>
      <c r="G28" s="26"/>
      <c r="H28" s="460">
        <f>SUM(H11:H27)</f>
        <v>1483.5631929046563</v>
      </c>
      <c r="I28" s="460">
        <f>SUM(I11:I27)</f>
        <v>147.07602339181284</v>
      </c>
      <c r="J28" s="460">
        <f>SUM(J11:J27)</f>
        <v>877.33199598796386</v>
      </c>
      <c r="K28" s="460">
        <f>SUM(K11:K27)</f>
        <v>1630.6392162964692</v>
      </c>
    </row>
    <row r="29" spans="1:13" x14ac:dyDescent="0.25">
      <c r="B29" s="31" t="s">
        <v>536</v>
      </c>
      <c r="C29" s="36">
        <f>C28/24</f>
        <v>0.19704861111111113</v>
      </c>
      <c r="D29" s="112">
        <f>D28/24</f>
        <v>2.4305555555555552E-2</v>
      </c>
      <c r="G29" s="26"/>
    </row>
    <row r="30" spans="1:13" ht="21" x14ac:dyDescent="0.55000000000000004">
      <c r="A30" s="34"/>
      <c r="D30" s="113"/>
      <c r="G30" s="26"/>
    </row>
    <row r="31" spans="1:13" x14ac:dyDescent="0.25">
      <c r="G31" s="26"/>
    </row>
    <row r="32" spans="1:13" x14ac:dyDescent="0.25">
      <c r="G32" s="26"/>
    </row>
    <row r="33" spans="7:7" x14ac:dyDescent="0.25">
      <c r="G33" s="26"/>
    </row>
    <row r="34" spans="7:7" x14ac:dyDescent="0.25">
      <c r="G34" s="26"/>
    </row>
    <row r="35" spans="7:7" x14ac:dyDescent="0.25">
      <c r="G35" s="26"/>
    </row>
    <row r="36" spans="7:7" x14ac:dyDescent="0.25">
      <c r="G36" s="26"/>
    </row>
    <row r="37" spans="7:7" x14ac:dyDescent="0.25">
      <c r="G37" s="26"/>
    </row>
    <row r="38" spans="7:7" x14ac:dyDescent="0.25">
      <c r="G38" s="26"/>
    </row>
    <row r="39" spans="7:7" x14ac:dyDescent="0.25">
      <c r="G39" s="26"/>
    </row>
    <row r="40" spans="7:7" x14ac:dyDescent="0.25">
      <c r="G40" s="26"/>
    </row>
    <row r="41" spans="7:7" x14ac:dyDescent="0.25">
      <c r="G41" s="26"/>
    </row>
    <row r="42" spans="7:7" x14ac:dyDescent="0.25">
      <c r="G42" s="26"/>
    </row>
    <row r="43" spans="7:7" x14ac:dyDescent="0.25">
      <c r="G43" s="26"/>
    </row>
    <row r="44" spans="7:7" x14ac:dyDescent="0.25">
      <c r="G44" s="26"/>
    </row>
    <row r="45" spans="7:7" x14ac:dyDescent="0.25">
      <c r="G45" s="26"/>
    </row>
    <row r="46" spans="7:7" x14ac:dyDescent="0.25">
      <c r="G46" s="26"/>
    </row>
    <row r="47" spans="7:7" x14ac:dyDescent="0.25">
      <c r="G47" s="26"/>
    </row>
    <row r="48" spans="7:7" x14ac:dyDescent="0.25">
      <c r="G48" s="26"/>
    </row>
    <row r="49" spans="6:11" x14ac:dyDescent="0.25">
      <c r="G49" s="26"/>
    </row>
    <row r="50" spans="6:11" x14ac:dyDescent="0.25">
      <c r="G50" s="26"/>
    </row>
    <row r="51" spans="6:11" x14ac:dyDescent="0.25">
      <c r="G51" s="26"/>
    </row>
    <row r="52" spans="6:11" x14ac:dyDescent="0.25">
      <c r="F52" s="26"/>
      <c r="H52" s="26"/>
      <c r="I52" s="26"/>
      <c r="J52" s="26"/>
      <c r="K52" s="26"/>
    </row>
    <row r="53" spans="6:11" x14ac:dyDescent="0.25">
      <c r="F53" s="26"/>
      <c r="H53" s="26"/>
      <c r="I53" s="26"/>
      <c r="J53" s="26"/>
      <c r="K53" s="26"/>
    </row>
  </sheetData>
  <mergeCells count="11">
    <mergeCell ref="L15:M15"/>
    <mergeCell ref="A1:B1"/>
    <mergeCell ref="A5:D5"/>
    <mergeCell ref="L11:M11"/>
    <mergeCell ref="L12:M12"/>
    <mergeCell ref="L14:M14"/>
    <mergeCell ref="L21:M21"/>
    <mergeCell ref="L22:M22"/>
    <mergeCell ref="H23:H24"/>
    <mergeCell ref="I23:I24"/>
    <mergeCell ref="K23:K24"/>
  </mergeCells>
  <pageMargins left="0.75" right="0.75" top="1" bottom="1" header="0.5" footer="0.5"/>
  <pageSetup orientation="portrait" r:id="rId1"/>
  <headerFooter alignWithMargins="0">
    <oddFooter>&amp;R&amp;"Arial,Regular"&amp;08&amp;K7F7F7FAmgen Proprietary - Confidential   &amp;C&amp;"Calibri"&amp;11&amp;K000000&amp;"Calibri"&amp;11&amp;K000000&amp;"Arial,Regular"&amp;08&amp;K7F7F7FAmgen Proprietary - For Internal Use Only_x000D_&amp;1#&amp;"Calibri"&amp;10&amp;K000000 Non-Amgen</oddFooter>
    <evenFooter>&amp;R&amp;"Arial,Regular"&amp;08&amp;K7F7F7FAmgen Proprietary - Confidential   &amp;C&amp;"Arial,Regular"&amp;08&amp;K7F7F7FAmgen Proprietary - For Internal Use Only</evenFooter>
    <firstFooter>&amp;R&amp;"Arial,Regular"&amp;08&amp;K7F7F7FAmgen Proprietary - Confidential   &amp;C&amp;"Arial,Regular"&amp;08&amp;K7F7F7FAmgen Proprietary - For Internal Use Only</first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4D6D42-B61D-4AF5-9FA2-1AD39BAD7C30}">
  <sheetPr codeName="Sheet70">
    <pageSetUpPr autoPageBreaks="0"/>
  </sheetPr>
  <dimension ref="A1:M55"/>
  <sheetViews>
    <sheetView topLeftCell="A10" zoomScale="120" zoomScaleNormal="120" workbookViewId="0">
      <selection activeCell="F21" sqref="F21"/>
    </sheetView>
  </sheetViews>
  <sheetFormatPr defaultColWidth="9.453125" defaultRowHeight="11.5" x14ac:dyDescent="0.25"/>
  <cols>
    <col min="1" max="1" width="25" style="25" bestFit="1" customWidth="1"/>
    <col min="2" max="3" width="23.453125" style="25" customWidth="1"/>
    <col min="4" max="4" width="20.54296875" style="25" hidden="1" customWidth="1"/>
    <col min="5" max="5" width="21.54296875" style="25" customWidth="1"/>
    <col min="6" max="6" width="50.54296875" style="25" customWidth="1"/>
    <col min="7" max="7" width="43.453125" style="25" bestFit="1" customWidth="1"/>
    <col min="8" max="11" width="14.453125" style="25" customWidth="1"/>
    <col min="12" max="16384" width="9.453125" style="25"/>
  </cols>
  <sheetData>
    <row r="1" spans="1:13" ht="12" thickBot="1" x14ac:dyDescent="0.3">
      <c r="A1" s="1053" t="s">
        <v>479</v>
      </c>
      <c r="B1" s="1054"/>
    </row>
    <row r="2" spans="1:13" ht="12" thickBot="1" x14ac:dyDescent="0.3">
      <c r="A2" s="772" t="s">
        <v>480</v>
      </c>
      <c r="B2" s="115">
        <f>A11</f>
        <v>44221.375</v>
      </c>
    </row>
    <row r="3" spans="1:13" x14ac:dyDescent="0.25">
      <c r="A3" s="772" t="s">
        <v>482</v>
      </c>
      <c r="B3" s="454">
        <f>A11</f>
        <v>44221.375</v>
      </c>
    </row>
    <row r="5" spans="1:13" x14ac:dyDescent="0.25">
      <c r="A5" s="1049" t="s">
        <v>484</v>
      </c>
      <c r="B5" s="1050"/>
      <c r="C5" s="1050"/>
      <c r="D5" s="1051"/>
    </row>
    <row r="6" spans="1:13" x14ac:dyDescent="0.25">
      <c r="A6" s="781" t="s">
        <v>485</v>
      </c>
      <c r="B6" s="781" t="s">
        <v>486</v>
      </c>
      <c r="C6" s="781" t="s">
        <v>487</v>
      </c>
      <c r="D6" s="781" t="s">
        <v>488</v>
      </c>
    </row>
    <row r="7" spans="1:13" x14ac:dyDescent="0.25">
      <c r="A7" s="41" t="str">
        <f>F16</f>
        <v>IPC: Reaction Conversion</v>
      </c>
      <c r="B7" s="455">
        <f>INDEX($A$11:$A$62,MATCH(A7,$F$11:$F$59,0))</f>
        <v>44222.354166666664</v>
      </c>
      <c r="C7" s="37">
        <f>INDEX($A$11:$A$62,MATCH(A7,$F$11:$F$59,0))</f>
        <v>44222.354166666664</v>
      </c>
      <c r="D7" s="475"/>
    </row>
    <row r="8" spans="1:13" x14ac:dyDescent="0.25">
      <c r="A8" s="35" t="s">
        <v>2445</v>
      </c>
      <c r="B8" s="455">
        <f>INDEX($A$11:$A$62,MATCH(A8,$F$11:$F$59,0))</f>
        <v>44225.625</v>
      </c>
      <c r="C8" s="37">
        <f>INDEX($A$11:$A$62,MATCH(A8,$F$11:$F$59,0))</f>
        <v>44225.625</v>
      </c>
      <c r="D8" s="110"/>
    </row>
    <row r="9" spans="1:13" x14ac:dyDescent="0.25">
      <c r="B9" s="453"/>
    </row>
    <row r="10" spans="1:13" ht="23" x14ac:dyDescent="0.25">
      <c r="A10" s="749" t="s">
        <v>492</v>
      </c>
      <c r="B10" s="749" t="s">
        <v>493</v>
      </c>
      <c r="C10" s="749" t="s">
        <v>494</v>
      </c>
      <c r="D10" s="86" t="s">
        <v>495</v>
      </c>
      <c r="E10" s="749" t="s">
        <v>560</v>
      </c>
      <c r="F10" s="749" t="s">
        <v>541</v>
      </c>
      <c r="G10" s="749" t="s">
        <v>498</v>
      </c>
      <c r="H10" s="749" t="s">
        <v>561</v>
      </c>
      <c r="I10" s="749" t="s">
        <v>126</v>
      </c>
      <c r="J10" s="749" t="s">
        <v>92</v>
      </c>
      <c r="K10" s="749" t="s">
        <v>501</v>
      </c>
    </row>
    <row r="11" spans="1:13" x14ac:dyDescent="0.25">
      <c r="A11" s="31">
        <v>44221.375</v>
      </c>
      <c r="B11" s="38">
        <f>A11</f>
        <v>44221.375</v>
      </c>
      <c r="C11" s="36">
        <v>6.25E-2</v>
      </c>
      <c r="D11" s="327" t="str">
        <f t="shared" ref="D11:D29" si="0">IF(_xlfn.ISFORMULA(E11)=TRUE,"",E11-B11)</f>
        <v/>
      </c>
      <c r="E11" s="114">
        <f t="shared" ref="E11:E29" si="1">B11+C11</f>
        <v>44221.4375</v>
      </c>
      <c r="F11" s="35" t="s">
        <v>562</v>
      </c>
      <c r="G11" s="35"/>
      <c r="H11" s="684"/>
      <c r="I11" s="684"/>
      <c r="J11" s="684"/>
      <c r="K11" s="684"/>
      <c r="L11" s="1057"/>
      <c r="M11" s="1056"/>
    </row>
    <row r="12" spans="1:13" ht="12.75" customHeight="1" x14ac:dyDescent="0.25">
      <c r="A12" s="31">
        <f t="shared" ref="A12:A29" si="2">IF(D11 = "",A11+C11,A11+D11)</f>
        <v>44221.4375</v>
      </c>
      <c r="B12" s="685">
        <f>IF(D11 = "",B11+C11,B11+D11)</f>
        <v>44221.4375</v>
      </c>
      <c r="C12" s="36">
        <v>0.375</v>
      </c>
      <c r="D12" s="327" t="str">
        <f t="shared" si="0"/>
        <v/>
      </c>
      <c r="E12" s="114">
        <f t="shared" si="1"/>
        <v>44221.8125</v>
      </c>
      <c r="F12" s="35" t="s">
        <v>563</v>
      </c>
      <c r="G12" s="35"/>
      <c r="H12" s="684"/>
      <c r="I12" s="684"/>
      <c r="J12" s="684"/>
      <c r="K12" s="684"/>
      <c r="L12" s="1055"/>
      <c r="M12" s="1056"/>
    </row>
    <row r="13" spans="1:13" ht="12" customHeight="1" x14ac:dyDescent="0.25">
      <c r="A13" s="31">
        <f t="shared" si="2"/>
        <v>44221.8125</v>
      </c>
      <c r="B13" s="37">
        <f t="shared" ref="B13:B29" si="3">IF(D12 = "",B12+C12,B12+D12)</f>
        <v>44221.8125</v>
      </c>
      <c r="C13" s="36">
        <v>0.22916666666666666</v>
      </c>
      <c r="D13" s="327" t="str">
        <f t="shared" si="0"/>
        <v/>
      </c>
      <c r="E13" s="114">
        <f t="shared" si="1"/>
        <v>44222.041666666664</v>
      </c>
      <c r="F13" s="35" t="s">
        <v>564</v>
      </c>
      <c r="G13" s="39"/>
      <c r="H13" s="684"/>
      <c r="I13" s="684"/>
      <c r="J13" s="684">
        <f>(199.6 + 36 + 81 + 81 + 81) / 0.997</f>
        <v>480.04012036108327</v>
      </c>
      <c r="K13" s="684"/>
    </row>
    <row r="14" spans="1:13" ht="12" customHeight="1" x14ac:dyDescent="0.25">
      <c r="A14" s="31">
        <f t="shared" si="2"/>
        <v>44222.041666666664</v>
      </c>
      <c r="B14" s="37">
        <f t="shared" si="3"/>
        <v>44222.041666666664</v>
      </c>
      <c r="C14" s="36">
        <v>0.10416666666666667</v>
      </c>
      <c r="D14" s="327" t="str">
        <f t="shared" si="0"/>
        <v/>
      </c>
      <c r="E14" s="114">
        <f t="shared" si="1"/>
        <v>44222.145833333328</v>
      </c>
      <c r="F14" s="35" t="s">
        <v>565</v>
      </c>
      <c r="G14" s="39"/>
      <c r="H14" s="684"/>
      <c r="I14" s="684"/>
      <c r="J14" s="684"/>
      <c r="K14" s="684"/>
      <c r="L14" s="1057"/>
      <c r="M14" s="1056"/>
    </row>
    <row r="15" spans="1:13" ht="12.75" customHeight="1" x14ac:dyDescent="0.25">
      <c r="A15" s="31">
        <f t="shared" si="2"/>
        <v>44222.145833333328</v>
      </c>
      <c r="B15" s="37">
        <f t="shared" si="3"/>
        <v>44222.145833333328</v>
      </c>
      <c r="C15" s="36">
        <v>0.20833333333333334</v>
      </c>
      <c r="D15" s="327" t="str">
        <f t="shared" si="0"/>
        <v/>
      </c>
      <c r="E15" s="114">
        <f t="shared" si="1"/>
        <v>44222.354166666664</v>
      </c>
      <c r="F15" s="35" t="s">
        <v>566</v>
      </c>
      <c r="G15" s="35"/>
      <c r="H15" s="684"/>
      <c r="I15" s="684"/>
      <c r="J15" s="684"/>
      <c r="K15" s="684"/>
      <c r="L15" s="1055"/>
      <c r="M15" s="1056"/>
    </row>
    <row r="16" spans="1:13" ht="13.4" customHeight="1" x14ac:dyDescent="0.25">
      <c r="A16" s="31">
        <f t="shared" si="2"/>
        <v>44222.354166666664</v>
      </c>
      <c r="B16" s="37">
        <f t="shared" si="3"/>
        <v>44222.354166666664</v>
      </c>
      <c r="C16" s="111">
        <v>0.14583333333333334</v>
      </c>
      <c r="D16" s="327" t="str">
        <f t="shared" si="0"/>
        <v/>
      </c>
      <c r="E16" s="114">
        <f t="shared" si="1"/>
        <v>44222.5</v>
      </c>
      <c r="F16" s="39" t="s">
        <v>567</v>
      </c>
      <c r="G16" s="35" t="s">
        <v>568</v>
      </c>
      <c r="H16" s="458"/>
      <c r="I16" s="458"/>
      <c r="J16" s="458"/>
      <c r="K16" s="458"/>
    </row>
    <row r="17" spans="1:13" x14ac:dyDescent="0.25">
      <c r="A17" s="31">
        <f t="shared" si="2"/>
        <v>44222.5</v>
      </c>
      <c r="B17" s="37">
        <f t="shared" si="3"/>
        <v>44222.5</v>
      </c>
      <c r="C17" s="111">
        <v>0.375</v>
      </c>
      <c r="D17" s="327" t="str">
        <f t="shared" si="0"/>
        <v/>
      </c>
      <c r="E17" s="114">
        <f t="shared" si="1"/>
        <v>44222.875</v>
      </c>
      <c r="F17" s="35" t="s">
        <v>569</v>
      </c>
      <c r="G17" s="35"/>
      <c r="H17" s="684"/>
      <c r="I17" s="684"/>
      <c r="J17" s="684"/>
      <c r="K17" s="684"/>
    </row>
    <row r="18" spans="1:13" x14ac:dyDescent="0.25">
      <c r="A18" s="31">
        <f t="shared" si="2"/>
        <v>44222.875</v>
      </c>
      <c r="B18" s="37">
        <f t="shared" si="3"/>
        <v>44222.875</v>
      </c>
      <c r="C18" s="111">
        <v>0.5</v>
      </c>
      <c r="D18" s="327" t="str">
        <f t="shared" si="0"/>
        <v/>
      </c>
      <c r="E18" s="114">
        <f t="shared" si="1"/>
        <v>44223.375</v>
      </c>
      <c r="F18" s="35" t="s">
        <v>570</v>
      </c>
      <c r="G18" s="35"/>
      <c r="H18" s="684"/>
      <c r="I18" s="684"/>
      <c r="J18" s="684">
        <f>(69.5 + 36 + 48 + 62.6 + 36 + 48 + 48 + 48)/0.997</f>
        <v>397.29187562688065</v>
      </c>
      <c r="K18" s="684"/>
    </row>
    <row r="19" spans="1:13" x14ac:dyDescent="0.25">
      <c r="A19" s="31">
        <f t="shared" si="2"/>
        <v>44223.375</v>
      </c>
      <c r="B19" s="37">
        <f t="shared" si="3"/>
        <v>44223.375</v>
      </c>
      <c r="C19" s="111">
        <v>4.1666666666666664E-2</v>
      </c>
      <c r="D19" s="683"/>
      <c r="E19" s="114">
        <f t="shared" si="1"/>
        <v>44223.416666666664</v>
      </c>
      <c r="F19" s="35" t="s">
        <v>2446</v>
      </c>
      <c r="G19" s="35"/>
      <c r="H19" s="684">
        <f>40+120</f>
        <v>160</v>
      </c>
      <c r="I19" s="684"/>
      <c r="J19" s="684"/>
      <c r="K19" s="684">
        <f>H19</f>
        <v>160</v>
      </c>
    </row>
    <row r="20" spans="1:13" ht="13.5" customHeight="1" x14ac:dyDescent="0.25">
      <c r="A20" s="31">
        <f t="shared" si="2"/>
        <v>44223.416666666664</v>
      </c>
      <c r="B20" s="37">
        <f t="shared" si="3"/>
        <v>44223.416666666664</v>
      </c>
      <c r="C20" s="111">
        <v>0.52083333333333337</v>
      </c>
      <c r="D20" s="327" t="str">
        <f t="shared" si="0"/>
        <v/>
      </c>
      <c r="E20" s="114">
        <f t="shared" si="1"/>
        <v>44223.9375</v>
      </c>
      <c r="F20" s="35" t="s">
        <v>571</v>
      </c>
      <c r="G20" s="35"/>
      <c r="H20" s="684"/>
      <c r="I20" s="684"/>
      <c r="J20" s="684"/>
      <c r="K20" s="684"/>
    </row>
    <row r="21" spans="1:13" ht="12" customHeight="1" x14ac:dyDescent="0.25">
      <c r="A21" s="31">
        <f t="shared" si="2"/>
        <v>44223.9375</v>
      </c>
      <c r="B21" s="37">
        <f t="shared" si="3"/>
        <v>44223.9375</v>
      </c>
      <c r="C21" s="36">
        <v>0.5</v>
      </c>
      <c r="D21" s="327" t="str">
        <f t="shared" si="0"/>
        <v/>
      </c>
      <c r="E21" s="114">
        <f t="shared" si="1"/>
        <v>44224.4375</v>
      </c>
      <c r="F21" s="35" t="s">
        <v>548</v>
      </c>
      <c r="G21" s="39"/>
      <c r="H21" s="684"/>
      <c r="I21" s="684"/>
      <c r="J21" s="684"/>
      <c r="K21" s="684"/>
      <c r="L21" s="1058"/>
      <c r="M21" s="1059"/>
    </row>
    <row r="22" spans="1:13" ht="12.75" customHeight="1" x14ac:dyDescent="0.25">
      <c r="A22" s="31">
        <f t="shared" si="2"/>
        <v>44224.4375</v>
      </c>
      <c r="B22" s="37">
        <f t="shared" si="3"/>
        <v>44224.4375</v>
      </c>
      <c r="C22" s="36">
        <v>0.125</v>
      </c>
      <c r="D22" s="327" t="str">
        <f t="shared" si="0"/>
        <v/>
      </c>
      <c r="E22" s="114">
        <f t="shared" si="1"/>
        <v>44224.5625</v>
      </c>
      <c r="F22" s="35" t="s">
        <v>549</v>
      </c>
      <c r="G22" s="35"/>
      <c r="H22" s="684">
        <f>(252.2 + 36 + 78.4 + 174.3 + 70.4 + 70.4 + 70.4 + 66 + 54.7)/0.902</f>
        <v>967.62749445676275</v>
      </c>
      <c r="I22" s="684">
        <f>54.7/0.684</f>
        <v>79.970760233918128</v>
      </c>
      <c r="J22" s="684"/>
      <c r="K22" s="684">
        <f>SUM(H22:I22)</f>
        <v>1047.598254690681</v>
      </c>
      <c r="L22" s="1060"/>
      <c r="M22" s="1059"/>
    </row>
    <row r="23" spans="1:13" ht="12.75" customHeight="1" x14ac:dyDescent="0.25">
      <c r="A23" s="31">
        <f t="shared" si="2"/>
        <v>44224.5625</v>
      </c>
      <c r="B23" s="37">
        <f t="shared" si="3"/>
        <v>44224.5625</v>
      </c>
      <c r="C23" s="36">
        <v>0.4375</v>
      </c>
      <c r="D23" s="327" t="str">
        <f t="shared" si="0"/>
        <v/>
      </c>
      <c r="E23" s="114">
        <f t="shared" si="1"/>
        <v>44225</v>
      </c>
      <c r="F23" s="35" t="s">
        <v>572</v>
      </c>
      <c r="G23" s="35"/>
      <c r="H23" s="1061">
        <f>26.1/0.902</f>
        <v>28.935698447893571</v>
      </c>
      <c r="I23" s="1063">
        <f>(13.1 + 32.8)/0.684</f>
        <v>67.105263157894726</v>
      </c>
      <c r="J23" s="684"/>
      <c r="K23" s="1061">
        <f t="shared" ref="K23" si="4">SUM(H23:I23)</f>
        <v>96.040961605788297</v>
      </c>
    </row>
    <row r="24" spans="1:13" ht="12.75" customHeight="1" x14ac:dyDescent="0.25">
      <c r="A24" s="31">
        <f t="shared" si="2"/>
        <v>44225</v>
      </c>
      <c r="B24" s="37">
        <f t="shared" si="3"/>
        <v>44225</v>
      </c>
      <c r="C24" s="36">
        <v>0.625</v>
      </c>
      <c r="D24" s="327" t="str">
        <f t="shared" si="0"/>
        <v/>
      </c>
      <c r="E24" s="114">
        <f t="shared" si="1"/>
        <v>44225.625</v>
      </c>
      <c r="F24" s="35" t="s">
        <v>551</v>
      </c>
      <c r="G24" s="35"/>
      <c r="H24" s="1062"/>
      <c r="I24" s="1063"/>
      <c r="J24" s="684"/>
      <c r="K24" s="1062"/>
    </row>
    <row r="25" spans="1:13" ht="12.75" customHeight="1" x14ac:dyDescent="0.25">
      <c r="A25" s="31">
        <f t="shared" si="2"/>
        <v>44225.625</v>
      </c>
      <c r="B25" s="37">
        <f t="shared" si="3"/>
        <v>44225.625</v>
      </c>
      <c r="C25" s="36">
        <v>6.25E-2</v>
      </c>
      <c r="D25" s="327" t="str">
        <f t="shared" si="0"/>
        <v/>
      </c>
      <c r="E25" s="114">
        <f t="shared" si="1"/>
        <v>44225.6875</v>
      </c>
      <c r="F25" s="35" t="s">
        <v>2445</v>
      </c>
      <c r="G25" s="35"/>
      <c r="H25" s="684"/>
      <c r="I25" s="684"/>
      <c r="J25" s="684"/>
      <c r="K25" s="684"/>
    </row>
    <row r="26" spans="1:13" ht="12.75" customHeight="1" x14ac:dyDescent="0.25">
      <c r="A26" s="31">
        <f t="shared" si="2"/>
        <v>44225.6875</v>
      </c>
      <c r="B26" s="37">
        <f t="shared" si="3"/>
        <v>44225.6875</v>
      </c>
      <c r="C26" s="36">
        <v>0.16666666666666666</v>
      </c>
      <c r="D26" s="327" t="str">
        <f t="shared" si="0"/>
        <v/>
      </c>
      <c r="E26" s="114">
        <f t="shared" si="1"/>
        <v>44225.854166666664</v>
      </c>
      <c r="F26" s="35" t="s">
        <v>2447</v>
      </c>
      <c r="G26" s="35"/>
      <c r="H26" s="684"/>
      <c r="I26" s="684"/>
      <c r="J26" s="684"/>
      <c r="K26" s="684"/>
    </row>
    <row r="27" spans="1:13" ht="12.75" hidden="1" customHeight="1" x14ac:dyDescent="0.25">
      <c r="A27" s="31">
        <f>IF(D23 = "",A23+C23,A23+D23)</f>
        <v>44225</v>
      </c>
      <c r="B27" s="37">
        <f>IF(D23 = "",B23+C23,B23+D23)</f>
        <v>44225</v>
      </c>
      <c r="C27" s="36"/>
      <c r="D27" s="327" t="str">
        <f t="shared" si="0"/>
        <v/>
      </c>
      <c r="E27" s="114">
        <f t="shared" si="1"/>
        <v>44225</v>
      </c>
      <c r="F27" s="167" t="s">
        <v>573</v>
      </c>
      <c r="G27" s="167"/>
      <c r="H27" s="459"/>
      <c r="I27" s="459"/>
      <c r="J27" s="459"/>
      <c r="K27" s="459">
        <f>SUM(H27:I27)</f>
        <v>0</v>
      </c>
    </row>
    <row r="28" spans="1:13" ht="12.75" hidden="1" customHeight="1" x14ac:dyDescent="0.25">
      <c r="A28" s="31">
        <f t="shared" si="2"/>
        <v>44225</v>
      </c>
      <c r="B28" s="37">
        <f t="shared" si="3"/>
        <v>44225</v>
      </c>
      <c r="C28" s="36"/>
      <c r="D28" s="327" t="str">
        <f t="shared" si="0"/>
        <v/>
      </c>
      <c r="E28" s="114">
        <f t="shared" si="1"/>
        <v>44225</v>
      </c>
      <c r="F28" s="167" t="s">
        <v>574</v>
      </c>
      <c r="G28" s="167"/>
      <c r="H28" s="459"/>
      <c r="I28" s="459"/>
      <c r="J28" s="459"/>
      <c r="K28" s="459">
        <f>SUM(H28:I28)</f>
        <v>0</v>
      </c>
    </row>
    <row r="29" spans="1:13" ht="12.75" hidden="1" customHeight="1" x14ac:dyDescent="0.25">
      <c r="A29" s="31">
        <f t="shared" si="2"/>
        <v>44225</v>
      </c>
      <c r="B29" s="37">
        <f t="shared" si="3"/>
        <v>44225</v>
      </c>
      <c r="C29" s="36"/>
      <c r="D29" s="327" t="str">
        <f t="shared" si="0"/>
        <v/>
      </c>
      <c r="E29" s="114">
        <f t="shared" si="1"/>
        <v>44225</v>
      </c>
      <c r="F29" s="167" t="s">
        <v>575</v>
      </c>
      <c r="G29" s="167"/>
      <c r="H29" s="459"/>
      <c r="I29" s="459"/>
      <c r="J29" s="459"/>
      <c r="K29" s="459"/>
    </row>
    <row r="30" spans="1:13" x14ac:dyDescent="0.25">
      <c r="B30" s="112" t="s">
        <v>534</v>
      </c>
      <c r="C30" s="36">
        <f>SUM(C11:C29)</f>
        <v>4.479166666666667</v>
      </c>
      <c r="D30" s="32">
        <f>SUM(D11:D26)</f>
        <v>0</v>
      </c>
      <c r="G30" s="26"/>
      <c r="H30" s="460">
        <f>SUM(H11:H29)</f>
        <v>1156.5631929046563</v>
      </c>
      <c r="I30" s="460">
        <f>SUM(I11:I29)</f>
        <v>147.07602339181284</v>
      </c>
      <c r="J30" s="460">
        <f>SUM(J11:J29)</f>
        <v>877.33199598796386</v>
      </c>
      <c r="K30" s="460">
        <f>SUM(K11:K29)</f>
        <v>1303.6392162964692</v>
      </c>
    </row>
    <row r="31" spans="1:13" x14ac:dyDescent="0.25">
      <c r="B31" s="31" t="s">
        <v>536</v>
      </c>
      <c r="C31" s="36">
        <f>C30/24</f>
        <v>0.18663194444444445</v>
      </c>
      <c r="D31" s="112">
        <f>D30/24</f>
        <v>0</v>
      </c>
      <c r="G31" s="26"/>
    </row>
    <row r="32" spans="1:13" ht="21" x14ac:dyDescent="0.55000000000000004">
      <c r="A32" s="34"/>
      <c r="D32" s="113"/>
      <c r="G32" s="26"/>
    </row>
    <row r="33" spans="7:7" x14ac:dyDescent="0.25">
      <c r="G33" s="26"/>
    </row>
    <row r="34" spans="7:7" x14ac:dyDescent="0.25">
      <c r="G34" s="26"/>
    </row>
    <row r="35" spans="7:7" x14ac:dyDescent="0.25">
      <c r="G35" s="26"/>
    </row>
    <row r="36" spans="7:7" x14ac:dyDescent="0.25">
      <c r="G36" s="26"/>
    </row>
    <row r="37" spans="7:7" x14ac:dyDescent="0.25">
      <c r="G37" s="26"/>
    </row>
    <row r="38" spans="7:7" x14ac:dyDescent="0.25">
      <c r="G38" s="26"/>
    </row>
    <row r="39" spans="7:7" x14ac:dyDescent="0.25">
      <c r="G39" s="26"/>
    </row>
    <row r="40" spans="7:7" x14ac:dyDescent="0.25">
      <c r="G40" s="26"/>
    </row>
    <row r="41" spans="7:7" x14ac:dyDescent="0.25">
      <c r="G41" s="26"/>
    </row>
    <row r="42" spans="7:7" x14ac:dyDescent="0.25">
      <c r="G42" s="26"/>
    </row>
    <row r="43" spans="7:7" x14ac:dyDescent="0.25">
      <c r="G43" s="26"/>
    </row>
    <row r="44" spans="7:7" x14ac:dyDescent="0.25">
      <c r="G44" s="26"/>
    </row>
    <row r="45" spans="7:7" x14ac:dyDescent="0.25">
      <c r="G45" s="26"/>
    </row>
    <row r="46" spans="7:7" x14ac:dyDescent="0.25">
      <c r="G46" s="26"/>
    </row>
    <row r="47" spans="7:7" x14ac:dyDescent="0.25">
      <c r="G47" s="26"/>
    </row>
    <row r="48" spans="7:7" x14ac:dyDescent="0.25">
      <c r="G48" s="26"/>
    </row>
    <row r="49" spans="6:11" x14ac:dyDescent="0.25">
      <c r="G49" s="26"/>
    </row>
    <row r="50" spans="6:11" x14ac:dyDescent="0.25">
      <c r="G50" s="26"/>
    </row>
    <row r="51" spans="6:11" x14ac:dyDescent="0.25">
      <c r="G51" s="26"/>
    </row>
    <row r="52" spans="6:11" x14ac:dyDescent="0.25">
      <c r="G52" s="26"/>
    </row>
    <row r="53" spans="6:11" x14ac:dyDescent="0.25">
      <c r="G53" s="26"/>
    </row>
    <row r="54" spans="6:11" x14ac:dyDescent="0.25">
      <c r="F54" s="26"/>
      <c r="H54" s="26"/>
      <c r="I54" s="26"/>
      <c r="J54" s="26"/>
      <c r="K54" s="26"/>
    </row>
    <row r="55" spans="6:11" x14ac:dyDescent="0.25">
      <c r="F55" s="26"/>
      <c r="H55" s="26"/>
      <c r="I55" s="26"/>
      <c r="J55" s="26"/>
      <c r="K55" s="26"/>
    </row>
  </sheetData>
  <mergeCells count="11">
    <mergeCell ref="L15:M15"/>
    <mergeCell ref="A1:B1"/>
    <mergeCell ref="A5:D5"/>
    <mergeCell ref="L11:M11"/>
    <mergeCell ref="L12:M12"/>
    <mergeCell ref="L14:M14"/>
    <mergeCell ref="L21:M21"/>
    <mergeCell ref="L22:M22"/>
    <mergeCell ref="H23:H24"/>
    <mergeCell ref="I23:I24"/>
    <mergeCell ref="K23:K24"/>
  </mergeCells>
  <pageMargins left="0.75" right="0.75" top="1" bottom="1" header="0.5" footer="0.5"/>
  <pageSetup orientation="portrait" r:id="rId1"/>
  <headerFooter alignWithMargins="0">
    <oddFooter>&amp;R&amp;"Arial,Regular"&amp;08&amp;K7F7F7FAmgen Proprietary - Confidential   &amp;C&amp;"Calibri"&amp;11&amp;K000000&amp;"Calibri"&amp;11&amp;K000000&amp;"Arial,Regular"&amp;08&amp;K7F7F7FAmgen Proprietary - For Internal Use Only_x000D_&amp;1#&amp;"Calibri"&amp;10&amp;K000000 Non-Amgen</oddFooter>
    <evenFooter>&amp;R&amp;"Arial,Regular"&amp;08&amp;K7F7F7FAmgen Proprietary - Confidential   &amp;C&amp;"Arial,Regular"&amp;08&amp;K7F7F7FAmgen Proprietary - For Internal Use Only</evenFooter>
    <firstFooter>&amp;R&amp;"Arial,Regular"&amp;08&amp;K7F7F7FAmgen Proprietary - Confidential   &amp;C&amp;"Arial,Regular"&amp;08&amp;K7F7F7FAmgen Proprietary - For Internal Use Only</first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0AD32-C879-44B1-9A28-921165F539AD}">
  <sheetPr codeName="Sheet63">
    <pageSetUpPr autoPageBreaks="0"/>
  </sheetPr>
  <dimension ref="A1:O93"/>
  <sheetViews>
    <sheetView zoomScale="110" zoomScaleNormal="110" workbookViewId="0">
      <selection activeCell="B61" sqref="B61"/>
    </sheetView>
  </sheetViews>
  <sheetFormatPr defaultColWidth="23.453125" defaultRowHeight="11.5" x14ac:dyDescent="0.25"/>
  <cols>
    <col min="1" max="1" width="53" style="25" customWidth="1"/>
    <col min="2" max="2" width="28" style="25" customWidth="1"/>
    <col min="3" max="3" width="23.453125" style="25" customWidth="1"/>
    <col min="4" max="4" width="23.453125" style="25" hidden="1" customWidth="1"/>
    <col min="5" max="5" width="23.453125" style="25" customWidth="1"/>
    <col min="6" max="6" width="79.54296875" style="25" bestFit="1" customWidth="1"/>
    <col min="7" max="7" width="40.54296875" style="25" customWidth="1"/>
    <col min="8" max="13" width="10.54296875" style="25" customWidth="1"/>
    <col min="14" max="14" width="11.453125" style="25" bestFit="1" customWidth="1"/>
    <col min="15" max="16384" width="23.453125" style="25"/>
  </cols>
  <sheetData>
    <row r="1" spans="1:13" ht="12" thickBot="1" x14ac:dyDescent="0.3">
      <c r="A1" s="1064" t="s">
        <v>479</v>
      </c>
      <c r="B1" s="1065"/>
    </row>
    <row r="2" spans="1:13" x14ac:dyDescent="0.25">
      <c r="A2" s="43" t="s">
        <v>480</v>
      </c>
      <c r="B2" s="289">
        <f>A13</f>
        <v>44225.9375</v>
      </c>
    </row>
    <row r="3" spans="1:13" ht="12" thickBot="1" x14ac:dyDescent="0.3">
      <c r="A3" s="42" t="s">
        <v>482</v>
      </c>
      <c r="B3" s="290">
        <f>A13</f>
        <v>44225.9375</v>
      </c>
    </row>
    <row r="5" spans="1:13" x14ac:dyDescent="0.25">
      <c r="A5" s="328" t="s">
        <v>484</v>
      </c>
      <c r="B5" s="328"/>
      <c r="C5" s="328"/>
      <c r="D5" s="328"/>
    </row>
    <row r="6" spans="1:13" x14ac:dyDescent="0.25">
      <c r="A6" s="781" t="s">
        <v>485</v>
      </c>
      <c r="B6" s="781" t="s">
        <v>486</v>
      </c>
      <c r="C6" s="781" t="s">
        <v>487</v>
      </c>
      <c r="D6" s="781" t="s">
        <v>488</v>
      </c>
    </row>
    <row r="7" spans="1:13" x14ac:dyDescent="0.25">
      <c r="A7" s="545" t="s">
        <v>2449</v>
      </c>
      <c r="B7" s="40">
        <f>INDEX($A$14:$A$82,MATCH(A7,$F$14:$F$82,0))</f>
        <v>44229.197916666679</v>
      </c>
      <c r="C7" s="37">
        <f>INDEX($B$14:$B$82,MATCH(A7,$F$14:$F$82,0))</f>
        <v>44229.197916666679</v>
      </c>
      <c r="D7" s="371"/>
    </row>
    <row r="8" spans="1:13" ht="23" x14ac:dyDescent="0.25">
      <c r="A8" s="545" t="s">
        <v>2450</v>
      </c>
      <c r="B8" s="40">
        <f>INDEX($A$14:$A$82,MATCH(A8,$F$14:$F$82,0))</f>
        <v>44231.30902777781</v>
      </c>
      <c r="C8" s="37">
        <f>INDEX($B$14:$B$82,MATCH(A8,$F$14:$F$82,0))</f>
        <v>44231.30902777781</v>
      </c>
      <c r="D8" s="371"/>
    </row>
    <row r="9" spans="1:13" x14ac:dyDescent="0.25">
      <c r="A9" s="545" t="s">
        <v>2451</v>
      </c>
      <c r="B9" s="40">
        <f>INDEX($A$14:$A$82,MATCH(A9,$F$14:$F$82,0))</f>
        <v>44231.413194444474</v>
      </c>
      <c r="C9" s="37">
        <f>E68</f>
        <v>44231.517361111139</v>
      </c>
      <c r="D9" s="371"/>
    </row>
    <row r="11" spans="1:13" ht="30.65" customHeight="1" x14ac:dyDescent="0.25">
      <c r="A11" s="749" t="s">
        <v>492</v>
      </c>
      <c r="B11" s="749" t="s">
        <v>576</v>
      </c>
      <c r="C11" s="749" t="s">
        <v>494</v>
      </c>
      <c r="D11" s="749" t="s">
        <v>495</v>
      </c>
      <c r="E11" s="749" t="s">
        <v>560</v>
      </c>
      <c r="F11" s="749" t="s">
        <v>541</v>
      </c>
      <c r="G11" s="749" t="s">
        <v>498</v>
      </c>
      <c r="H11" s="781" t="s">
        <v>92</v>
      </c>
      <c r="I11" s="781" t="s">
        <v>96</v>
      </c>
      <c r="J11" s="781" t="s">
        <v>577</v>
      </c>
      <c r="K11" s="781" t="s">
        <v>500</v>
      </c>
      <c r="L11" s="278" t="s">
        <v>108</v>
      </c>
      <c r="M11" s="278" t="s">
        <v>114</v>
      </c>
    </row>
    <row r="12" spans="1:13" x14ac:dyDescent="0.25">
      <c r="A12" s="279" t="s">
        <v>2452</v>
      </c>
      <c r="B12" s="279"/>
      <c r="C12" s="279"/>
      <c r="D12" s="279"/>
      <c r="E12" s="279"/>
      <c r="F12" s="279"/>
      <c r="G12" s="279"/>
      <c r="H12" s="777"/>
      <c r="I12" s="777"/>
      <c r="J12" s="777"/>
      <c r="K12" s="777"/>
      <c r="L12" s="777"/>
      <c r="M12" s="777"/>
    </row>
    <row r="13" spans="1:13" x14ac:dyDescent="0.25">
      <c r="A13" s="31">
        <v>44225.9375</v>
      </c>
      <c r="B13" s="332">
        <f>B3</f>
        <v>44225.9375</v>
      </c>
      <c r="C13" s="398">
        <v>3.125E-2</v>
      </c>
      <c r="D13" s="327"/>
      <c r="E13" s="37">
        <f>B13+C13</f>
        <v>44225.96875</v>
      </c>
      <c r="F13" s="476" t="s">
        <v>2453</v>
      </c>
      <c r="G13" s="544"/>
      <c r="H13" s="486"/>
      <c r="I13" s="486"/>
      <c r="J13" s="551">
        <v>150</v>
      </c>
      <c r="K13" s="487"/>
      <c r="L13" s="487">
        <v>150</v>
      </c>
      <c r="M13" s="487"/>
    </row>
    <row r="14" spans="1:13" x14ac:dyDescent="0.25">
      <c r="A14" s="31">
        <f>IF(D13 = "",A13+C13,A13+D13)</f>
        <v>44225.96875</v>
      </c>
      <c r="B14" s="332">
        <f>IF(D13 = "",B13+C13,B13+D13)</f>
        <v>44225.96875</v>
      </c>
      <c r="C14" s="423">
        <v>3.125E-2</v>
      </c>
      <c r="D14" s="327"/>
      <c r="E14" s="37">
        <f t="shared" ref="E14:E29" si="0">B14+C14</f>
        <v>44226</v>
      </c>
      <c r="F14" s="476" t="s">
        <v>579</v>
      </c>
      <c r="G14" s="477"/>
      <c r="H14" s="551">
        <v>30</v>
      </c>
      <c r="I14" s="486"/>
      <c r="J14" s="486"/>
      <c r="K14" s="487"/>
      <c r="L14" s="488">
        <f>SUM(H14:K14)</f>
        <v>30</v>
      </c>
      <c r="M14" s="487"/>
    </row>
    <row r="15" spans="1:13" ht="12.75" customHeight="1" x14ac:dyDescent="0.25">
      <c r="A15" s="31">
        <f t="shared" ref="A15:A30" si="1">IF(D14 = "",A14+C14,A14+D14)</f>
        <v>44226</v>
      </c>
      <c r="B15" s="332">
        <f t="shared" ref="B15:B30" si="2">IF(D14 = "",B14+C14,B14+D14)</f>
        <v>44226</v>
      </c>
      <c r="C15" s="423">
        <v>6.25E-2</v>
      </c>
      <c r="D15" s="327"/>
      <c r="E15" s="37">
        <f t="shared" si="0"/>
        <v>44226.0625</v>
      </c>
      <c r="F15" s="476" t="s">
        <v>580</v>
      </c>
      <c r="G15" s="480"/>
      <c r="H15" s="489"/>
      <c r="I15" s="489">
        <v>30</v>
      </c>
      <c r="J15" s="489"/>
      <c r="K15" s="489"/>
      <c r="L15" s="488">
        <f t="shared" ref="L15:L26" si="3">SUM(H15:K15)</f>
        <v>30</v>
      </c>
      <c r="M15" s="487"/>
    </row>
    <row r="16" spans="1:13" ht="12.75" customHeight="1" x14ac:dyDescent="0.25">
      <c r="A16" s="31">
        <f t="shared" si="1"/>
        <v>44226.0625</v>
      </c>
      <c r="B16" s="332">
        <f t="shared" si="2"/>
        <v>44226.0625</v>
      </c>
      <c r="C16" s="423">
        <v>5.2083333333333336E-2</v>
      </c>
      <c r="D16" s="327"/>
      <c r="E16" s="37">
        <f t="shared" si="0"/>
        <v>44226.114583333336</v>
      </c>
      <c r="F16" s="476" t="s">
        <v>581</v>
      </c>
      <c r="G16" s="480"/>
      <c r="H16" s="489"/>
      <c r="I16" s="489"/>
      <c r="J16" s="489">
        <v>30</v>
      </c>
      <c r="K16" s="489"/>
      <c r="L16" s="488">
        <f t="shared" si="3"/>
        <v>30</v>
      </c>
      <c r="M16" s="487"/>
    </row>
    <row r="17" spans="1:15" ht="12.75" customHeight="1" x14ac:dyDescent="0.25">
      <c r="A17" s="31">
        <f t="shared" si="1"/>
        <v>44226.114583333336</v>
      </c>
      <c r="B17" s="332">
        <f t="shared" si="2"/>
        <v>44226.114583333336</v>
      </c>
      <c r="C17" s="423">
        <v>2.0833333333333332E-2</v>
      </c>
      <c r="D17" s="327"/>
      <c r="E17" s="37">
        <f t="shared" si="0"/>
        <v>44226.135416666672</v>
      </c>
      <c r="F17" s="476" t="s">
        <v>2454</v>
      </c>
      <c r="G17" s="480"/>
      <c r="H17" s="489">
        <v>250</v>
      </c>
      <c r="I17" s="489"/>
      <c r="J17" s="489"/>
      <c r="K17" s="489"/>
      <c r="L17" s="488">
        <v>250</v>
      </c>
      <c r="M17" s="487"/>
    </row>
    <row r="18" spans="1:15" ht="13.5" customHeight="1" x14ac:dyDescent="0.25">
      <c r="A18" s="31">
        <f t="shared" si="1"/>
        <v>44226.135416666672</v>
      </c>
      <c r="B18" s="332">
        <f t="shared" si="2"/>
        <v>44226.135416666672</v>
      </c>
      <c r="C18" s="423">
        <v>1.0416666666666666E-2</v>
      </c>
      <c r="D18" s="327"/>
      <c r="E18" s="37">
        <f t="shared" si="0"/>
        <v>44226.145833333336</v>
      </c>
      <c r="F18" s="476" t="s">
        <v>2455</v>
      </c>
      <c r="G18" s="480"/>
      <c r="H18" s="489"/>
      <c r="I18" s="489"/>
      <c r="J18" s="489">
        <v>250</v>
      </c>
      <c r="K18" s="489"/>
      <c r="L18" s="488"/>
      <c r="M18" s="487">
        <v>250</v>
      </c>
    </row>
    <row r="19" spans="1:15" x14ac:dyDescent="0.25">
      <c r="A19" s="31">
        <f t="shared" si="1"/>
        <v>44226.145833333336</v>
      </c>
      <c r="B19" s="332">
        <f t="shared" si="2"/>
        <v>44226.145833333336</v>
      </c>
      <c r="C19" s="423">
        <v>6.9444444444444441E-3</v>
      </c>
      <c r="D19" s="327"/>
      <c r="E19" s="37">
        <f t="shared" si="0"/>
        <v>44226.152777777781</v>
      </c>
      <c r="F19" s="476" t="s">
        <v>619</v>
      </c>
      <c r="G19" s="480"/>
      <c r="H19" s="489"/>
      <c r="I19" s="489"/>
      <c r="J19" s="489"/>
      <c r="K19" s="489">
        <v>55</v>
      </c>
      <c r="L19" s="488">
        <f t="shared" si="3"/>
        <v>55</v>
      </c>
      <c r="M19" s="487"/>
    </row>
    <row r="20" spans="1:15" x14ac:dyDescent="0.25">
      <c r="A20" s="31">
        <f t="shared" si="1"/>
        <v>44226.152777777781</v>
      </c>
      <c r="B20" s="332">
        <f t="shared" si="2"/>
        <v>44226.152777777781</v>
      </c>
      <c r="C20" s="423">
        <v>2.0833333333333332E-2</v>
      </c>
      <c r="D20" s="327"/>
      <c r="E20" s="37">
        <f t="shared" si="0"/>
        <v>44226.173611111117</v>
      </c>
      <c r="F20" s="476" t="s">
        <v>585</v>
      </c>
      <c r="G20" s="480"/>
      <c r="H20" s="489"/>
      <c r="I20" s="489"/>
      <c r="J20" s="489"/>
      <c r="K20" s="489">
        <v>610</v>
      </c>
      <c r="L20" s="488">
        <f t="shared" si="3"/>
        <v>610</v>
      </c>
      <c r="M20" s="487"/>
    </row>
    <row r="21" spans="1:15" x14ac:dyDescent="0.25">
      <c r="A21" s="579">
        <f t="shared" si="1"/>
        <v>44226.173611111117</v>
      </c>
      <c r="B21" s="686">
        <f t="shared" si="2"/>
        <v>44226.173611111117</v>
      </c>
      <c r="C21" s="687">
        <v>2.1805555555555558</v>
      </c>
      <c r="D21" s="556"/>
      <c r="E21" s="580">
        <f t="shared" si="0"/>
        <v>44228.354166666672</v>
      </c>
      <c r="F21" s="560" t="s">
        <v>693</v>
      </c>
      <c r="G21" s="557"/>
      <c r="H21" s="489"/>
      <c r="I21" s="489"/>
      <c r="J21" s="489"/>
      <c r="K21" s="489"/>
      <c r="L21" s="488"/>
      <c r="M21" s="487"/>
    </row>
    <row r="22" spans="1:15" ht="13.5" customHeight="1" x14ac:dyDescent="0.25">
      <c r="A22" s="31">
        <f t="shared" si="1"/>
        <v>44228.354166666672</v>
      </c>
      <c r="B22" s="332">
        <f t="shared" si="2"/>
        <v>44228.354166666672</v>
      </c>
      <c r="C22" s="398">
        <v>0.3125</v>
      </c>
      <c r="D22" s="327"/>
      <c r="E22" s="37">
        <f t="shared" si="0"/>
        <v>44228.666666666672</v>
      </c>
      <c r="F22" s="476" t="s">
        <v>2456</v>
      </c>
      <c r="G22" s="480"/>
      <c r="H22" s="489"/>
      <c r="I22" s="489"/>
      <c r="J22" s="489"/>
      <c r="K22" s="489">
        <v>550</v>
      </c>
      <c r="L22" s="488">
        <f t="shared" si="3"/>
        <v>550</v>
      </c>
      <c r="M22" s="487"/>
    </row>
    <row r="23" spans="1:15" ht="13.5" customHeight="1" x14ac:dyDescent="0.25">
      <c r="A23" s="553" t="s">
        <v>2457</v>
      </c>
      <c r="B23" s="554"/>
      <c r="C23" s="554"/>
      <c r="D23" s="554"/>
      <c r="E23" s="554"/>
      <c r="F23" s="554"/>
      <c r="G23" s="554"/>
      <c r="H23" s="554"/>
      <c r="I23" s="554"/>
      <c r="J23" s="554"/>
      <c r="K23" s="554"/>
      <c r="L23" s="554"/>
      <c r="M23" s="555"/>
    </row>
    <row r="24" spans="1:15" ht="13.5" customHeight="1" x14ac:dyDescent="0.25">
      <c r="A24" s="494">
        <f>A22</f>
        <v>44228.354166666672</v>
      </c>
      <c r="B24" s="493">
        <f>B22</f>
        <v>44228.354166666672</v>
      </c>
      <c r="C24" s="498">
        <v>0.125</v>
      </c>
      <c r="D24" s="498"/>
      <c r="E24" s="493">
        <f>B24+C24</f>
        <v>44228.479166666672</v>
      </c>
      <c r="F24" s="546" t="s">
        <v>2458</v>
      </c>
      <c r="G24" s="547"/>
      <c r="H24" s="550"/>
      <c r="I24" s="548"/>
      <c r="J24" s="548"/>
      <c r="K24" s="548"/>
      <c r="L24" s="549"/>
      <c r="M24" s="552"/>
    </row>
    <row r="25" spans="1:15" ht="13.5" customHeight="1" x14ac:dyDescent="0.25">
      <c r="A25" s="31">
        <f>IF(D22 = "",A22+C22,A22+D22)</f>
        <v>44228.666666666672</v>
      </c>
      <c r="B25" s="332">
        <f>IF(D22 = "",B22+C22,B22+D22)</f>
        <v>44228.666666666672</v>
      </c>
      <c r="C25" s="398">
        <v>0.3125</v>
      </c>
      <c r="D25" s="327"/>
      <c r="E25" s="37">
        <f t="shared" si="0"/>
        <v>44228.979166666672</v>
      </c>
      <c r="F25" s="476" t="s">
        <v>2459</v>
      </c>
      <c r="G25" s="480"/>
      <c r="H25" s="489"/>
      <c r="I25" s="489"/>
      <c r="J25" s="489"/>
      <c r="K25" s="489">
        <v>370</v>
      </c>
      <c r="L25" s="488">
        <v>370</v>
      </c>
      <c r="M25" s="489"/>
      <c r="N25" s="25" t="s">
        <v>2460</v>
      </c>
      <c r="O25" s="530">
        <f>SUM(K13:K25)</f>
        <v>1585</v>
      </c>
    </row>
    <row r="26" spans="1:15" ht="12.75" customHeight="1" x14ac:dyDescent="0.25">
      <c r="A26" s="31">
        <f t="shared" si="1"/>
        <v>44228.979166666672</v>
      </c>
      <c r="B26" s="332">
        <f t="shared" si="2"/>
        <v>44228.979166666672</v>
      </c>
      <c r="C26" s="170">
        <v>5.2083333333333336E-2</v>
      </c>
      <c r="D26" s="327"/>
      <c r="E26" s="37">
        <f t="shared" si="0"/>
        <v>44229.031250000007</v>
      </c>
      <c r="F26" s="476" t="s">
        <v>2461</v>
      </c>
      <c r="G26" s="480"/>
      <c r="H26" s="489"/>
      <c r="I26" s="489"/>
      <c r="J26" s="489"/>
      <c r="K26" s="489">
        <v>820</v>
      </c>
      <c r="L26" s="488">
        <f t="shared" si="3"/>
        <v>820</v>
      </c>
      <c r="M26" s="487"/>
    </row>
    <row r="27" spans="1:15" ht="12.75" customHeight="1" x14ac:dyDescent="0.25">
      <c r="A27" s="31">
        <f t="shared" si="1"/>
        <v>44229.031250000007</v>
      </c>
      <c r="B27" s="332">
        <f t="shared" si="2"/>
        <v>44229.031250000007</v>
      </c>
      <c r="C27" s="170">
        <v>6.25E-2</v>
      </c>
      <c r="D27" s="327"/>
      <c r="E27" s="37">
        <f t="shared" si="0"/>
        <v>44229.093750000007</v>
      </c>
      <c r="F27" s="476" t="s">
        <v>589</v>
      </c>
      <c r="G27" s="480"/>
      <c r="H27" s="489"/>
      <c r="I27" s="489"/>
      <c r="J27" s="489"/>
      <c r="K27" s="489"/>
      <c r="L27" s="488"/>
      <c r="M27" s="487"/>
    </row>
    <row r="28" spans="1:15" ht="12.75" customHeight="1" x14ac:dyDescent="0.25">
      <c r="A28" s="31">
        <f t="shared" si="1"/>
        <v>44229.093750000007</v>
      </c>
      <c r="B28" s="332">
        <f t="shared" si="2"/>
        <v>44229.093750000007</v>
      </c>
      <c r="C28" s="170">
        <v>8.3333333333333329E-2</v>
      </c>
      <c r="D28" s="327"/>
      <c r="E28" s="37">
        <f t="shared" si="0"/>
        <v>44229.177083333343</v>
      </c>
      <c r="F28" s="476" t="s">
        <v>2462</v>
      </c>
      <c r="G28" s="480"/>
      <c r="H28" s="489"/>
      <c r="I28" s="489"/>
      <c r="J28" s="489"/>
      <c r="K28" s="489"/>
      <c r="L28" s="488"/>
      <c r="M28" s="487"/>
    </row>
    <row r="29" spans="1:15" ht="12.75" customHeight="1" x14ac:dyDescent="0.25">
      <c r="A29" s="31">
        <f t="shared" si="1"/>
        <v>44229.177083333343</v>
      </c>
      <c r="B29" s="332">
        <f t="shared" si="2"/>
        <v>44229.177083333343</v>
      </c>
      <c r="C29" s="398">
        <v>2.0833333333333332E-2</v>
      </c>
      <c r="D29" s="327"/>
      <c r="E29" s="37">
        <f t="shared" si="0"/>
        <v>44229.197916666679</v>
      </c>
      <c r="F29" s="476" t="s">
        <v>2463</v>
      </c>
      <c r="G29" s="480"/>
      <c r="H29" s="489"/>
      <c r="I29" s="489"/>
      <c r="J29" s="489"/>
      <c r="K29" s="489">
        <v>100</v>
      </c>
      <c r="L29" s="543">
        <v>100</v>
      </c>
      <c r="M29" s="487"/>
    </row>
    <row r="30" spans="1:15" ht="12.75" customHeight="1" x14ac:dyDescent="0.25">
      <c r="A30" s="31">
        <f t="shared" si="1"/>
        <v>44229.197916666679</v>
      </c>
      <c r="B30" s="332">
        <f t="shared" si="2"/>
        <v>44229.197916666679</v>
      </c>
      <c r="C30" s="170" t="s">
        <v>99</v>
      </c>
      <c r="D30" s="327"/>
      <c r="E30" s="37" t="s">
        <v>99</v>
      </c>
      <c r="F30" s="484" t="s">
        <v>2449</v>
      </c>
      <c r="G30" s="480"/>
      <c r="H30" s="489"/>
      <c r="I30" s="489"/>
      <c r="J30" s="489"/>
      <c r="K30" s="489"/>
      <c r="L30" s="487"/>
      <c r="M30" s="487"/>
    </row>
    <row r="31" spans="1:15" ht="12.75" customHeight="1" x14ac:dyDescent="0.25">
      <c r="A31" s="31">
        <f>IF(D29 = "",A29+C29,A29+D29)</f>
        <v>44229.197916666679</v>
      </c>
      <c r="B31" s="332">
        <f>IF(D29 = "",B29+C29,B29+D29)</f>
        <v>44229.197916666679</v>
      </c>
      <c r="C31" s="398">
        <v>6.25E-2</v>
      </c>
      <c r="D31" s="327"/>
      <c r="E31" s="37">
        <f t="shared" ref="E31:E47" si="4">B31+C31</f>
        <v>44229.260416666679</v>
      </c>
      <c r="F31" s="476" t="s">
        <v>647</v>
      </c>
      <c r="G31" s="480"/>
      <c r="H31" s="489"/>
      <c r="I31" s="489"/>
      <c r="J31" s="489"/>
      <c r="K31" s="489"/>
      <c r="L31" s="487"/>
      <c r="M31" s="487"/>
    </row>
    <row r="32" spans="1:15" ht="12.75" customHeight="1" x14ac:dyDescent="0.25">
      <c r="A32" s="31">
        <f t="shared" ref="A32" si="5">IF(D31 = "",A31+C31,A31+D31)</f>
        <v>44229.260416666679</v>
      </c>
      <c r="B32" s="332">
        <f>IF(D31 = "",B31+C31,B31+D31)</f>
        <v>44229.260416666679</v>
      </c>
      <c r="C32" s="398">
        <v>2.0833333333333332E-2</v>
      </c>
      <c r="D32" s="327"/>
      <c r="E32" s="37">
        <f t="shared" si="4"/>
        <v>44229.281250000015</v>
      </c>
      <c r="F32" s="476" t="s">
        <v>2464</v>
      </c>
      <c r="G32" s="480"/>
      <c r="H32" s="489"/>
      <c r="I32" s="489"/>
      <c r="J32" s="489"/>
      <c r="K32" s="489">
        <v>126</v>
      </c>
      <c r="L32" s="487">
        <v>126</v>
      </c>
      <c r="M32" s="487"/>
    </row>
    <row r="33" spans="1:15" ht="12.75" customHeight="1" x14ac:dyDescent="0.25">
      <c r="A33" s="31">
        <f>IF(D32 = "",A32+C32,A32+D32)</f>
        <v>44229.281250000015</v>
      </c>
      <c r="B33" s="332">
        <f>IF(D32 = "",B32+C32,B32+D32)</f>
        <v>44229.281250000015</v>
      </c>
      <c r="C33" s="398">
        <v>2.0833333333333332E-2</v>
      </c>
      <c r="D33" s="327"/>
      <c r="E33" s="37">
        <f t="shared" si="4"/>
        <v>44229.30208333335</v>
      </c>
      <c r="F33" s="476" t="s">
        <v>2465</v>
      </c>
      <c r="G33" s="480"/>
      <c r="H33" s="489"/>
      <c r="I33" s="489"/>
      <c r="J33" s="489"/>
      <c r="K33" s="551">
        <v>150</v>
      </c>
      <c r="L33" s="487">
        <v>150</v>
      </c>
      <c r="M33" s="487"/>
    </row>
    <row r="34" spans="1:15" s="267" customFormat="1" ht="14.9" customHeight="1" x14ac:dyDescent="0.25">
      <c r="A34" s="280" t="s">
        <v>2466</v>
      </c>
      <c r="B34" s="280"/>
      <c r="C34" s="280"/>
      <c r="D34" s="280"/>
      <c r="E34" s="280"/>
      <c r="F34" s="280"/>
      <c r="G34" s="280"/>
      <c r="H34" s="284"/>
      <c r="I34" s="284"/>
      <c r="J34" s="284"/>
      <c r="K34" s="284"/>
      <c r="L34" s="285"/>
      <c r="M34" s="341"/>
    </row>
    <row r="35" spans="1:15" x14ac:dyDescent="0.25">
      <c r="A35" s="31">
        <f>IF(D33 = "",A33+C33,A33+D33)</f>
        <v>44229.30208333335</v>
      </c>
      <c r="B35" s="37">
        <f>IF(D33 = "",B33+C33,B33+D33)</f>
        <v>44229.30208333335</v>
      </c>
      <c r="C35" s="170">
        <v>0</v>
      </c>
      <c r="D35" s="327" t="str">
        <f t="shared" ref="D35" si="6">IF(_xlfn.ISFORMULA(E35)=TRUE,"",E35-B35)</f>
        <v/>
      </c>
      <c r="E35" s="37">
        <f t="shared" si="4"/>
        <v>44229.30208333335</v>
      </c>
      <c r="F35" s="476" t="s">
        <v>2464</v>
      </c>
      <c r="G35" s="480"/>
      <c r="H35" s="481"/>
      <c r="I35" s="481"/>
      <c r="J35" s="481"/>
      <c r="K35" s="481">
        <v>0</v>
      </c>
      <c r="L35" s="479"/>
      <c r="M35" s="478"/>
    </row>
    <row r="36" spans="1:15" x14ac:dyDescent="0.25">
      <c r="A36" s="31">
        <f>IF(D35 = "",A35+C35,A35+D35)</f>
        <v>44229.30208333335</v>
      </c>
      <c r="B36" s="37">
        <f>IF(D35 = "",B35+C35,B35+D35)</f>
        <v>44229.30208333335</v>
      </c>
      <c r="C36" s="398">
        <v>1.0416666666666666E-2</v>
      </c>
      <c r="D36" s="327"/>
      <c r="E36" s="37">
        <f t="shared" si="4"/>
        <v>44229.312500000015</v>
      </c>
      <c r="F36" s="476" t="s">
        <v>2467</v>
      </c>
      <c r="G36" s="480"/>
      <c r="H36" s="481"/>
      <c r="I36" s="481"/>
      <c r="J36" s="481">
        <v>126</v>
      </c>
      <c r="K36" s="481"/>
      <c r="L36" s="479">
        <v>126</v>
      </c>
      <c r="M36" s="478"/>
    </row>
    <row r="37" spans="1:15" x14ac:dyDescent="0.25">
      <c r="A37" s="31">
        <f t="shared" ref="A37:A47" si="7">IF(D36 = "",A36+C36,A36+D36)</f>
        <v>44229.312500000015</v>
      </c>
      <c r="B37" s="37">
        <f t="shared" ref="B37:B47" si="8">IF(D36 = "",B36+C36,B36+D36)</f>
        <v>44229.312500000015</v>
      </c>
      <c r="C37" s="423">
        <v>1.0416666666666666E-2</v>
      </c>
      <c r="D37" s="327"/>
      <c r="E37" s="37">
        <f t="shared" si="4"/>
        <v>44229.322916666679</v>
      </c>
      <c r="F37" s="476" t="s">
        <v>619</v>
      </c>
      <c r="G37" s="480"/>
      <c r="H37" s="481"/>
      <c r="I37" s="481"/>
      <c r="J37" s="481"/>
      <c r="K37" s="481">
        <v>47</v>
      </c>
      <c r="L37" s="479">
        <v>47</v>
      </c>
      <c r="M37" s="478"/>
    </row>
    <row r="38" spans="1:15" x14ac:dyDescent="0.25">
      <c r="A38" s="31">
        <f t="shared" si="7"/>
        <v>44229.322916666679</v>
      </c>
      <c r="B38" s="37">
        <f t="shared" si="8"/>
        <v>44229.322916666679</v>
      </c>
      <c r="C38" s="170">
        <v>2.7777777777777776E-2</v>
      </c>
      <c r="D38" s="327"/>
      <c r="E38" s="37">
        <f t="shared" si="4"/>
        <v>44229.35069444446</v>
      </c>
      <c r="F38" s="476" t="s">
        <v>585</v>
      </c>
      <c r="G38" s="480"/>
      <c r="H38" s="481"/>
      <c r="I38" s="481"/>
      <c r="J38" s="481"/>
      <c r="K38" s="481">
        <v>540</v>
      </c>
      <c r="L38" s="481">
        <v>540</v>
      </c>
      <c r="M38" s="478"/>
    </row>
    <row r="39" spans="1:15" x14ac:dyDescent="0.25">
      <c r="A39" s="31">
        <f t="shared" si="7"/>
        <v>44229.35069444446</v>
      </c>
      <c r="B39" s="37">
        <f t="shared" si="8"/>
        <v>44229.35069444446</v>
      </c>
      <c r="C39" s="170">
        <v>0.27083333333333331</v>
      </c>
      <c r="D39" s="327"/>
      <c r="E39" s="37">
        <f t="shared" si="4"/>
        <v>44229.621527777796</v>
      </c>
      <c r="F39" s="476" t="s">
        <v>2456</v>
      </c>
      <c r="G39" s="480"/>
      <c r="H39" s="481"/>
      <c r="I39" s="481"/>
      <c r="J39" s="481"/>
      <c r="K39" s="481">
        <v>450</v>
      </c>
      <c r="L39" s="481">
        <v>450</v>
      </c>
      <c r="M39" s="478"/>
      <c r="N39" s="25" t="s">
        <v>2468</v>
      </c>
      <c r="O39" s="530">
        <f>SUM(K13:K39)</f>
        <v>3818</v>
      </c>
    </row>
    <row r="40" spans="1:15" x14ac:dyDescent="0.25">
      <c r="A40" s="553" t="s">
        <v>2469</v>
      </c>
      <c r="B40" s="554"/>
      <c r="C40" s="554"/>
      <c r="D40" s="554"/>
      <c r="E40" s="554"/>
      <c r="F40" s="554"/>
      <c r="G40" s="554"/>
      <c r="H40" s="554"/>
      <c r="I40" s="554"/>
      <c r="J40" s="554"/>
      <c r="K40" s="554"/>
      <c r="L40" s="554"/>
      <c r="M40" s="555"/>
    </row>
    <row r="41" spans="1:15" x14ac:dyDescent="0.25">
      <c r="A41" s="494">
        <f>A39</f>
        <v>44229.35069444446</v>
      </c>
      <c r="B41" s="493">
        <f>B39</f>
        <v>44229.35069444446</v>
      </c>
      <c r="C41" s="498">
        <v>0.125</v>
      </c>
      <c r="D41" s="498"/>
      <c r="E41" s="493">
        <f>B41+C41</f>
        <v>44229.47569444446</v>
      </c>
      <c r="F41" s="546" t="s">
        <v>2470</v>
      </c>
      <c r="G41" s="547"/>
      <c r="H41" s="550"/>
      <c r="I41" s="548"/>
      <c r="J41" s="548"/>
      <c r="K41" s="548"/>
      <c r="L41" s="549"/>
      <c r="M41" s="552"/>
    </row>
    <row r="42" spans="1:15" x14ac:dyDescent="0.25">
      <c r="A42" s="31">
        <f>IF(D39 = "",A39+C39,A39+D39)</f>
        <v>44229.621527777796</v>
      </c>
      <c r="B42" s="37">
        <f>IF(D39 = "",B39+C39,B39+D39)</f>
        <v>44229.621527777796</v>
      </c>
      <c r="C42" s="170">
        <v>0.27083333333333331</v>
      </c>
      <c r="D42" s="327"/>
      <c r="E42" s="37">
        <f t="shared" si="4"/>
        <v>44229.892361111131</v>
      </c>
      <c r="F42" s="476" t="s">
        <v>2459</v>
      </c>
      <c r="G42" s="480"/>
      <c r="H42" s="481"/>
      <c r="I42" s="481"/>
      <c r="J42" s="481"/>
      <c r="K42" s="481">
        <v>450</v>
      </c>
      <c r="L42" s="481">
        <v>450</v>
      </c>
      <c r="M42" s="478"/>
      <c r="N42" s="25" t="s">
        <v>2471</v>
      </c>
      <c r="O42" s="530">
        <f>SUM(K26:K42)</f>
        <v>2683</v>
      </c>
    </row>
    <row r="43" spans="1:15" x14ac:dyDescent="0.25">
      <c r="A43" s="31">
        <f t="shared" si="7"/>
        <v>44229.892361111131</v>
      </c>
      <c r="B43" s="37">
        <f t="shared" si="8"/>
        <v>44229.892361111131</v>
      </c>
      <c r="C43" s="170">
        <v>6.25E-2</v>
      </c>
      <c r="D43" s="327"/>
      <c r="E43" s="37">
        <f t="shared" si="4"/>
        <v>44229.954861111131</v>
      </c>
      <c r="F43" s="476" t="s">
        <v>647</v>
      </c>
      <c r="G43" s="480"/>
      <c r="H43" s="481"/>
      <c r="I43" s="481"/>
      <c r="J43" s="481"/>
      <c r="K43" s="481"/>
      <c r="L43" s="481"/>
      <c r="M43" s="478"/>
    </row>
    <row r="44" spans="1:15" hidden="1" x14ac:dyDescent="0.25">
      <c r="A44" s="532">
        <f t="shared" si="7"/>
        <v>44229.954861111131</v>
      </c>
      <c r="B44" s="561">
        <f t="shared" si="8"/>
        <v>44229.954861111131</v>
      </c>
      <c r="C44" s="556">
        <v>0</v>
      </c>
      <c r="D44" s="556"/>
      <c r="E44" s="561">
        <f t="shared" si="4"/>
        <v>44229.954861111131</v>
      </c>
      <c r="F44" s="560" t="s">
        <v>693</v>
      </c>
      <c r="G44" s="557"/>
      <c r="H44" s="558"/>
      <c r="I44" s="558"/>
      <c r="J44" s="558"/>
      <c r="K44" s="558"/>
      <c r="L44" s="558"/>
      <c r="M44" s="559"/>
    </row>
    <row r="45" spans="1:15" x14ac:dyDescent="0.25">
      <c r="A45" s="31">
        <f>IF(D44 = "",A44+C44,A44+D44)</f>
        <v>44229.954861111131</v>
      </c>
      <c r="B45" s="37">
        <f>IF(D44 = "",B44+C44,B44+D44)</f>
        <v>44229.954861111131</v>
      </c>
      <c r="C45" s="170">
        <v>0.14583333333333301</v>
      </c>
      <c r="D45" s="327"/>
      <c r="E45" s="37">
        <f t="shared" si="4"/>
        <v>44230.100694444467</v>
      </c>
      <c r="F45" s="476" t="s">
        <v>642</v>
      </c>
      <c r="G45" s="480"/>
      <c r="H45" s="481"/>
      <c r="I45" s="481"/>
      <c r="J45" s="481"/>
      <c r="K45" s="481">
        <v>783</v>
      </c>
      <c r="L45" s="481">
        <v>783</v>
      </c>
      <c r="M45" s="478"/>
    </row>
    <row r="46" spans="1:15" x14ac:dyDescent="0.25">
      <c r="A46" s="31">
        <f t="shared" si="7"/>
        <v>44230.100694444467</v>
      </c>
      <c r="B46" s="37">
        <f t="shared" si="8"/>
        <v>44230.100694444467</v>
      </c>
      <c r="C46" s="170">
        <v>6.25E-2</v>
      </c>
      <c r="D46" s="327"/>
      <c r="E46" s="37">
        <f t="shared" si="4"/>
        <v>44230.163194444467</v>
      </c>
      <c r="F46" s="476" t="s">
        <v>647</v>
      </c>
      <c r="G46" s="480"/>
      <c r="H46" s="481"/>
      <c r="I46" s="481"/>
      <c r="J46" s="481"/>
      <c r="K46" s="481"/>
      <c r="L46" s="481"/>
      <c r="M46" s="478"/>
    </row>
    <row r="47" spans="1:15" x14ac:dyDescent="0.25">
      <c r="A47" s="31">
        <f t="shared" si="7"/>
        <v>44230.163194444467</v>
      </c>
      <c r="B47" s="37">
        <f t="shared" si="8"/>
        <v>44230.163194444467</v>
      </c>
      <c r="C47" s="170">
        <v>8.3333333333333329E-2</v>
      </c>
      <c r="D47" s="327"/>
      <c r="E47" s="37">
        <f t="shared" si="4"/>
        <v>44230.246527777803</v>
      </c>
      <c r="F47" s="476" t="s">
        <v>2462</v>
      </c>
      <c r="G47" s="480"/>
      <c r="H47" s="481"/>
      <c r="I47" s="481"/>
      <c r="J47" s="481"/>
      <c r="K47" s="481"/>
      <c r="L47" s="481"/>
      <c r="M47" s="478"/>
    </row>
    <row r="48" spans="1:15" x14ac:dyDescent="0.25">
      <c r="A48" s="31">
        <f>IF(D47 = "",A47+C47,A47+D47)</f>
        <v>44230.246527777803</v>
      </c>
      <c r="B48" s="37">
        <f>IF(D47 = "",B47+C47,B47+D47)</f>
        <v>44230.246527777803</v>
      </c>
      <c r="C48" s="170">
        <v>2.0833333333333332E-2</v>
      </c>
      <c r="D48" s="327"/>
      <c r="E48" s="37">
        <f>B48+C48</f>
        <v>44230.267361111139</v>
      </c>
      <c r="F48" s="476" t="s">
        <v>2472</v>
      </c>
      <c r="G48" s="480"/>
      <c r="H48" s="481"/>
      <c r="I48" s="481"/>
      <c r="J48" s="481"/>
      <c r="K48" s="481">
        <v>134</v>
      </c>
      <c r="L48" s="481">
        <v>134</v>
      </c>
      <c r="M48" s="478"/>
    </row>
    <row r="49" spans="1:15" x14ac:dyDescent="0.25">
      <c r="A49" s="280" t="s">
        <v>2473</v>
      </c>
      <c r="B49" s="280"/>
      <c r="C49" s="280"/>
      <c r="D49" s="280"/>
      <c r="E49" s="280"/>
      <c r="F49" s="280"/>
      <c r="G49" s="280"/>
      <c r="H49" s="284"/>
      <c r="I49" s="284"/>
      <c r="J49" s="284"/>
      <c r="K49" s="284"/>
      <c r="L49" s="285"/>
      <c r="M49" s="341"/>
    </row>
    <row r="50" spans="1:15" x14ac:dyDescent="0.25">
      <c r="A50" s="31">
        <f>IF(D48 = "",A48+C48,A48+D48)</f>
        <v>44230.267361111139</v>
      </c>
      <c r="B50" s="37">
        <f>IF(D48 = "",B48+C48,B48+D48)</f>
        <v>44230.267361111139</v>
      </c>
      <c r="C50" s="170">
        <v>0</v>
      </c>
      <c r="D50" s="327"/>
      <c r="E50" s="37">
        <f>B50+C50</f>
        <v>44230.267361111139</v>
      </c>
      <c r="F50" s="476" t="s">
        <v>2465</v>
      </c>
      <c r="G50" s="480"/>
      <c r="H50" s="481"/>
      <c r="I50" s="481"/>
      <c r="J50" s="481"/>
      <c r="K50" s="481"/>
      <c r="L50" s="478"/>
      <c r="M50" s="478"/>
    </row>
    <row r="51" spans="1:15" x14ac:dyDescent="0.25">
      <c r="A51" s="31">
        <f>IF(D50 = "",A50+C50,A50+D50)</f>
        <v>44230.267361111139</v>
      </c>
      <c r="B51" s="37">
        <f>IF(D50 = "",B50+C50,B50+D50)</f>
        <v>44230.267361111139</v>
      </c>
      <c r="C51" s="170">
        <v>0</v>
      </c>
      <c r="D51" s="327"/>
      <c r="E51" s="37">
        <f t="shared" ref="E51:E66" si="9">B51+C51</f>
        <v>44230.267361111139</v>
      </c>
      <c r="F51" s="476" t="s">
        <v>2472</v>
      </c>
      <c r="G51" s="480"/>
      <c r="H51" s="481"/>
      <c r="I51" s="481"/>
      <c r="J51" s="481"/>
      <c r="K51" s="481"/>
      <c r="L51" s="478"/>
      <c r="M51" s="478"/>
    </row>
    <row r="52" spans="1:15" x14ac:dyDescent="0.25">
      <c r="A52" s="31">
        <f t="shared" ref="A52:A65" si="10">IF(D51 = "",A51+C51,A51+D51)</f>
        <v>44230.267361111139</v>
      </c>
      <c r="B52" s="37">
        <f t="shared" ref="B52:B65" si="11">IF(D51 = "",B51+C51,B51+D51)</f>
        <v>44230.267361111139</v>
      </c>
      <c r="C52" s="431">
        <v>6.25E-2</v>
      </c>
      <c r="D52" s="327"/>
      <c r="E52" s="37">
        <f t="shared" si="9"/>
        <v>44230.329861111139</v>
      </c>
      <c r="F52" s="476" t="s">
        <v>2461</v>
      </c>
      <c r="G52" s="480"/>
      <c r="H52" s="481"/>
      <c r="I52" s="481"/>
      <c r="J52" s="481"/>
      <c r="K52" s="481">
        <v>1621</v>
      </c>
      <c r="L52" s="479">
        <v>1621</v>
      </c>
      <c r="M52" s="478"/>
    </row>
    <row r="53" spans="1:15" hidden="1" x14ac:dyDescent="0.25">
      <c r="A53" s="532">
        <f t="shared" si="10"/>
        <v>44230.329861111139</v>
      </c>
      <c r="B53" s="561">
        <f t="shared" si="11"/>
        <v>44230.329861111139</v>
      </c>
      <c r="C53" s="556">
        <v>0</v>
      </c>
      <c r="D53" s="556"/>
      <c r="E53" s="561">
        <f t="shared" si="9"/>
        <v>44230.329861111139</v>
      </c>
      <c r="F53" s="560" t="s">
        <v>693</v>
      </c>
      <c r="G53" s="557"/>
      <c r="H53" s="558"/>
      <c r="I53" s="558"/>
      <c r="J53" s="558"/>
      <c r="K53" s="558"/>
      <c r="L53" s="558"/>
      <c r="M53" s="559"/>
    </row>
    <row r="54" spans="1:15" hidden="1" x14ac:dyDescent="0.25">
      <c r="A54" s="553" t="s">
        <v>2474</v>
      </c>
      <c r="B54" s="554"/>
      <c r="C54" s="554"/>
      <c r="D54" s="554"/>
      <c r="E54" s="554"/>
      <c r="F54" s="554"/>
      <c r="G54" s="554"/>
      <c r="H54" s="554"/>
      <c r="I54" s="554"/>
      <c r="J54" s="554"/>
      <c r="K54" s="554"/>
      <c r="L54" s="554"/>
      <c r="M54" s="555"/>
    </row>
    <row r="55" spans="1:15" hidden="1" x14ac:dyDescent="0.25">
      <c r="A55" s="494">
        <f>IF(D53 = "",A53+C53,A53+D53)</f>
        <v>44230.329861111139</v>
      </c>
      <c r="B55" s="493">
        <f>IF(D53 = "",B53+C53,B53+D53)</f>
        <v>44230.329861111139</v>
      </c>
      <c r="C55" s="498">
        <v>0.10416666666666667</v>
      </c>
      <c r="D55" s="498"/>
      <c r="E55" s="493">
        <f>B55+C55</f>
        <v>44230.434027777803</v>
      </c>
      <c r="F55" s="546"/>
      <c r="G55" s="547"/>
      <c r="H55" s="550"/>
      <c r="I55" s="548"/>
      <c r="J55" s="548"/>
      <c r="K55" s="548"/>
      <c r="L55" s="549"/>
      <c r="M55" s="552"/>
    </row>
    <row r="56" spans="1:15" x14ac:dyDescent="0.25">
      <c r="A56" s="31">
        <f>IF(D55 = "",A55+C55,A55+D55)</f>
        <v>44230.434027777803</v>
      </c>
      <c r="B56" s="37">
        <f>IF(D55 = "",B55+C55,B55+D55)</f>
        <v>44230.434027777803</v>
      </c>
      <c r="C56" s="432">
        <v>0.14583333333333334</v>
      </c>
      <c r="D56" s="327"/>
      <c r="E56" s="37">
        <f t="shared" si="9"/>
        <v>44230.579861111139</v>
      </c>
      <c r="F56" s="476" t="s">
        <v>2475</v>
      </c>
      <c r="G56" s="480"/>
      <c r="H56" s="481"/>
      <c r="I56" s="481"/>
      <c r="J56" s="481"/>
      <c r="K56" s="481">
        <v>260</v>
      </c>
      <c r="L56" s="481">
        <v>260</v>
      </c>
      <c r="M56" s="478"/>
    </row>
    <row r="57" spans="1:15" x14ac:dyDescent="0.25">
      <c r="A57" s="31">
        <f>IF(D56 = "",A56+C56,A56+D56)</f>
        <v>44230.579861111139</v>
      </c>
      <c r="B57" s="37">
        <f>IF(D56 = "",B56+C56,B56+D56)</f>
        <v>44230.579861111139</v>
      </c>
      <c r="C57" s="432">
        <v>0.14583333333333334</v>
      </c>
      <c r="D57" s="327"/>
      <c r="E57" s="37">
        <f t="shared" si="9"/>
        <v>44230.725694444474</v>
      </c>
      <c r="F57" s="476" t="s">
        <v>2476</v>
      </c>
      <c r="G57" s="480"/>
      <c r="H57" s="481"/>
      <c r="I57" s="481"/>
      <c r="J57" s="481"/>
      <c r="K57" s="481">
        <v>260</v>
      </c>
      <c r="L57" s="481">
        <v>260</v>
      </c>
      <c r="M57" s="478"/>
    </row>
    <row r="58" spans="1:15" x14ac:dyDescent="0.25">
      <c r="A58" s="31">
        <f t="shared" si="10"/>
        <v>44230.725694444474</v>
      </c>
      <c r="B58" s="37">
        <f t="shared" si="11"/>
        <v>44230.725694444474</v>
      </c>
      <c r="C58" s="432">
        <v>0.14583333333333334</v>
      </c>
      <c r="D58" s="327"/>
      <c r="E58" s="37">
        <f t="shared" si="9"/>
        <v>44230.87152777781</v>
      </c>
      <c r="F58" s="476" t="s">
        <v>2477</v>
      </c>
      <c r="G58" s="480"/>
      <c r="H58" s="481"/>
      <c r="I58" s="481"/>
      <c r="J58" s="481"/>
      <c r="K58" s="481">
        <v>260</v>
      </c>
      <c r="L58" s="481">
        <v>260</v>
      </c>
      <c r="M58" s="478"/>
      <c r="N58" s="25" t="s">
        <v>2478</v>
      </c>
      <c r="O58" s="530">
        <f>SUM(K43:K58)</f>
        <v>3318</v>
      </c>
    </row>
    <row r="59" spans="1:15" x14ac:dyDescent="0.25">
      <c r="A59" s="31">
        <f t="shared" si="10"/>
        <v>44230.87152777781</v>
      </c>
      <c r="B59" s="37">
        <f t="shared" si="11"/>
        <v>44230.87152777781</v>
      </c>
      <c r="C59" s="432">
        <v>0.125</v>
      </c>
      <c r="D59" s="327"/>
      <c r="E59" s="37">
        <f t="shared" si="9"/>
        <v>44230.99652777781</v>
      </c>
      <c r="F59" s="476" t="s">
        <v>647</v>
      </c>
      <c r="G59" s="480"/>
      <c r="H59" s="481"/>
      <c r="I59" s="481"/>
      <c r="J59" s="481"/>
      <c r="K59" s="481"/>
      <c r="L59" s="481"/>
      <c r="M59" s="478"/>
      <c r="N59" s="25" t="s">
        <v>2479</v>
      </c>
      <c r="O59" s="530">
        <f>SUM(L13:L58)</f>
        <v>8202</v>
      </c>
    </row>
    <row r="60" spans="1:15" x14ac:dyDescent="0.25">
      <c r="A60" s="31">
        <f>IF(D59 = "",A59+C59,A59+D59)</f>
        <v>44230.99652777781</v>
      </c>
      <c r="B60" s="37">
        <f>IF(D59 = "",B59+C59,B59+D59)</f>
        <v>44230.99652777781</v>
      </c>
      <c r="C60" s="431">
        <v>0.125</v>
      </c>
      <c r="D60" s="327"/>
      <c r="E60" s="37">
        <f t="shared" si="9"/>
        <v>44231.12152777781</v>
      </c>
      <c r="F60" s="476" t="s">
        <v>597</v>
      </c>
      <c r="G60" s="480"/>
      <c r="H60" s="481"/>
      <c r="I60" s="481"/>
      <c r="J60" s="481"/>
      <c r="K60" s="481"/>
      <c r="L60" s="481"/>
      <c r="M60" s="478"/>
    </row>
    <row r="61" spans="1:15" x14ac:dyDescent="0.25">
      <c r="A61" s="31">
        <f t="shared" si="10"/>
        <v>44231.12152777781</v>
      </c>
      <c r="B61" s="37">
        <f t="shared" si="11"/>
        <v>44231.12152777781</v>
      </c>
      <c r="C61" s="431">
        <v>2.0833333333333332E-2</v>
      </c>
      <c r="D61" s="327"/>
      <c r="E61" s="37">
        <f t="shared" si="9"/>
        <v>44231.142361111146</v>
      </c>
      <c r="F61" s="476" t="s">
        <v>2461</v>
      </c>
      <c r="G61" s="480"/>
      <c r="H61" s="481"/>
      <c r="I61" s="481"/>
      <c r="J61" s="481"/>
      <c r="K61" s="481">
        <v>1206</v>
      </c>
      <c r="L61" s="481">
        <v>1206</v>
      </c>
      <c r="M61" s="478"/>
    </row>
    <row r="62" spans="1:15" x14ac:dyDescent="0.25">
      <c r="A62" s="31">
        <f t="shared" si="10"/>
        <v>44231.142361111146</v>
      </c>
      <c r="B62" s="37">
        <f>IF(D61 = "",B61+C61,B61+D61)</f>
        <v>44231.142361111146</v>
      </c>
      <c r="C62" s="433">
        <v>0.10416666666666667</v>
      </c>
      <c r="D62" s="327"/>
      <c r="E62" s="37">
        <f t="shared" si="9"/>
        <v>44231.24652777781</v>
      </c>
      <c r="F62" s="476" t="s">
        <v>647</v>
      </c>
      <c r="G62" s="480"/>
      <c r="H62" s="481"/>
      <c r="I62" s="481"/>
      <c r="J62" s="481"/>
      <c r="K62" s="481"/>
      <c r="L62" s="481"/>
      <c r="M62" s="478"/>
    </row>
    <row r="63" spans="1:15" x14ac:dyDescent="0.25">
      <c r="A63" s="31">
        <f t="shared" si="10"/>
        <v>44231.24652777781</v>
      </c>
      <c r="B63" s="37">
        <f t="shared" si="11"/>
        <v>44231.24652777781</v>
      </c>
      <c r="C63" s="431">
        <v>4.1666666666666664E-2</v>
      </c>
      <c r="D63" s="327" t="str">
        <f>IF(_xlfn.ISFORMULA(E63)=TRUE,"",E63-B63)</f>
        <v/>
      </c>
      <c r="E63" s="37">
        <f t="shared" si="9"/>
        <v>44231.288194444474</v>
      </c>
      <c r="F63" s="476" t="s">
        <v>648</v>
      </c>
      <c r="G63" s="480"/>
      <c r="H63" s="481"/>
      <c r="I63" s="481"/>
      <c r="J63" s="481"/>
      <c r="K63" s="481"/>
      <c r="L63" s="481"/>
      <c r="M63" s="478"/>
    </row>
    <row r="64" spans="1:15" x14ac:dyDescent="0.25">
      <c r="A64" s="31">
        <f t="shared" si="10"/>
        <v>44231.288194444474</v>
      </c>
      <c r="B64" s="37">
        <f t="shared" si="11"/>
        <v>44231.288194444474</v>
      </c>
      <c r="C64" s="431">
        <v>2.0833333333333332E-2</v>
      </c>
      <c r="D64" s="327" t="str">
        <f>IF(_xlfn.ISFORMULA(E64)=TRUE,"",E64-B64)</f>
        <v/>
      </c>
      <c r="E64" s="37">
        <f t="shared" si="9"/>
        <v>44231.30902777781</v>
      </c>
      <c r="F64" s="476" t="s">
        <v>598</v>
      </c>
      <c r="G64" s="480"/>
      <c r="H64" s="481"/>
      <c r="I64" s="481"/>
      <c r="J64" s="481"/>
      <c r="K64" s="481">
        <v>37</v>
      </c>
      <c r="L64" s="481">
        <v>37</v>
      </c>
      <c r="M64" s="478"/>
    </row>
    <row r="65" spans="1:13" x14ac:dyDescent="0.25">
      <c r="A65" s="31">
        <f t="shared" si="10"/>
        <v>44231.30902777781</v>
      </c>
      <c r="B65" s="37">
        <f t="shared" si="11"/>
        <v>44231.30902777781</v>
      </c>
      <c r="C65" s="437" t="s">
        <v>99</v>
      </c>
      <c r="D65" s="327"/>
      <c r="E65" s="37" t="s">
        <v>99</v>
      </c>
      <c r="F65" s="484" t="s">
        <v>2450</v>
      </c>
      <c r="G65" s="480"/>
      <c r="H65" s="481"/>
      <c r="I65" s="481"/>
      <c r="J65" s="481"/>
      <c r="K65" s="481"/>
      <c r="L65" s="479"/>
      <c r="M65" s="478"/>
    </row>
    <row r="66" spans="1:13" x14ac:dyDescent="0.25">
      <c r="A66" s="31">
        <f>IF(D64 = "",A64+C64,A64+D64)</f>
        <v>44231.30902777781</v>
      </c>
      <c r="B66" s="37">
        <f>IF(D64 = "",B64+C64,B64+D64)</f>
        <v>44231.30902777781</v>
      </c>
      <c r="C66" s="437">
        <v>0.10416666666666667</v>
      </c>
      <c r="D66" s="327" t="str">
        <f t="shared" ref="D66" si="12">IF(_xlfn.ISFORMULA(E66)=TRUE,"",E66-B66)</f>
        <v/>
      </c>
      <c r="E66" s="37">
        <f t="shared" si="9"/>
        <v>44231.413194444474</v>
      </c>
      <c r="F66" s="476" t="s">
        <v>656</v>
      </c>
      <c r="G66" s="480"/>
      <c r="H66" s="481"/>
      <c r="I66" s="481"/>
      <c r="J66" s="481"/>
      <c r="K66" s="481"/>
      <c r="L66" s="479"/>
      <c r="M66" s="478"/>
    </row>
    <row r="67" spans="1:13" ht="11.25" customHeight="1" x14ac:dyDescent="0.25">
      <c r="A67" s="553" t="s">
        <v>2474</v>
      </c>
      <c r="B67" s="554"/>
      <c r="C67" s="554"/>
      <c r="D67" s="554"/>
      <c r="E67" s="554"/>
      <c r="F67" s="554"/>
      <c r="G67" s="554"/>
      <c r="H67" s="554"/>
      <c r="I67" s="554"/>
      <c r="J67" s="554"/>
      <c r="K67" s="554"/>
      <c r="L67" s="554"/>
      <c r="M67" s="555"/>
    </row>
    <row r="68" spans="1:13" x14ac:dyDescent="0.25">
      <c r="A68" s="494">
        <f>IF(D66 = "",A66+C66,A66+D66)</f>
        <v>44231.413194444474</v>
      </c>
      <c r="B68" s="493">
        <f>IF(D66 = "",B66+C66,B66+D66)</f>
        <v>44231.413194444474</v>
      </c>
      <c r="C68" s="498">
        <v>0.10416666666666667</v>
      </c>
      <c r="D68" s="498"/>
      <c r="E68" s="493">
        <f>B68+C68</f>
        <v>44231.517361111139</v>
      </c>
      <c r="F68" s="546" t="s">
        <v>2451</v>
      </c>
      <c r="G68" s="547"/>
      <c r="H68" s="550"/>
      <c r="I68" s="548"/>
      <c r="J68" s="548"/>
      <c r="K68" s="548"/>
      <c r="L68" s="549"/>
      <c r="M68" s="552"/>
    </row>
    <row r="69" spans="1:13" x14ac:dyDescent="0.25">
      <c r="G69" s="26"/>
      <c r="H69" s="481"/>
      <c r="I69" s="481"/>
      <c r="J69" s="481"/>
      <c r="K69" s="481">
        <f>SUM(K13:K66)</f>
        <v>8829</v>
      </c>
      <c r="L69" s="479">
        <f>SUM(L13:L22)+SUM(L25:L33)+SUM(L35:L39)+SUM(L41:L48)+SUM(L50:L66)</f>
        <v>9445</v>
      </c>
      <c r="M69" s="478"/>
    </row>
    <row r="70" spans="1:13" x14ac:dyDescent="0.25">
      <c r="A70" s="485"/>
      <c r="B70" s="33" t="s">
        <v>534</v>
      </c>
      <c r="C70" s="32" t="e">
        <f>SUM(C35:C69,C14:C28,#REF!,#REF!,#REF!)</f>
        <v>#REF!</v>
      </c>
      <c r="D70" s="32" t="e">
        <f>SUM(D35:D69,D14:D28,#REF!,#REF!,#REF!,#REF!,#REF!)</f>
        <v>#REF!</v>
      </c>
      <c r="G70" s="274" t="s">
        <v>607</v>
      </c>
      <c r="H70" s="287">
        <f t="shared" ref="H70:M70" si="13">SUM(H14:H69)</f>
        <v>280</v>
      </c>
      <c r="I70" s="287">
        <f t="shared" si="13"/>
        <v>30</v>
      </c>
      <c r="J70" s="287">
        <f t="shared" si="13"/>
        <v>406</v>
      </c>
      <c r="K70" s="287">
        <f t="shared" si="13"/>
        <v>17658</v>
      </c>
      <c r="L70" s="287">
        <f t="shared" si="13"/>
        <v>18740</v>
      </c>
      <c r="M70" s="287">
        <f t="shared" si="13"/>
        <v>250</v>
      </c>
    </row>
    <row r="71" spans="1:13" x14ac:dyDescent="0.25">
      <c r="B71" s="31" t="s">
        <v>536</v>
      </c>
      <c r="C71" s="112" t="e">
        <f>(C70/24)</f>
        <v>#REF!</v>
      </c>
      <c r="D71" s="112" t="e">
        <f>(D70/24)</f>
        <v>#REF!</v>
      </c>
      <c r="G71" s="26"/>
      <c r="H71" s="26"/>
      <c r="I71" s="26"/>
      <c r="J71" s="26"/>
    </row>
    <row r="72" spans="1:13" x14ac:dyDescent="0.25">
      <c r="C72" s="262"/>
      <c r="D72" s="262"/>
      <c r="G72" s="26"/>
      <c r="H72" s="26"/>
      <c r="I72" s="26"/>
      <c r="J72" s="26"/>
    </row>
    <row r="73" spans="1:13" x14ac:dyDescent="0.25">
      <c r="G73" s="26"/>
      <c r="H73" s="26"/>
      <c r="I73" s="26"/>
      <c r="J73" s="26"/>
    </row>
    <row r="74" spans="1:13" x14ac:dyDescent="0.25">
      <c r="G74" s="26"/>
      <c r="H74" s="26"/>
      <c r="I74" s="26"/>
      <c r="J74" s="26"/>
    </row>
    <row r="75" spans="1:13" x14ac:dyDescent="0.25">
      <c r="G75" s="26"/>
      <c r="H75" s="26"/>
      <c r="I75" s="26"/>
      <c r="J75" s="26"/>
    </row>
    <row r="76" spans="1:13" x14ac:dyDescent="0.25">
      <c r="G76" s="26"/>
      <c r="H76" s="26"/>
      <c r="I76" s="26"/>
      <c r="J76" s="26"/>
    </row>
    <row r="77" spans="1:13" x14ac:dyDescent="0.25">
      <c r="G77" s="26"/>
      <c r="H77" s="26"/>
      <c r="I77" s="26"/>
      <c r="J77" s="26"/>
    </row>
    <row r="78" spans="1:13" x14ac:dyDescent="0.25">
      <c r="G78" s="26"/>
      <c r="H78" s="26"/>
      <c r="I78" s="26"/>
      <c r="J78" s="26"/>
    </row>
    <row r="79" spans="1:13" x14ac:dyDescent="0.25">
      <c r="G79" s="26"/>
      <c r="H79" s="26"/>
      <c r="I79" s="26"/>
      <c r="J79" s="26"/>
    </row>
    <row r="80" spans="1:13" x14ac:dyDescent="0.25">
      <c r="G80" s="26"/>
      <c r="H80" s="26"/>
      <c r="I80" s="26"/>
      <c r="J80" s="26"/>
    </row>
    <row r="81" spans="6:10" x14ac:dyDescent="0.25">
      <c r="G81" s="26"/>
      <c r="H81" s="26"/>
      <c r="I81" s="26"/>
      <c r="J81" s="26"/>
    </row>
    <row r="82" spans="6:10" x14ac:dyDescent="0.25">
      <c r="G82" s="26"/>
      <c r="H82" s="26"/>
      <c r="I82" s="26"/>
      <c r="J82" s="26"/>
    </row>
    <row r="83" spans="6:10" x14ac:dyDescent="0.25">
      <c r="G83" s="26"/>
      <c r="H83" s="26"/>
      <c r="I83" s="26"/>
      <c r="J83" s="26"/>
    </row>
    <row r="84" spans="6:10" x14ac:dyDescent="0.25">
      <c r="G84" s="26"/>
      <c r="H84" s="26"/>
      <c r="I84" s="26"/>
      <c r="J84" s="26"/>
    </row>
    <row r="85" spans="6:10" x14ac:dyDescent="0.25">
      <c r="G85" s="26"/>
      <c r="H85" s="26"/>
      <c r="I85" s="26"/>
      <c r="J85" s="26"/>
    </row>
    <row r="86" spans="6:10" x14ac:dyDescent="0.25">
      <c r="G86" s="26"/>
      <c r="H86" s="26"/>
      <c r="I86" s="26"/>
      <c r="J86" s="26"/>
    </row>
    <row r="87" spans="6:10" x14ac:dyDescent="0.25">
      <c r="G87" s="26"/>
      <c r="H87" s="26"/>
      <c r="I87" s="26"/>
      <c r="J87" s="26"/>
    </row>
    <row r="88" spans="6:10" x14ac:dyDescent="0.25">
      <c r="G88" s="26"/>
      <c r="H88" s="26"/>
      <c r="I88" s="26"/>
      <c r="J88" s="26"/>
    </row>
    <row r="89" spans="6:10" x14ac:dyDescent="0.25">
      <c r="G89" s="26"/>
      <c r="H89" s="26"/>
      <c r="I89" s="26"/>
      <c r="J89" s="26"/>
    </row>
    <row r="90" spans="6:10" x14ac:dyDescent="0.25">
      <c r="G90" s="26"/>
      <c r="H90" s="26"/>
      <c r="I90" s="26"/>
      <c r="J90" s="26"/>
    </row>
    <row r="91" spans="6:10" x14ac:dyDescent="0.25">
      <c r="G91" s="26"/>
      <c r="H91" s="26"/>
      <c r="I91" s="26"/>
      <c r="J91" s="26"/>
    </row>
    <row r="92" spans="6:10" x14ac:dyDescent="0.25">
      <c r="F92" s="26"/>
    </row>
    <row r="93" spans="6:10" x14ac:dyDescent="0.25">
      <c r="F93" s="26"/>
    </row>
  </sheetData>
  <mergeCells count="1">
    <mergeCell ref="A1:B1"/>
  </mergeCells>
  <pageMargins left="0.75" right="0.75" top="1" bottom="1" header="0.5" footer="0.5"/>
  <pageSetup orientation="portrait" r:id="rId1"/>
  <headerFooter alignWithMargins="0">
    <oddFooter>&amp;R&amp;"Arial,Regular"&amp;08&amp;K7F7F7FAmgen Proprietary - Confidential   &amp;C&amp;"Calibri"&amp;11&amp;K000000&amp;"Calibri"&amp;11&amp;K000000&amp;"Arial,Regular"&amp;08&amp;K7F7F7FAmgen Proprietary - For Internal Use Only_x000D_&amp;1#&amp;"Calibri"&amp;10&amp;K000000 Non-Amgen</oddFooter>
    <evenFooter>&amp;R&amp;"Arial,Regular"&amp;08&amp;K7F7F7FAmgen Proprietary - Confidential   &amp;C&amp;"Arial,Regular"&amp;08&amp;K7F7F7FAmgen Proprietary - For Internal Use Only</evenFooter>
    <firstFooter>&amp;R&amp;"Arial,Regular"&amp;08&amp;K7F7F7FAmgen Proprietary - Confidential   &amp;C&amp;"Arial,Regular"&amp;08&amp;K7F7F7FAmgen Proprietary - For Internal Use Only</first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FB21D1-5C07-4DA0-9B16-93EB24F2F42A}">
  <sheetPr codeName="Sheet34">
    <pageSetUpPr autoPageBreaks="0"/>
  </sheetPr>
  <dimension ref="A1:J47"/>
  <sheetViews>
    <sheetView zoomScale="110" zoomScaleNormal="110" workbookViewId="0">
      <selection activeCell="A13" sqref="A13"/>
    </sheetView>
  </sheetViews>
  <sheetFormatPr defaultColWidth="23.453125" defaultRowHeight="11.5" x14ac:dyDescent="0.25"/>
  <cols>
    <col min="1" max="2" width="26.54296875" style="25" bestFit="1" customWidth="1"/>
    <col min="3" max="3" width="23.453125" style="25"/>
    <col min="4" max="4" width="17.453125" style="25" customWidth="1"/>
    <col min="5" max="5" width="23.453125" style="25"/>
    <col min="6" max="6" width="51.453125" style="25" customWidth="1"/>
    <col min="7" max="7" width="27.453125" style="25" customWidth="1"/>
    <col min="8" max="8" width="9" style="25" bestFit="1" customWidth="1"/>
    <col min="9" max="9" width="9.54296875" style="25" bestFit="1" customWidth="1"/>
    <col min="10" max="10" width="9.54296875" style="25" customWidth="1"/>
    <col min="11" max="16384" width="23.453125" style="25"/>
  </cols>
  <sheetData>
    <row r="1" spans="1:10" ht="12" thickBot="1" x14ac:dyDescent="0.3">
      <c r="A1" s="1047" t="s">
        <v>479</v>
      </c>
      <c r="B1" s="1048"/>
    </row>
    <row r="2" spans="1:10" x14ac:dyDescent="0.25">
      <c r="A2" s="43" t="s">
        <v>480</v>
      </c>
      <c r="B2" s="319">
        <f>A12</f>
        <v>44235.423611111109</v>
      </c>
    </row>
    <row r="3" spans="1:10" ht="12" thickBot="1" x14ac:dyDescent="0.3">
      <c r="A3" s="42" t="s">
        <v>482</v>
      </c>
      <c r="B3" s="406">
        <f>A12</f>
        <v>44235.423611111109</v>
      </c>
    </row>
    <row r="5" spans="1:10" x14ac:dyDescent="0.25">
      <c r="A5" s="1049" t="s">
        <v>484</v>
      </c>
      <c r="B5" s="1050"/>
      <c r="C5" s="1050"/>
      <c r="D5" s="1051"/>
    </row>
    <row r="6" spans="1:10" x14ac:dyDescent="0.25">
      <c r="A6" s="781" t="s">
        <v>485</v>
      </c>
      <c r="B6" s="781" t="s">
        <v>486</v>
      </c>
      <c r="C6" s="781" t="s">
        <v>487</v>
      </c>
      <c r="D6" s="781" t="s">
        <v>488</v>
      </c>
    </row>
    <row r="7" spans="1:10" x14ac:dyDescent="0.25">
      <c r="A7" s="41" t="str">
        <f>F15</f>
        <v>IPC1.0: Reaction Conversion</v>
      </c>
      <c r="B7" s="40">
        <f>INDEX($A$12:$A$63,MATCH(A7,$F$12:$F$46,0))</f>
        <v>44235.75</v>
      </c>
      <c r="C7" s="37">
        <f>INDEX($B$12:$B$63,MATCH(A7,$F$12:$F$46,0))</f>
        <v>44235.75</v>
      </c>
      <c r="D7" s="297"/>
    </row>
    <row r="8" spans="1:10" x14ac:dyDescent="0.25">
      <c r="A8" s="41" t="str">
        <f>F24</f>
        <v>IPC2.0: Purity, LOD</v>
      </c>
      <c r="B8" s="40">
        <f>INDEX($A$12:$A$63,MATCH(A8,$F$12:$F$46,0))</f>
        <v>44237.354166666664</v>
      </c>
      <c r="C8" s="37">
        <f>INDEX($B$12:$B$63,MATCH(A8,$F$12:$F$46,0))</f>
        <v>44237.354166666664</v>
      </c>
      <c r="D8" s="297"/>
      <c r="E8" s="298"/>
    </row>
    <row r="9" spans="1:10" x14ac:dyDescent="0.25">
      <c r="A9" s="513" t="str">
        <f>F34</f>
        <v>IPC2.1: Purity, LOD (Rex)</v>
      </c>
      <c r="B9" s="40">
        <f>INDEX($A$12:$A$63,MATCH(A9,$F$12:$F$46,0))</f>
        <v>44243.312499999993</v>
      </c>
      <c r="C9" s="37">
        <f>INDEX($B$12:$B$63,MATCH(A9,$F$12:$F$46,0))</f>
        <v>44243.312499999993</v>
      </c>
      <c r="D9" s="514"/>
      <c r="E9" s="298"/>
    </row>
    <row r="11" spans="1:10" ht="23" x14ac:dyDescent="0.25">
      <c r="A11" s="749" t="s">
        <v>492</v>
      </c>
      <c r="B11" s="749" t="s">
        <v>493</v>
      </c>
      <c r="C11" s="749" t="s">
        <v>494</v>
      </c>
      <c r="D11" s="86" t="s">
        <v>495</v>
      </c>
      <c r="E11" s="749" t="s">
        <v>540</v>
      </c>
      <c r="F11" s="749" t="s">
        <v>541</v>
      </c>
      <c r="G11" s="749" t="s">
        <v>498</v>
      </c>
      <c r="H11" s="184" t="s">
        <v>112</v>
      </c>
      <c r="I11" s="749" t="s">
        <v>542</v>
      </c>
      <c r="J11" s="781" t="s">
        <v>2429</v>
      </c>
    </row>
    <row r="12" spans="1:10" x14ac:dyDescent="0.25">
      <c r="A12" s="31">
        <v>44235.423611111109</v>
      </c>
      <c r="B12" s="38">
        <f>A12</f>
        <v>44235.423611111109</v>
      </c>
      <c r="C12" s="170">
        <v>0.10416666666666667</v>
      </c>
      <c r="D12" s="456">
        <v>4.1666666666666664E-2</v>
      </c>
      <c r="E12" s="38">
        <f t="shared" ref="E12:E35" si="0">B12+C12</f>
        <v>44235.527777777774</v>
      </c>
      <c r="F12" s="264" t="s">
        <v>543</v>
      </c>
      <c r="G12" s="78"/>
      <c r="H12" s="78"/>
      <c r="I12" s="78"/>
      <c r="J12" s="78"/>
    </row>
    <row r="13" spans="1:10" ht="12.75" customHeight="1" x14ac:dyDescent="0.25">
      <c r="A13" s="31">
        <f t="shared" ref="A13:A35" si="1">IF(D12 = "",A12+C12,A12+D12)</f>
        <v>44235.465277777774</v>
      </c>
      <c r="B13" s="38">
        <f t="shared" ref="B13:B35" si="2">IF(D12 = "",B12+C12,B12+D12)</f>
        <v>44235.465277777774</v>
      </c>
      <c r="C13" s="170">
        <v>0.16666666666666666</v>
      </c>
      <c r="D13" s="456">
        <v>7.6388888888888895E-2</v>
      </c>
      <c r="E13" s="38">
        <f t="shared" si="0"/>
        <v>44235.631944444438</v>
      </c>
      <c r="F13" s="264" t="s">
        <v>544</v>
      </c>
      <c r="G13" s="35"/>
      <c r="H13" s="35"/>
      <c r="I13" s="35"/>
      <c r="J13" s="35"/>
    </row>
    <row r="14" spans="1:10" ht="12.75" customHeight="1" x14ac:dyDescent="0.25">
      <c r="A14" s="31">
        <f t="shared" si="1"/>
        <v>44235.541666666664</v>
      </c>
      <c r="B14" s="38">
        <f t="shared" si="2"/>
        <v>44235.541666666664</v>
      </c>
      <c r="C14" s="170">
        <v>0.20833333333333334</v>
      </c>
      <c r="D14" s="456" t="str">
        <f t="shared" ref="D14:D35" si="3">IF(_xlfn.ISFORMULA(E14)=TRUE,"",E14-B14)</f>
        <v/>
      </c>
      <c r="E14" s="38">
        <f t="shared" si="0"/>
        <v>44235.75</v>
      </c>
      <c r="F14" s="264" t="s">
        <v>545</v>
      </c>
      <c r="G14" s="39"/>
      <c r="H14" s="39"/>
      <c r="I14" s="39"/>
      <c r="J14" s="39"/>
    </row>
    <row r="15" spans="1:10" ht="13.5" customHeight="1" x14ac:dyDescent="0.25">
      <c r="A15" s="31">
        <f t="shared" si="1"/>
        <v>44235.75</v>
      </c>
      <c r="B15" s="38">
        <f t="shared" si="2"/>
        <v>44235.75</v>
      </c>
      <c r="C15" s="170">
        <v>0.1875</v>
      </c>
      <c r="D15" s="456" t="str">
        <f t="shared" si="3"/>
        <v/>
      </c>
      <c r="E15" s="38">
        <f t="shared" si="0"/>
        <v>44235.9375</v>
      </c>
      <c r="F15" s="320" t="s">
        <v>546</v>
      </c>
      <c r="G15" s="35"/>
      <c r="H15" s="35"/>
      <c r="I15" s="35"/>
      <c r="J15" s="35"/>
    </row>
    <row r="16" spans="1:10" x14ac:dyDescent="0.25">
      <c r="A16" s="31">
        <f t="shared" si="1"/>
        <v>44235.9375</v>
      </c>
      <c r="B16" s="38">
        <f t="shared" si="2"/>
        <v>44235.9375</v>
      </c>
      <c r="C16" s="172">
        <v>0.57638888888888895</v>
      </c>
      <c r="D16" s="456" t="str">
        <f t="shared" si="3"/>
        <v/>
      </c>
      <c r="E16" s="38">
        <f t="shared" si="0"/>
        <v>44236.513888888891</v>
      </c>
      <c r="F16" s="264" t="s">
        <v>547</v>
      </c>
      <c r="G16" s="35"/>
      <c r="H16" s="252">
        <v>384</v>
      </c>
      <c r="I16" s="252">
        <v>384</v>
      </c>
      <c r="J16" s="235"/>
    </row>
    <row r="17" spans="1:10" hidden="1" x14ac:dyDescent="0.25">
      <c r="A17" s="503">
        <v>44075.083333333336</v>
      </c>
      <c r="B17" s="515">
        <v>8.3333333333333329E-2</v>
      </c>
      <c r="C17" s="172">
        <v>0.5</v>
      </c>
      <c r="D17" s="456" t="str">
        <f t="shared" si="3"/>
        <v/>
      </c>
      <c r="E17" s="515">
        <f t="shared" si="0"/>
        <v>0.58333333333333337</v>
      </c>
      <c r="F17" s="506" t="s">
        <v>2431</v>
      </c>
      <c r="G17" s="492"/>
      <c r="H17" s="516"/>
      <c r="I17" s="516"/>
      <c r="J17" s="495">
        <v>200</v>
      </c>
    </row>
    <row r="18" spans="1:10" ht="13.5" customHeight="1" x14ac:dyDescent="0.25">
      <c r="A18" s="31">
        <f>IF(D16 = "",A16+C16,A16+D16)</f>
        <v>44236.513888888891</v>
      </c>
      <c r="B18" s="38">
        <f>IF(D16 = "",B16+C16,B16+D16)</f>
        <v>44236.513888888891</v>
      </c>
      <c r="C18" s="172">
        <v>0.20833333333333334</v>
      </c>
      <c r="D18" s="456" t="str">
        <f t="shared" si="3"/>
        <v/>
      </c>
      <c r="E18" s="38">
        <f t="shared" si="0"/>
        <v>44236.722222222226</v>
      </c>
      <c r="F18" s="264" t="s">
        <v>548</v>
      </c>
      <c r="G18" s="35"/>
      <c r="H18" s="252"/>
      <c r="I18" s="252"/>
      <c r="J18" s="497"/>
    </row>
    <row r="19" spans="1:10" ht="13.5" hidden="1" customHeight="1" x14ac:dyDescent="0.25">
      <c r="A19" s="503">
        <f>A17+C17</f>
        <v>44075.583333333336</v>
      </c>
      <c r="B19" s="515">
        <f>B17+C17</f>
        <v>0.58333333333333337</v>
      </c>
      <c r="C19" s="172">
        <v>0.20833333333333334</v>
      </c>
      <c r="D19" s="456" t="str">
        <f t="shared" si="3"/>
        <v/>
      </c>
      <c r="E19" s="515">
        <f>B19+C19</f>
        <v>0.79166666666666674</v>
      </c>
      <c r="F19" s="506" t="s">
        <v>2432</v>
      </c>
      <c r="G19" s="492"/>
      <c r="H19" s="517">
        <v>384</v>
      </c>
      <c r="I19" s="517">
        <v>384</v>
      </c>
      <c r="J19" s="495"/>
    </row>
    <row r="20" spans="1:10" ht="12" customHeight="1" x14ac:dyDescent="0.25">
      <c r="A20" s="31">
        <f>IF(D18 = "",A18+C18,A18+D18)</f>
        <v>44236.722222222226</v>
      </c>
      <c r="B20" s="38">
        <f>IF(D18 = "",B18+C18,B18+D18)</f>
        <v>44236.722222222226</v>
      </c>
      <c r="C20" s="172">
        <v>4.8611111111111112E-2</v>
      </c>
      <c r="D20" s="456" t="str">
        <f t="shared" si="3"/>
        <v/>
      </c>
      <c r="E20" s="38">
        <f t="shared" si="0"/>
        <v>44236.770833333336</v>
      </c>
      <c r="F20" s="264" t="s">
        <v>549</v>
      </c>
      <c r="G20" s="39"/>
      <c r="H20" s="1052">
        <v>677.74</v>
      </c>
      <c r="I20" s="1052">
        <f>SUM(H20)</f>
        <v>677.74</v>
      </c>
      <c r="J20" s="1052"/>
    </row>
    <row r="21" spans="1:10" ht="12.75" customHeight="1" x14ac:dyDescent="0.25">
      <c r="A21" s="31">
        <f t="shared" si="1"/>
        <v>44236.770833333336</v>
      </c>
      <c r="B21" s="38">
        <f t="shared" si="2"/>
        <v>44236.770833333336</v>
      </c>
      <c r="C21" s="172">
        <v>6.25E-2</v>
      </c>
      <c r="D21" s="456" t="str">
        <f t="shared" si="3"/>
        <v/>
      </c>
      <c r="E21" s="38">
        <f t="shared" si="0"/>
        <v>44236.833333333336</v>
      </c>
      <c r="F21" s="264" t="s">
        <v>550</v>
      </c>
      <c r="G21" s="35"/>
      <c r="H21" s="1052"/>
      <c r="I21" s="1052"/>
      <c r="J21" s="1052"/>
    </row>
    <row r="22" spans="1:10" x14ac:dyDescent="0.25">
      <c r="A22" s="31">
        <f t="shared" si="1"/>
        <v>44236.833333333336</v>
      </c>
      <c r="B22" s="38">
        <f t="shared" si="2"/>
        <v>44236.833333333336</v>
      </c>
      <c r="C22" s="170">
        <v>0.47916666666666669</v>
      </c>
      <c r="D22" s="456" t="str">
        <f t="shared" si="3"/>
        <v/>
      </c>
      <c r="E22" s="38">
        <f t="shared" si="0"/>
        <v>44237.3125</v>
      </c>
      <c r="F22" s="264" t="s">
        <v>551</v>
      </c>
      <c r="G22" s="35"/>
      <c r="H22" s="1052"/>
      <c r="I22" s="1052"/>
      <c r="J22" s="1052"/>
    </row>
    <row r="23" spans="1:10" x14ac:dyDescent="0.25">
      <c r="A23" s="31">
        <f t="shared" si="1"/>
        <v>44237.3125</v>
      </c>
      <c r="B23" s="38">
        <f t="shared" si="2"/>
        <v>44237.3125</v>
      </c>
      <c r="C23" s="170">
        <v>4.1666666666666664E-2</v>
      </c>
      <c r="D23" s="456" t="str">
        <f t="shared" si="3"/>
        <v/>
      </c>
      <c r="E23" s="38">
        <f t="shared" si="0"/>
        <v>44237.354166666664</v>
      </c>
      <c r="F23" s="240" t="s">
        <v>552</v>
      </c>
      <c r="G23" s="178"/>
      <c r="H23" s="773"/>
      <c r="I23" s="773"/>
      <c r="J23" s="773"/>
    </row>
    <row r="24" spans="1:10" ht="12" customHeight="1" x14ac:dyDescent="0.25">
      <c r="A24" s="31">
        <f t="shared" si="1"/>
        <v>44237.354166666664</v>
      </c>
      <c r="B24" s="38">
        <f t="shared" si="2"/>
        <v>44237.354166666664</v>
      </c>
      <c r="C24" s="170">
        <v>0.27083333333333331</v>
      </c>
      <c r="D24" s="456" t="str">
        <f t="shared" si="3"/>
        <v/>
      </c>
      <c r="E24" s="38">
        <f t="shared" si="0"/>
        <v>44237.625</v>
      </c>
      <c r="F24" s="463" t="s">
        <v>553</v>
      </c>
      <c r="G24" s="178"/>
      <c r="H24" s="35"/>
      <c r="I24" s="35"/>
      <c r="J24" s="35"/>
    </row>
    <row r="25" spans="1:10" ht="12" customHeight="1" x14ac:dyDescent="0.25">
      <c r="A25" s="31">
        <f t="shared" si="1"/>
        <v>44237.625</v>
      </c>
      <c r="B25" s="38">
        <f t="shared" si="2"/>
        <v>44237.625</v>
      </c>
      <c r="C25" s="170">
        <v>0.10416666666666667</v>
      </c>
      <c r="D25" s="456" t="str">
        <f t="shared" si="3"/>
        <v/>
      </c>
      <c r="E25" s="38">
        <f t="shared" si="0"/>
        <v>44237.729166666664</v>
      </c>
      <c r="F25" s="356" t="s">
        <v>2480</v>
      </c>
      <c r="G25" s="178"/>
      <c r="H25" s="495">
        <v>500</v>
      </c>
      <c r="I25" s="495">
        <v>500</v>
      </c>
      <c r="J25" s="495"/>
    </row>
    <row r="26" spans="1:10" x14ac:dyDescent="0.25">
      <c r="A26" s="31">
        <f t="shared" si="1"/>
        <v>44237.729166666664</v>
      </c>
      <c r="B26" s="38">
        <f t="shared" si="2"/>
        <v>44237.729166666664</v>
      </c>
      <c r="C26" s="271">
        <v>0.27083333333333331</v>
      </c>
      <c r="D26" s="456" t="str">
        <f t="shared" si="3"/>
        <v/>
      </c>
      <c r="E26" s="37">
        <f t="shared" si="0"/>
        <v>44238</v>
      </c>
      <c r="F26" s="264" t="s">
        <v>2434</v>
      </c>
      <c r="G26" s="178"/>
      <c r="H26" s="497">
        <v>708</v>
      </c>
      <c r="I26" s="511">
        <v>708</v>
      </c>
      <c r="J26" s="35"/>
    </row>
    <row r="27" spans="1:10" x14ac:dyDescent="0.25">
      <c r="A27" s="31">
        <f t="shared" si="1"/>
        <v>44238</v>
      </c>
      <c r="B27" s="38">
        <f t="shared" si="2"/>
        <v>44238</v>
      </c>
      <c r="C27" s="271">
        <v>0.29166666666666669</v>
      </c>
      <c r="D27" s="456" t="str">
        <f t="shared" si="3"/>
        <v/>
      </c>
      <c r="E27" s="37">
        <f t="shared" si="0"/>
        <v>44238.291666666664</v>
      </c>
      <c r="F27" s="264" t="s">
        <v>2435</v>
      </c>
      <c r="G27" s="178"/>
      <c r="H27" s="497">
        <v>720</v>
      </c>
      <c r="I27" s="511">
        <v>720</v>
      </c>
      <c r="J27" s="35"/>
    </row>
    <row r="28" spans="1:10" x14ac:dyDescent="0.25">
      <c r="A28" s="604">
        <f t="shared" si="1"/>
        <v>44238.291666666664</v>
      </c>
      <c r="B28" s="689">
        <f t="shared" si="2"/>
        <v>44238.291666666664</v>
      </c>
      <c r="C28" s="562">
        <v>4.145833333333333</v>
      </c>
      <c r="D28" s="566"/>
      <c r="E28" s="605">
        <f t="shared" si="0"/>
        <v>44242.4375</v>
      </c>
      <c r="F28" s="567" t="s">
        <v>2481</v>
      </c>
      <c r="G28" s="690"/>
      <c r="H28" s="691"/>
      <c r="I28" s="692"/>
      <c r="J28" s="693"/>
    </row>
    <row r="29" spans="1:10" x14ac:dyDescent="0.25">
      <c r="A29" s="31">
        <f t="shared" si="1"/>
        <v>44242.4375</v>
      </c>
      <c r="B29" s="38">
        <f t="shared" si="2"/>
        <v>44242.4375</v>
      </c>
      <c r="C29" s="170">
        <v>0.25</v>
      </c>
      <c r="D29" s="456" t="str">
        <f t="shared" si="3"/>
        <v/>
      </c>
      <c r="E29" s="37">
        <f t="shared" si="0"/>
        <v>44242.6875</v>
      </c>
      <c r="F29" s="264" t="s">
        <v>2436</v>
      </c>
      <c r="G29" s="178"/>
      <c r="H29" s="35"/>
      <c r="I29" s="35"/>
      <c r="J29" s="492"/>
    </row>
    <row r="30" spans="1:10" x14ac:dyDescent="0.25">
      <c r="A30" s="31">
        <f t="shared" si="1"/>
        <v>44242.6875</v>
      </c>
      <c r="B30" s="38">
        <f t="shared" si="2"/>
        <v>44242.6875</v>
      </c>
      <c r="C30" s="271">
        <v>4.8611111111111112E-2</v>
      </c>
      <c r="D30" s="456" t="str">
        <f t="shared" si="3"/>
        <v/>
      </c>
      <c r="E30" s="37">
        <f t="shared" si="0"/>
        <v>44242.736111111109</v>
      </c>
      <c r="F30" s="264" t="s">
        <v>549</v>
      </c>
      <c r="G30" s="178"/>
      <c r="H30" s="1092">
        <v>290.7</v>
      </c>
      <c r="I30" s="181"/>
      <c r="J30" s="181"/>
    </row>
    <row r="31" spans="1:10" x14ac:dyDescent="0.25">
      <c r="A31" s="31">
        <f t="shared" si="1"/>
        <v>44242.736111111109</v>
      </c>
      <c r="B31" s="38">
        <f t="shared" si="2"/>
        <v>44242.736111111109</v>
      </c>
      <c r="C31" s="271">
        <v>6.25E-2</v>
      </c>
      <c r="D31" s="456" t="str">
        <f t="shared" si="3"/>
        <v/>
      </c>
      <c r="E31" s="37">
        <f t="shared" si="0"/>
        <v>44242.798611111109</v>
      </c>
      <c r="F31" s="264" t="s">
        <v>672</v>
      </c>
      <c r="G31" s="178"/>
      <c r="H31" s="1093"/>
      <c r="I31" s="181"/>
      <c r="J31" s="181"/>
    </row>
    <row r="32" spans="1:10" x14ac:dyDescent="0.25">
      <c r="A32" s="31">
        <f t="shared" si="1"/>
        <v>44242.798611111109</v>
      </c>
      <c r="B32" s="38">
        <f t="shared" si="2"/>
        <v>44242.798611111109</v>
      </c>
      <c r="C32" s="271">
        <v>0.47916666666666669</v>
      </c>
      <c r="D32" s="456" t="str">
        <f t="shared" si="3"/>
        <v/>
      </c>
      <c r="E32" s="37">
        <f t="shared" si="0"/>
        <v>44243.277777777774</v>
      </c>
      <c r="F32" s="264" t="s">
        <v>551</v>
      </c>
      <c r="G32" s="178"/>
      <c r="H32" s="1094"/>
      <c r="I32" s="181">
        <f>SUM(H30)</f>
        <v>290.7</v>
      </c>
      <c r="J32" s="497"/>
    </row>
    <row r="33" spans="1:10" x14ac:dyDescent="0.25">
      <c r="A33" s="31">
        <f t="shared" si="1"/>
        <v>44243.277777777774</v>
      </c>
      <c r="B33" s="38">
        <f t="shared" si="2"/>
        <v>44243.277777777774</v>
      </c>
      <c r="C33" s="271">
        <v>3.4722222222222224E-2</v>
      </c>
      <c r="D33" s="456" t="str">
        <f t="shared" si="3"/>
        <v/>
      </c>
      <c r="E33" s="37">
        <f t="shared" si="0"/>
        <v>44243.312499999993</v>
      </c>
      <c r="F33" s="264" t="s">
        <v>2437</v>
      </c>
      <c r="G33" s="178"/>
      <c r="H33" s="35"/>
      <c r="I33" s="35"/>
      <c r="J33" s="35"/>
    </row>
    <row r="34" spans="1:10" x14ac:dyDescent="0.25">
      <c r="A34" s="31">
        <f t="shared" si="1"/>
        <v>44243.312499999993</v>
      </c>
      <c r="B34" s="38">
        <f t="shared" si="2"/>
        <v>44243.312499999993</v>
      </c>
      <c r="C34" s="170">
        <v>0.22916666666666666</v>
      </c>
      <c r="D34" s="456" t="str">
        <f t="shared" si="3"/>
        <v/>
      </c>
      <c r="E34" s="37">
        <f t="shared" si="0"/>
        <v>44243.541666666657</v>
      </c>
      <c r="F34" s="320" t="s">
        <v>2482</v>
      </c>
      <c r="G34" s="178"/>
      <c r="H34" s="35"/>
      <c r="I34" s="35"/>
      <c r="J34" s="35"/>
    </row>
    <row r="35" spans="1:10" x14ac:dyDescent="0.25">
      <c r="A35" s="31">
        <f t="shared" si="1"/>
        <v>44243.541666666657</v>
      </c>
      <c r="B35" s="38">
        <f t="shared" si="2"/>
        <v>44243.541666666657</v>
      </c>
      <c r="C35" s="170">
        <v>0.10416666666666667</v>
      </c>
      <c r="D35" s="456" t="str">
        <f t="shared" si="3"/>
        <v/>
      </c>
      <c r="E35" s="37">
        <f t="shared" si="0"/>
        <v>44243.645833333321</v>
      </c>
      <c r="F35" s="264" t="s">
        <v>554</v>
      </c>
      <c r="G35" s="178"/>
      <c r="H35" s="35"/>
      <c r="I35" s="35"/>
      <c r="J35" s="35"/>
    </row>
    <row r="36" spans="1:10" ht="21" x14ac:dyDescent="0.55000000000000004">
      <c r="A36" s="34"/>
      <c r="B36" s="33" t="s">
        <v>534</v>
      </c>
      <c r="C36" s="32">
        <f>SUM(C12:C25)</f>
        <v>3.1666666666666665</v>
      </c>
      <c r="D36" s="32">
        <f>SUM(D12:D25)</f>
        <v>0.11805555555555555</v>
      </c>
      <c r="G36" s="243" t="s">
        <v>535</v>
      </c>
      <c r="H36" s="496">
        <f>SUM(H12:H35)</f>
        <v>3664.4399999999996</v>
      </c>
      <c r="I36" s="499">
        <f>SUM(I12:I35)</f>
        <v>3664.4399999999996</v>
      </c>
      <c r="J36" s="183">
        <f>SUM(J12:J35)</f>
        <v>200</v>
      </c>
    </row>
    <row r="37" spans="1:10" x14ac:dyDescent="0.25">
      <c r="B37" s="31" t="s">
        <v>536</v>
      </c>
      <c r="C37" s="30">
        <f>(C36*60)/1440</f>
        <v>0.13194444444444445</v>
      </c>
      <c r="D37" s="30">
        <f>(D36*60)/1440</f>
        <v>4.9189814814814816E-3</v>
      </c>
      <c r="F37" s="26"/>
    </row>
    <row r="38" spans="1:10" x14ac:dyDescent="0.25">
      <c r="C38" s="774"/>
      <c r="F38" s="26"/>
    </row>
    <row r="47" spans="1:10" x14ac:dyDescent="0.25">
      <c r="C47" s="27"/>
      <c r="D47" s="27"/>
    </row>
  </sheetData>
  <mergeCells count="6">
    <mergeCell ref="H30:H32"/>
    <mergeCell ref="J20:J22"/>
    <mergeCell ref="A1:B1"/>
    <mergeCell ref="A5:D5"/>
    <mergeCell ref="H20:H22"/>
    <mergeCell ref="I20:I22"/>
  </mergeCells>
  <pageMargins left="0.75" right="0.75" top="1" bottom="1" header="0.5" footer="0.5"/>
  <pageSetup orientation="portrait" r:id="rId1"/>
  <headerFooter alignWithMargins="0">
    <oddFooter>&amp;R&amp;"Arial,Regular"&amp;08&amp;K7F7F7FAmgen Proprietary - Confidential   &amp;C&amp;"Calibri"&amp;11&amp;K000000&amp;"Calibri"&amp;11&amp;K000000&amp;"Arial,Regular"&amp;08&amp;K7F7F7FAmgen Proprietary - For Internal Use Only_x000D_&amp;1#&amp;"Calibri"&amp;10&amp;K000000 Non-Amgen</oddFooter>
    <evenFooter>&amp;R&amp;"Arial,Regular"&amp;08&amp;K7F7F7FAmgen Proprietary - Confidential   &amp;C&amp;"Arial,Regular"&amp;08&amp;K7F7F7FAmgen Proprietary - For Internal Use Only</evenFooter>
    <firstFooter>&amp;R&amp;"Arial,Regular"&amp;08&amp;K7F7F7FAmgen Proprietary - Confidential   &amp;C&amp;"Arial,Regular"&amp;08&amp;K7F7F7FAmgen Proprietary - For Internal Use Only</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B3B4A3-D6C2-4F0D-9C53-5F66957B6CCE}">
  <sheetPr codeName="Sheet71">
    <pageSetUpPr autoPageBreaks="0"/>
  </sheetPr>
  <dimension ref="A1:J47"/>
  <sheetViews>
    <sheetView topLeftCell="A7" zoomScale="110" zoomScaleNormal="110" workbookViewId="0">
      <selection activeCell="F31" sqref="F31"/>
    </sheetView>
  </sheetViews>
  <sheetFormatPr defaultColWidth="23.453125" defaultRowHeight="11.5" x14ac:dyDescent="0.25"/>
  <cols>
    <col min="1" max="2" width="26.54296875" style="25" bestFit="1" customWidth="1"/>
    <col min="3" max="3" width="23.453125" style="25"/>
    <col min="4" max="4" width="17.453125" style="25" customWidth="1"/>
    <col min="5" max="5" width="23.453125" style="25"/>
    <col min="6" max="6" width="51.453125" style="25" customWidth="1"/>
    <col min="7" max="7" width="27.453125" style="25" customWidth="1"/>
    <col min="8" max="8" width="9" style="25" bestFit="1" customWidth="1"/>
    <col min="9" max="9" width="9.54296875" style="25" bestFit="1" customWidth="1"/>
    <col min="10" max="10" width="9.54296875" style="25" customWidth="1"/>
    <col min="11" max="16384" width="23.453125" style="25"/>
  </cols>
  <sheetData>
    <row r="1" spans="1:10" ht="12" thickBot="1" x14ac:dyDescent="0.3">
      <c r="A1" s="1047" t="s">
        <v>479</v>
      </c>
      <c r="B1" s="1048"/>
    </row>
    <row r="2" spans="1:10" x14ac:dyDescent="0.25">
      <c r="A2" s="43" t="s">
        <v>480</v>
      </c>
      <c r="B2" s="319">
        <f>A12</f>
        <v>44244.416666666664</v>
      </c>
    </row>
    <row r="3" spans="1:10" ht="12" thickBot="1" x14ac:dyDescent="0.3">
      <c r="A3" s="42" t="s">
        <v>482</v>
      </c>
      <c r="B3" s="406">
        <f>A12</f>
        <v>44244.416666666664</v>
      </c>
    </row>
    <row r="5" spans="1:10" x14ac:dyDescent="0.25">
      <c r="A5" s="1049" t="s">
        <v>484</v>
      </c>
      <c r="B5" s="1050"/>
      <c r="C5" s="1050"/>
      <c r="D5" s="1051"/>
    </row>
    <row r="6" spans="1:10" x14ac:dyDescent="0.25">
      <c r="A6" s="781" t="s">
        <v>485</v>
      </c>
      <c r="B6" s="781" t="s">
        <v>486</v>
      </c>
      <c r="C6" s="781" t="s">
        <v>487</v>
      </c>
      <c r="D6" s="781" t="s">
        <v>488</v>
      </c>
    </row>
    <row r="7" spans="1:10" x14ac:dyDescent="0.25">
      <c r="A7" s="41" t="str">
        <f>F15</f>
        <v>IPC1.0: Reaction Conversion</v>
      </c>
      <c r="B7" s="40">
        <f>INDEX($A$12:$A$63,MATCH(A7,$F$12:$F$46,0))</f>
        <v>44244.739583333328</v>
      </c>
      <c r="C7" s="37">
        <f>INDEX($B$12:$B$63,MATCH(A7,$F$12:$F$46,0))</f>
        <v>44244.739583333328</v>
      </c>
      <c r="D7" s="297"/>
    </row>
    <row r="8" spans="1:10" x14ac:dyDescent="0.25">
      <c r="A8" s="41" t="str">
        <f>F24</f>
        <v>IPC2.0: Purity, LOD</v>
      </c>
      <c r="B8" s="40">
        <f>INDEX($A$12:$A$63,MATCH(A8,$F$12:$F$46,0))</f>
        <v>44246.343749999993</v>
      </c>
      <c r="C8" s="37">
        <f>INDEX($B$12:$B$63,MATCH(A8,$F$12:$F$46,0))</f>
        <v>44246.343749999993</v>
      </c>
      <c r="D8" s="297"/>
      <c r="E8" s="298"/>
    </row>
    <row r="9" spans="1:10" x14ac:dyDescent="0.25">
      <c r="A9" s="513" t="str">
        <f>F34</f>
        <v>IPC2.1: Purity, LOD (Rex)</v>
      </c>
      <c r="B9" s="40">
        <f>INDEX($A$12:$A$63,MATCH(A9,$F$12:$F$46,0))</f>
        <v>44250.312499999985</v>
      </c>
      <c r="C9" s="37">
        <f>INDEX($B$12:$B$63,MATCH(A9,$F$12:$F$46,0))</f>
        <v>44250.312499999985</v>
      </c>
      <c r="D9" s="514"/>
      <c r="E9" s="298"/>
    </row>
    <row r="11" spans="1:10" ht="23" x14ac:dyDescent="0.25">
      <c r="A11" s="749" t="s">
        <v>492</v>
      </c>
      <c r="B11" s="749" t="s">
        <v>493</v>
      </c>
      <c r="C11" s="749" t="s">
        <v>494</v>
      </c>
      <c r="D11" s="86" t="s">
        <v>495</v>
      </c>
      <c r="E11" s="749" t="s">
        <v>540</v>
      </c>
      <c r="F11" s="749" t="s">
        <v>541</v>
      </c>
      <c r="G11" s="749" t="s">
        <v>498</v>
      </c>
      <c r="H11" s="184" t="s">
        <v>112</v>
      </c>
      <c r="I11" s="749" t="s">
        <v>542</v>
      </c>
      <c r="J11" s="781" t="s">
        <v>2429</v>
      </c>
    </row>
    <row r="12" spans="1:10" x14ac:dyDescent="0.25">
      <c r="A12" s="31">
        <v>44244.416666666664</v>
      </c>
      <c r="B12" s="38">
        <f>A12</f>
        <v>44244.416666666664</v>
      </c>
      <c r="C12" s="170">
        <v>0.10416666666666667</v>
      </c>
      <c r="D12" s="456">
        <v>4.1666666666666664E-2</v>
      </c>
      <c r="E12" s="38">
        <f t="shared" ref="E12:E35" si="0">B12+C12</f>
        <v>44244.520833333328</v>
      </c>
      <c r="F12" s="264" t="s">
        <v>543</v>
      </c>
      <c r="G12" s="78"/>
      <c r="H12" s="78"/>
      <c r="I12" s="78"/>
      <c r="J12" s="78"/>
    </row>
    <row r="13" spans="1:10" ht="12.75" customHeight="1" x14ac:dyDescent="0.25">
      <c r="A13" s="31">
        <f>IF(D12 = "",A12+C12,A12+D12)</f>
        <v>44244.458333333328</v>
      </c>
      <c r="B13" s="38">
        <f t="shared" ref="B13:B35" si="1">IF(D12 = "",B12+C12,B12+D12)</f>
        <v>44244.458333333328</v>
      </c>
      <c r="C13" s="170">
        <v>0.16666666666666666</v>
      </c>
      <c r="D13" s="456">
        <v>7.2916666666666671E-2</v>
      </c>
      <c r="E13" s="38">
        <f t="shared" si="0"/>
        <v>44244.624999999993</v>
      </c>
      <c r="F13" s="264" t="s">
        <v>544</v>
      </c>
      <c r="G13" s="35"/>
      <c r="H13" s="35"/>
      <c r="I13" s="35"/>
      <c r="J13" s="35"/>
    </row>
    <row r="14" spans="1:10" ht="12.75" customHeight="1" x14ac:dyDescent="0.25">
      <c r="A14" s="31">
        <f t="shared" ref="A14:A35" si="2">IF(D13 = "",A13+C13,A13+D13)</f>
        <v>44244.531249999993</v>
      </c>
      <c r="B14" s="38">
        <f t="shared" si="1"/>
        <v>44244.531249999993</v>
      </c>
      <c r="C14" s="170">
        <v>0.20833333333333334</v>
      </c>
      <c r="D14" s="456" t="str">
        <f t="shared" ref="D14:D35" si="3">IF(_xlfn.ISFORMULA(E14)=TRUE,"",E14-B14)</f>
        <v/>
      </c>
      <c r="E14" s="38">
        <f t="shared" si="0"/>
        <v>44244.739583333328</v>
      </c>
      <c r="F14" s="264" t="s">
        <v>545</v>
      </c>
      <c r="G14" s="39"/>
      <c r="H14" s="39"/>
      <c r="I14" s="39"/>
      <c r="J14" s="39"/>
    </row>
    <row r="15" spans="1:10" ht="13.5" customHeight="1" x14ac:dyDescent="0.25">
      <c r="A15" s="31">
        <f t="shared" si="2"/>
        <v>44244.739583333328</v>
      </c>
      <c r="B15" s="38">
        <f t="shared" si="1"/>
        <v>44244.739583333328</v>
      </c>
      <c r="C15" s="170">
        <v>0.1875</v>
      </c>
      <c r="D15" s="456" t="str">
        <f t="shared" si="3"/>
        <v/>
      </c>
      <c r="E15" s="38">
        <f t="shared" si="0"/>
        <v>44244.927083333328</v>
      </c>
      <c r="F15" s="320" t="s">
        <v>546</v>
      </c>
      <c r="G15" s="35"/>
      <c r="H15" s="35"/>
      <c r="I15" s="35"/>
      <c r="J15" s="35"/>
    </row>
    <row r="16" spans="1:10" x14ac:dyDescent="0.25">
      <c r="A16" s="31">
        <f t="shared" si="2"/>
        <v>44244.927083333328</v>
      </c>
      <c r="B16" s="38">
        <f t="shared" si="1"/>
        <v>44244.927083333328</v>
      </c>
      <c r="C16" s="172">
        <v>0.57638888888888895</v>
      </c>
      <c r="D16" s="456" t="str">
        <f t="shared" si="3"/>
        <v/>
      </c>
      <c r="E16" s="38">
        <f t="shared" si="0"/>
        <v>44245.503472222219</v>
      </c>
      <c r="F16" s="264" t="s">
        <v>547</v>
      </c>
      <c r="G16" s="35"/>
      <c r="H16" s="252">
        <v>384</v>
      </c>
      <c r="I16" s="252">
        <v>384</v>
      </c>
      <c r="J16" s="235"/>
    </row>
    <row r="17" spans="1:10" hidden="1" x14ac:dyDescent="0.25">
      <c r="A17" s="503">
        <v>44075.083333333336</v>
      </c>
      <c r="B17" s="515">
        <v>8.3333333333333329E-2</v>
      </c>
      <c r="C17" s="172">
        <v>0.5</v>
      </c>
      <c r="D17" s="456" t="str">
        <f t="shared" si="3"/>
        <v/>
      </c>
      <c r="E17" s="515">
        <f t="shared" si="0"/>
        <v>0.58333333333333337</v>
      </c>
      <c r="F17" s="506" t="s">
        <v>2431</v>
      </c>
      <c r="G17" s="492"/>
      <c r="H17" s="516"/>
      <c r="I17" s="516"/>
      <c r="J17" s="495">
        <v>200</v>
      </c>
    </row>
    <row r="18" spans="1:10" ht="13.5" customHeight="1" x14ac:dyDescent="0.25">
      <c r="A18" s="31">
        <f>IF(D16 = "",A16+C16,A16+D16)</f>
        <v>44245.503472222219</v>
      </c>
      <c r="B18" s="38">
        <f>IF(D16 = "",B16+C16,B16+D16)</f>
        <v>44245.503472222219</v>
      </c>
      <c r="C18" s="172">
        <v>0.20833333333333334</v>
      </c>
      <c r="D18" s="456" t="str">
        <f t="shared" si="3"/>
        <v/>
      </c>
      <c r="E18" s="38">
        <f t="shared" si="0"/>
        <v>44245.711805555555</v>
      </c>
      <c r="F18" s="264" t="s">
        <v>548</v>
      </c>
      <c r="G18" s="35"/>
      <c r="H18" s="252"/>
      <c r="I18" s="252"/>
      <c r="J18" s="497"/>
    </row>
    <row r="19" spans="1:10" ht="13.5" hidden="1" customHeight="1" x14ac:dyDescent="0.25">
      <c r="A19" s="503">
        <f>A17+C17</f>
        <v>44075.583333333336</v>
      </c>
      <c r="B19" s="515">
        <f>B17+C17</f>
        <v>0.58333333333333337</v>
      </c>
      <c r="C19" s="172">
        <v>0.20833333333333334</v>
      </c>
      <c r="D19" s="456" t="str">
        <f t="shared" si="3"/>
        <v/>
      </c>
      <c r="E19" s="515">
        <f>B19+C19</f>
        <v>0.79166666666666674</v>
      </c>
      <c r="F19" s="506" t="s">
        <v>2432</v>
      </c>
      <c r="G19" s="492"/>
      <c r="H19" s="517">
        <v>384</v>
      </c>
      <c r="I19" s="517">
        <v>384</v>
      </c>
      <c r="J19" s="495"/>
    </row>
    <row r="20" spans="1:10" ht="12" customHeight="1" x14ac:dyDescent="0.25">
      <c r="A20" s="31">
        <f>IF(D18 = "",A18+C18,A18+D18)</f>
        <v>44245.711805555555</v>
      </c>
      <c r="B20" s="38">
        <f>IF(D18 = "",B18+C18,B18+D18)</f>
        <v>44245.711805555555</v>
      </c>
      <c r="C20" s="172">
        <v>4.8611111111111112E-2</v>
      </c>
      <c r="D20" s="456" t="str">
        <f t="shared" si="3"/>
        <v/>
      </c>
      <c r="E20" s="38">
        <f t="shared" si="0"/>
        <v>44245.760416666664</v>
      </c>
      <c r="F20" s="264" t="s">
        <v>549</v>
      </c>
      <c r="G20" s="39"/>
      <c r="H20" s="1052">
        <v>677.74</v>
      </c>
      <c r="I20" s="1052">
        <f>SUM(H20)</f>
        <v>677.74</v>
      </c>
      <c r="J20" s="1052"/>
    </row>
    <row r="21" spans="1:10" ht="12.75" customHeight="1" x14ac:dyDescent="0.25">
      <c r="A21" s="31">
        <f t="shared" si="2"/>
        <v>44245.760416666664</v>
      </c>
      <c r="B21" s="38">
        <f t="shared" si="1"/>
        <v>44245.760416666664</v>
      </c>
      <c r="C21" s="172">
        <v>6.25E-2</v>
      </c>
      <c r="D21" s="456" t="str">
        <f t="shared" si="3"/>
        <v/>
      </c>
      <c r="E21" s="38">
        <f t="shared" si="0"/>
        <v>44245.822916666664</v>
      </c>
      <c r="F21" s="264" t="s">
        <v>550</v>
      </c>
      <c r="G21" s="35"/>
      <c r="H21" s="1052"/>
      <c r="I21" s="1052"/>
      <c r="J21" s="1052"/>
    </row>
    <row r="22" spans="1:10" x14ac:dyDescent="0.25">
      <c r="A22" s="31">
        <f t="shared" si="2"/>
        <v>44245.822916666664</v>
      </c>
      <c r="B22" s="38">
        <f t="shared" si="1"/>
        <v>44245.822916666664</v>
      </c>
      <c r="C22" s="170">
        <v>0.47916666666666669</v>
      </c>
      <c r="D22" s="456" t="str">
        <f t="shared" si="3"/>
        <v/>
      </c>
      <c r="E22" s="38">
        <f t="shared" si="0"/>
        <v>44246.302083333328</v>
      </c>
      <c r="F22" s="264" t="s">
        <v>551</v>
      </c>
      <c r="G22" s="35"/>
      <c r="H22" s="1052"/>
      <c r="I22" s="1052"/>
      <c r="J22" s="1052"/>
    </row>
    <row r="23" spans="1:10" x14ac:dyDescent="0.25">
      <c r="A23" s="31">
        <f t="shared" si="2"/>
        <v>44246.302083333328</v>
      </c>
      <c r="B23" s="38">
        <f t="shared" si="1"/>
        <v>44246.302083333328</v>
      </c>
      <c r="C23" s="170">
        <v>4.1666666666666664E-2</v>
      </c>
      <c r="D23" s="456" t="str">
        <f t="shared" si="3"/>
        <v/>
      </c>
      <c r="E23" s="38">
        <f t="shared" si="0"/>
        <v>44246.343749999993</v>
      </c>
      <c r="F23" s="240" t="s">
        <v>552</v>
      </c>
      <c r="G23" s="178"/>
      <c r="H23" s="773"/>
      <c r="I23" s="773"/>
      <c r="J23" s="773"/>
    </row>
    <row r="24" spans="1:10" ht="12" customHeight="1" x14ac:dyDescent="0.25">
      <c r="A24" s="31">
        <f t="shared" si="2"/>
        <v>44246.343749999993</v>
      </c>
      <c r="B24" s="38">
        <f t="shared" si="1"/>
        <v>44246.343749999993</v>
      </c>
      <c r="C24" s="170">
        <v>0.27083333333333331</v>
      </c>
      <c r="D24" s="456" t="str">
        <f t="shared" si="3"/>
        <v/>
      </c>
      <c r="E24" s="38">
        <f t="shared" si="0"/>
        <v>44246.614583333328</v>
      </c>
      <c r="F24" s="463" t="s">
        <v>553</v>
      </c>
      <c r="G24" s="178"/>
      <c r="H24" s="35"/>
      <c r="I24" s="35"/>
      <c r="J24" s="35"/>
    </row>
    <row r="25" spans="1:10" ht="12" customHeight="1" x14ac:dyDescent="0.25">
      <c r="A25" s="31">
        <f t="shared" si="2"/>
        <v>44246.614583333328</v>
      </c>
      <c r="B25" s="38">
        <f t="shared" si="1"/>
        <v>44246.614583333328</v>
      </c>
      <c r="C25" s="170">
        <v>0.10416666666666667</v>
      </c>
      <c r="D25" s="456" t="str">
        <f t="shared" si="3"/>
        <v/>
      </c>
      <c r="E25" s="38">
        <f t="shared" si="0"/>
        <v>44246.718749999993</v>
      </c>
      <c r="F25" s="356" t="s">
        <v>2480</v>
      </c>
      <c r="G25" s="178"/>
      <c r="H25" s="495">
        <v>500</v>
      </c>
      <c r="I25" s="495">
        <v>500</v>
      </c>
      <c r="J25" s="495"/>
    </row>
    <row r="26" spans="1:10" x14ac:dyDescent="0.25">
      <c r="A26" s="31">
        <f t="shared" si="2"/>
        <v>44246.718749999993</v>
      </c>
      <c r="B26" s="38">
        <f t="shared" si="1"/>
        <v>44246.718749999993</v>
      </c>
      <c r="C26" s="271">
        <v>0.27083333333333331</v>
      </c>
      <c r="D26" s="456" t="str">
        <f t="shared" si="3"/>
        <v/>
      </c>
      <c r="E26" s="37">
        <f t="shared" si="0"/>
        <v>44246.989583333328</v>
      </c>
      <c r="F26" s="264" t="s">
        <v>2434</v>
      </c>
      <c r="G26" s="178"/>
      <c r="H26" s="497">
        <v>708</v>
      </c>
      <c r="I26" s="511">
        <v>708</v>
      </c>
      <c r="J26" s="35"/>
    </row>
    <row r="27" spans="1:10" x14ac:dyDescent="0.25">
      <c r="A27" s="31">
        <f t="shared" si="2"/>
        <v>44246.989583333328</v>
      </c>
      <c r="B27" s="38">
        <f t="shared" si="1"/>
        <v>44246.989583333328</v>
      </c>
      <c r="C27" s="271">
        <v>0.29166666666666669</v>
      </c>
      <c r="D27" s="456" t="str">
        <f t="shared" si="3"/>
        <v/>
      </c>
      <c r="E27" s="37">
        <f t="shared" si="0"/>
        <v>44247.281249999993</v>
      </c>
      <c r="F27" s="264" t="s">
        <v>2435</v>
      </c>
      <c r="G27" s="178"/>
      <c r="H27" s="497">
        <v>720</v>
      </c>
      <c r="I27" s="511">
        <v>720</v>
      </c>
      <c r="J27" s="35"/>
    </row>
    <row r="28" spans="1:10" x14ac:dyDescent="0.25">
      <c r="A28" s="604">
        <f t="shared" si="2"/>
        <v>44247.281249999993</v>
      </c>
      <c r="B28" s="689">
        <f t="shared" si="1"/>
        <v>44247.281249999993</v>
      </c>
      <c r="C28" s="562">
        <v>2.15625</v>
      </c>
      <c r="D28" s="566"/>
      <c r="E28" s="605">
        <f t="shared" si="0"/>
        <v>44249.437499999993</v>
      </c>
      <c r="F28" s="567" t="s">
        <v>2483</v>
      </c>
      <c r="G28" s="690"/>
      <c r="H28" s="691"/>
      <c r="I28" s="692"/>
      <c r="J28" s="693"/>
    </row>
    <row r="29" spans="1:10" x14ac:dyDescent="0.25">
      <c r="A29" s="31">
        <f t="shared" si="2"/>
        <v>44249.437499999993</v>
      </c>
      <c r="B29" s="38">
        <f t="shared" si="1"/>
        <v>44249.437499999993</v>
      </c>
      <c r="C29" s="170">
        <v>0.25</v>
      </c>
      <c r="D29" s="456" t="str">
        <f t="shared" si="3"/>
        <v/>
      </c>
      <c r="E29" s="37">
        <f t="shared" si="0"/>
        <v>44249.687499999993</v>
      </c>
      <c r="F29" s="264" t="s">
        <v>2436</v>
      </c>
      <c r="G29" s="178"/>
      <c r="H29" s="35"/>
      <c r="I29" s="35"/>
      <c r="J29" s="492"/>
    </row>
    <row r="30" spans="1:10" x14ac:dyDescent="0.25">
      <c r="A30" s="31">
        <f t="shared" si="2"/>
        <v>44249.687499999993</v>
      </c>
      <c r="B30" s="38">
        <f t="shared" si="1"/>
        <v>44249.687499999993</v>
      </c>
      <c r="C30" s="271">
        <v>4.8611111111111112E-2</v>
      </c>
      <c r="D30" s="456" t="str">
        <f t="shared" si="3"/>
        <v/>
      </c>
      <c r="E30" s="37">
        <f t="shared" si="0"/>
        <v>44249.736111111102</v>
      </c>
      <c r="F30" s="264" t="s">
        <v>549</v>
      </c>
      <c r="G30" s="178"/>
      <c r="H30" s="1092">
        <v>290.7</v>
      </c>
      <c r="I30" s="181"/>
      <c r="J30" s="181"/>
    </row>
    <row r="31" spans="1:10" x14ac:dyDescent="0.25">
      <c r="A31" s="31">
        <f t="shared" si="2"/>
        <v>44249.736111111102</v>
      </c>
      <c r="B31" s="38">
        <f t="shared" si="1"/>
        <v>44249.736111111102</v>
      </c>
      <c r="C31" s="271">
        <v>6.25E-2</v>
      </c>
      <c r="D31" s="456" t="str">
        <f t="shared" si="3"/>
        <v/>
      </c>
      <c r="E31" s="37">
        <f t="shared" si="0"/>
        <v>44249.798611111102</v>
      </c>
      <c r="F31" s="264" t="s">
        <v>672</v>
      </c>
      <c r="G31" s="178"/>
      <c r="H31" s="1093"/>
      <c r="I31" s="181"/>
      <c r="J31" s="181"/>
    </row>
    <row r="32" spans="1:10" x14ac:dyDescent="0.25">
      <c r="A32" s="31">
        <f t="shared" si="2"/>
        <v>44249.798611111102</v>
      </c>
      <c r="B32" s="38">
        <f t="shared" si="1"/>
        <v>44249.798611111102</v>
      </c>
      <c r="C32" s="271">
        <v>0.47916666666666669</v>
      </c>
      <c r="D32" s="456" t="str">
        <f t="shared" si="3"/>
        <v/>
      </c>
      <c r="E32" s="37">
        <f t="shared" si="0"/>
        <v>44250.277777777766</v>
      </c>
      <c r="F32" s="264" t="s">
        <v>551</v>
      </c>
      <c r="G32" s="178"/>
      <c r="H32" s="1094"/>
      <c r="I32" s="181">
        <f>SUM(H30)</f>
        <v>290.7</v>
      </c>
      <c r="J32" s="497"/>
    </row>
    <row r="33" spans="1:10" x14ac:dyDescent="0.25">
      <c r="A33" s="31">
        <f t="shared" si="2"/>
        <v>44250.277777777766</v>
      </c>
      <c r="B33" s="38">
        <f t="shared" si="1"/>
        <v>44250.277777777766</v>
      </c>
      <c r="C33" s="271">
        <v>3.4722222222222224E-2</v>
      </c>
      <c r="D33" s="456" t="str">
        <f t="shared" si="3"/>
        <v/>
      </c>
      <c r="E33" s="37">
        <f t="shared" si="0"/>
        <v>44250.312499999985</v>
      </c>
      <c r="F33" s="264" t="s">
        <v>2437</v>
      </c>
      <c r="G33" s="178"/>
      <c r="H33" s="35"/>
      <c r="I33" s="35"/>
      <c r="J33" s="35"/>
    </row>
    <row r="34" spans="1:10" x14ac:dyDescent="0.25">
      <c r="A34" s="31">
        <f t="shared" si="2"/>
        <v>44250.312499999985</v>
      </c>
      <c r="B34" s="38">
        <f t="shared" si="1"/>
        <v>44250.312499999985</v>
      </c>
      <c r="C34" s="170">
        <v>0.22916666666666666</v>
      </c>
      <c r="D34" s="456" t="str">
        <f t="shared" si="3"/>
        <v/>
      </c>
      <c r="E34" s="37">
        <f t="shared" si="0"/>
        <v>44250.54166666665</v>
      </c>
      <c r="F34" s="320" t="s">
        <v>2482</v>
      </c>
      <c r="G34" s="178"/>
      <c r="H34" s="35"/>
      <c r="I34" s="35"/>
      <c r="J34" s="35"/>
    </row>
    <row r="35" spans="1:10" x14ac:dyDescent="0.25">
      <c r="A35" s="31">
        <f t="shared" si="2"/>
        <v>44250.54166666665</v>
      </c>
      <c r="B35" s="38">
        <f t="shared" si="1"/>
        <v>44250.54166666665</v>
      </c>
      <c r="C35" s="170">
        <v>0.10416666666666667</v>
      </c>
      <c r="D35" s="456" t="str">
        <f t="shared" si="3"/>
        <v/>
      </c>
      <c r="E35" s="37">
        <f t="shared" si="0"/>
        <v>44250.645833333314</v>
      </c>
      <c r="F35" s="264" t="s">
        <v>554</v>
      </c>
      <c r="G35" s="178"/>
      <c r="H35" s="35"/>
      <c r="I35" s="35"/>
      <c r="J35" s="35"/>
    </row>
    <row r="36" spans="1:10" ht="21" x14ac:dyDescent="0.55000000000000004">
      <c r="A36" s="34"/>
      <c r="B36" s="33" t="s">
        <v>534</v>
      </c>
      <c r="C36" s="32">
        <f>SUM(C12:C25)</f>
        <v>3.1666666666666665</v>
      </c>
      <c r="D36" s="32">
        <f>SUM(D12:D25)</f>
        <v>0.11458333333333334</v>
      </c>
      <c r="G36" s="243" t="s">
        <v>535</v>
      </c>
      <c r="H36" s="496">
        <f>SUM(H12:H35)</f>
        <v>3664.4399999999996</v>
      </c>
      <c r="I36" s="499">
        <f>SUM(I12:I35)</f>
        <v>3664.4399999999996</v>
      </c>
      <c r="J36" s="183">
        <f>SUM(J12:J35)</f>
        <v>200</v>
      </c>
    </row>
    <row r="37" spans="1:10" x14ac:dyDescent="0.25">
      <c r="B37" s="31" t="s">
        <v>536</v>
      </c>
      <c r="C37" s="30">
        <f>(C36*60)/1440</f>
        <v>0.13194444444444445</v>
      </c>
      <c r="D37" s="30">
        <f>(D36*60)/1440</f>
        <v>4.7743055555555559E-3</v>
      </c>
      <c r="F37" s="26"/>
    </row>
    <row r="38" spans="1:10" x14ac:dyDescent="0.25">
      <c r="C38" s="774"/>
      <c r="F38" s="26"/>
    </row>
    <row r="47" spans="1:10" x14ac:dyDescent="0.25">
      <c r="C47" s="27"/>
      <c r="D47" s="27"/>
    </row>
  </sheetData>
  <mergeCells count="6">
    <mergeCell ref="J20:J22"/>
    <mergeCell ref="H30:H32"/>
    <mergeCell ref="A1:B1"/>
    <mergeCell ref="A5:D5"/>
    <mergeCell ref="H20:H22"/>
    <mergeCell ref="I20:I22"/>
  </mergeCells>
  <pageMargins left="0.75" right="0.75" top="1" bottom="1" header="0.5" footer="0.5"/>
  <pageSetup orientation="portrait" r:id="rId1"/>
  <headerFooter alignWithMargins="0">
    <oddFooter>&amp;R&amp;"Arial,Regular"&amp;08&amp;K7F7F7FAmgen Proprietary - Confidential   &amp;C&amp;"Calibri"&amp;11&amp;K000000&amp;"Calibri"&amp;11&amp;K000000&amp;"Arial,Regular"&amp;08&amp;K7F7F7FAmgen Proprietary - For Internal Use Only_x000D_&amp;1#&amp;"Calibri"&amp;10&amp;K000000 Non-Amgen</oddFooter>
    <evenFooter>&amp;R&amp;"Arial,Regular"&amp;08&amp;K7F7F7FAmgen Proprietary - Confidential   &amp;C&amp;"Arial,Regular"&amp;08&amp;K7F7F7FAmgen Proprietary - For Internal Use Only</evenFooter>
    <firstFooter>&amp;R&amp;"Arial,Regular"&amp;08&amp;K7F7F7FAmgen Proprietary - Confidential   &amp;C&amp;"Arial,Regular"&amp;08&amp;K7F7F7FAmgen Proprietary - For Internal Use Only</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DC77A-A3F2-4839-B8D1-3210BC5D85A9}">
  <sheetPr codeName="Sheet43">
    <pageSetUpPr autoPageBreaks="0"/>
  </sheetPr>
  <dimension ref="A1:M109"/>
  <sheetViews>
    <sheetView zoomScaleNormal="100" workbookViewId="0">
      <selection activeCell="F86" sqref="A86:F86"/>
    </sheetView>
  </sheetViews>
  <sheetFormatPr defaultColWidth="23.453125" defaultRowHeight="11.5" x14ac:dyDescent="0.25"/>
  <cols>
    <col min="1" max="1" width="48.453125" style="25" bestFit="1" customWidth="1"/>
    <col min="2" max="2" width="28" style="25" customWidth="1"/>
    <col min="3" max="3" width="29.54296875" style="25" customWidth="1"/>
    <col min="4" max="4" width="26.453125" style="25" hidden="1" customWidth="1"/>
    <col min="5" max="5" width="23.453125" style="25"/>
    <col min="6" max="6" width="79.54296875" style="25" bestFit="1" customWidth="1"/>
    <col min="7" max="7" width="40.54296875" style="25" customWidth="1"/>
    <col min="8" max="11" width="10.54296875" style="25" customWidth="1"/>
    <col min="12" max="12" width="24" style="25" customWidth="1"/>
    <col min="13" max="16384" width="23.453125" style="25"/>
  </cols>
  <sheetData>
    <row r="1" spans="1:13" ht="12" thickBot="1" x14ac:dyDescent="0.3">
      <c r="A1" s="1064" t="s">
        <v>479</v>
      </c>
      <c r="B1" s="1065"/>
    </row>
    <row r="2" spans="1:13" x14ac:dyDescent="0.25">
      <c r="A2" s="43" t="s">
        <v>480</v>
      </c>
      <c r="B2" s="258">
        <f>A15</f>
        <v>44250.6875</v>
      </c>
    </row>
    <row r="3" spans="1:13" ht="12" thickBot="1" x14ac:dyDescent="0.3">
      <c r="A3" s="42" t="s">
        <v>482</v>
      </c>
      <c r="B3" s="259">
        <f>A15</f>
        <v>44250.6875</v>
      </c>
    </row>
    <row r="5" spans="1:13" x14ac:dyDescent="0.25">
      <c r="A5" s="1049" t="s">
        <v>484</v>
      </c>
      <c r="B5" s="1050"/>
      <c r="C5" s="1050"/>
      <c r="D5" s="1051"/>
    </row>
    <row r="6" spans="1:13" x14ac:dyDescent="0.25">
      <c r="A6" s="781" t="s">
        <v>485</v>
      </c>
      <c r="B6" s="781" t="s">
        <v>486</v>
      </c>
      <c r="C6" s="781" t="s">
        <v>487</v>
      </c>
      <c r="D6" s="781" t="s">
        <v>488</v>
      </c>
    </row>
    <row r="7" spans="1:13" x14ac:dyDescent="0.25">
      <c r="A7" s="41" t="str">
        <f>F25</f>
        <v xml:space="preserve">   Sample for drug substance analysis (PR-044 in Methanol)</v>
      </c>
      <c r="B7" s="455">
        <f>INDEX($B$15:$B$86,MATCH(A7,$F$15:$F$86,0))</f>
        <v>44251.604166666679</v>
      </c>
      <c r="C7" s="37">
        <f>INDEX($B$15:$B$86,MATCH(A7,$F$15:$F$86,0))</f>
        <v>44251.604166666679</v>
      </c>
      <c r="D7" s="297"/>
    </row>
    <row r="8" spans="1:13" x14ac:dyDescent="0.25">
      <c r="A8" s="41" t="str">
        <f>F33</f>
        <v xml:space="preserve">   Sample for residual solvent Methanol (in DCM)</v>
      </c>
      <c r="B8" s="455">
        <f>INDEX($B$15:$B$86,MATCH(A8,$F$15:$F$86,0))</f>
        <v>44252.375000000007</v>
      </c>
      <c r="C8" s="37">
        <f>INDEX($B$15:$B$86,MATCH(A8,$F$15:$F$86,0))</f>
        <v>44252.375000000007</v>
      </c>
      <c r="D8" s="297"/>
    </row>
    <row r="9" spans="1:13" x14ac:dyDescent="0.25">
      <c r="A9" s="41" t="str">
        <f>F60</f>
        <v xml:space="preserve">   Sample for drug substance analysis (PR-026 in Methanol)</v>
      </c>
      <c r="B9" s="455">
        <f>INDEX($B$15:$B$86,MATCH(A9,$F$15:$F$86,0))</f>
        <v>44256.500000000015</v>
      </c>
      <c r="C9" s="37">
        <f>INDEX($B$15:$B$86,MATCH(A9,$F$15:$F$86,0))</f>
        <v>44256.500000000015</v>
      </c>
      <c r="D9" s="297"/>
    </row>
    <row r="10" spans="1:13" x14ac:dyDescent="0.25">
      <c r="A10" s="41" t="str">
        <f>F67</f>
        <v xml:space="preserve">   Sample for residual solvent Methanol (in EA)</v>
      </c>
      <c r="B10" s="455">
        <f>INDEX($B$15:$B$86,MATCH(A10,$F$15:$F$86,0))</f>
        <v>44257.14583333335</v>
      </c>
      <c r="C10" s="37">
        <f>INDEX($B$15:$B$86,MATCH(A10,$F$15:$F$86,0))</f>
        <v>44257.14583333335</v>
      </c>
      <c r="D10" s="297"/>
    </row>
    <row r="11" spans="1:13" x14ac:dyDescent="0.25">
      <c r="A11" s="41" t="str">
        <f>F85</f>
        <v xml:space="preserve">   Filter Dryer Sample for drug substance analysis (PR-026 in Methanol)</v>
      </c>
      <c r="B11" s="455">
        <f>INDEX($B$15:$B$86,MATCH(A11,$F$15:$F$86,0))</f>
        <v>44258.222222222248</v>
      </c>
      <c r="C11" s="37">
        <f>INDEX($B$15:$B$86,MATCH(A11,$F$15:$F$86,0))</f>
        <v>44258.222222222248</v>
      </c>
      <c r="D11" s="297"/>
    </row>
    <row r="13" spans="1:13" ht="23" x14ac:dyDescent="0.25">
      <c r="A13" s="749" t="s">
        <v>492</v>
      </c>
      <c r="B13" s="749" t="s">
        <v>576</v>
      </c>
      <c r="C13" s="749" t="s">
        <v>494</v>
      </c>
      <c r="D13" s="749" t="s">
        <v>2484</v>
      </c>
      <c r="E13" s="749" t="s">
        <v>560</v>
      </c>
      <c r="F13" s="749" t="s">
        <v>541</v>
      </c>
      <c r="G13" s="749" t="s">
        <v>498</v>
      </c>
      <c r="H13" s="781" t="s">
        <v>204</v>
      </c>
      <c r="I13" s="781" t="s">
        <v>2485</v>
      </c>
      <c r="J13" s="781" t="s">
        <v>577</v>
      </c>
      <c r="K13" s="781" t="s">
        <v>500</v>
      </c>
    </row>
    <row r="14" spans="1:13" x14ac:dyDescent="0.25">
      <c r="A14" s="1095" t="s">
        <v>2486</v>
      </c>
      <c r="B14" s="1095"/>
      <c r="C14" s="1095"/>
      <c r="D14" s="1095"/>
      <c r="E14" s="1095"/>
      <c r="F14" s="1095"/>
      <c r="G14" s="1095"/>
      <c r="H14" s="777"/>
      <c r="I14" s="777"/>
      <c r="J14" s="777"/>
      <c r="K14" s="777"/>
    </row>
    <row r="15" spans="1:13" x14ac:dyDescent="0.25">
      <c r="A15" s="31">
        <v>44250.6875</v>
      </c>
      <c r="B15" s="37">
        <f>B3</f>
        <v>44250.6875</v>
      </c>
      <c r="C15" s="111">
        <v>2.0833333333333332E-2</v>
      </c>
      <c r="D15" s="327" t="str">
        <f t="shared" ref="D15:D86" si="0">IF(_xlfn.ISFORMULA(E15)=TRUE,"",E15-B15)</f>
        <v/>
      </c>
      <c r="E15" s="37">
        <f>B15+C15</f>
        <v>44250.708333333336</v>
      </c>
      <c r="F15" s="570" t="s">
        <v>584</v>
      </c>
      <c r="G15" s="571" t="s">
        <v>2487</v>
      </c>
      <c r="H15" s="572"/>
      <c r="I15" s="572"/>
      <c r="J15" s="572"/>
      <c r="K15" s="490">
        <v>46.870950000000001</v>
      </c>
      <c r="L15" s="570" t="s">
        <v>2488</v>
      </c>
      <c r="M15" s="570">
        <f>SUM(K15:K19)</f>
        <v>1558.4709499999999</v>
      </c>
    </row>
    <row r="16" spans="1:13" ht="12.75" customHeight="1" x14ac:dyDescent="0.25">
      <c r="A16" s="31">
        <f t="shared" ref="A16:A36" si="1">IF(D15 = "",A15+C15,A15+D15)</f>
        <v>44250.708333333336</v>
      </c>
      <c r="B16" s="37">
        <f t="shared" ref="B16:B36" si="2">IF(D15 = "",B15+C15,B15+D15)</f>
        <v>44250.708333333336</v>
      </c>
      <c r="C16" s="111">
        <v>2.0833333333333332E-2</v>
      </c>
      <c r="D16" s="327" t="str">
        <f t="shared" si="0"/>
        <v/>
      </c>
      <c r="E16" s="37">
        <f t="shared" ref="E16:E71" si="3">B16+C16</f>
        <v>44250.729166666672</v>
      </c>
      <c r="F16" s="570" t="s">
        <v>2489</v>
      </c>
      <c r="G16" s="573"/>
      <c r="H16" s="570"/>
      <c r="I16" s="570"/>
      <c r="J16" s="570"/>
      <c r="K16" s="570">
        <v>611.6</v>
      </c>
    </row>
    <row r="17" spans="1:13" ht="12.75" customHeight="1" x14ac:dyDescent="0.25">
      <c r="A17" s="31">
        <f t="shared" si="1"/>
        <v>44250.729166666672</v>
      </c>
      <c r="B17" s="37">
        <f t="shared" si="2"/>
        <v>44250.729166666672</v>
      </c>
      <c r="C17" s="111">
        <v>0.27083333333333331</v>
      </c>
      <c r="D17" s="327" t="str">
        <f t="shared" si="0"/>
        <v/>
      </c>
      <c r="E17" s="37">
        <f t="shared" si="3"/>
        <v>44251.000000000007</v>
      </c>
      <c r="F17" s="570" t="s">
        <v>2490</v>
      </c>
      <c r="G17" s="573"/>
      <c r="H17" s="570"/>
      <c r="I17" s="570"/>
      <c r="J17" s="570"/>
      <c r="K17" s="570">
        <v>450</v>
      </c>
    </row>
    <row r="18" spans="1:13" ht="12.75" customHeight="1" x14ac:dyDescent="0.25">
      <c r="A18" s="31">
        <f t="shared" si="1"/>
        <v>44251.000000000007</v>
      </c>
      <c r="B18" s="37">
        <f t="shared" si="2"/>
        <v>44251.000000000007</v>
      </c>
      <c r="C18" s="36">
        <v>0.27083333333333331</v>
      </c>
      <c r="D18" s="327" t="str">
        <f t="shared" si="0"/>
        <v/>
      </c>
      <c r="E18" s="37">
        <f t="shared" si="3"/>
        <v>44251.270833333343</v>
      </c>
      <c r="F18" s="570" t="s">
        <v>2491</v>
      </c>
      <c r="G18" s="573"/>
      <c r="H18" s="570"/>
      <c r="I18" s="570"/>
      <c r="J18" s="570"/>
      <c r="K18" s="570">
        <v>450</v>
      </c>
    </row>
    <row r="19" spans="1:13" ht="13.5" customHeight="1" x14ac:dyDescent="0.25">
      <c r="A19" s="31">
        <f t="shared" si="1"/>
        <v>44251.270833333343</v>
      </c>
      <c r="B19" s="37">
        <f t="shared" si="2"/>
        <v>44251.270833333343</v>
      </c>
      <c r="C19" s="36">
        <v>7.2916666666666671E-2</v>
      </c>
      <c r="D19" s="327" t="str">
        <f t="shared" si="0"/>
        <v/>
      </c>
      <c r="E19" s="37">
        <f t="shared" si="3"/>
        <v>44251.343750000007</v>
      </c>
      <c r="F19" s="570" t="s">
        <v>2492</v>
      </c>
      <c r="G19" s="573"/>
      <c r="H19" s="570"/>
      <c r="I19" s="570"/>
      <c r="J19" s="570"/>
      <c r="K19" s="570"/>
    </row>
    <row r="20" spans="1:13" x14ac:dyDescent="0.25">
      <c r="A20" s="31">
        <f t="shared" si="1"/>
        <v>44251.343750000007</v>
      </c>
      <c r="B20" s="37">
        <f t="shared" si="2"/>
        <v>44251.343750000007</v>
      </c>
      <c r="C20" s="111">
        <v>8.3333333333333329E-2</v>
      </c>
      <c r="D20" s="327" t="str">
        <f t="shared" si="0"/>
        <v/>
      </c>
      <c r="E20" s="37">
        <f t="shared" si="3"/>
        <v>44251.427083333343</v>
      </c>
      <c r="F20" s="570" t="s">
        <v>2493</v>
      </c>
      <c r="G20" s="573"/>
      <c r="H20" s="570"/>
      <c r="I20" s="570"/>
      <c r="J20" s="570"/>
      <c r="K20" s="570">
        <v>783</v>
      </c>
      <c r="L20" s="570" t="s">
        <v>2494</v>
      </c>
      <c r="M20" s="570">
        <f>SUM(K20:K22)</f>
        <v>783</v>
      </c>
    </row>
    <row r="21" spans="1:13" x14ac:dyDescent="0.25">
      <c r="A21" s="31">
        <f t="shared" si="1"/>
        <v>44251.427083333343</v>
      </c>
      <c r="B21" s="37">
        <f t="shared" si="2"/>
        <v>44251.427083333343</v>
      </c>
      <c r="C21" s="111">
        <v>6.25E-2</v>
      </c>
      <c r="D21" s="327" t="str">
        <f t="shared" si="0"/>
        <v/>
      </c>
      <c r="E21" s="37">
        <f t="shared" si="3"/>
        <v>44251.489583333343</v>
      </c>
      <c r="F21" s="570" t="s">
        <v>589</v>
      </c>
      <c r="G21" s="570"/>
      <c r="H21" s="570"/>
      <c r="I21" s="570"/>
      <c r="J21" s="570"/>
      <c r="K21" s="570"/>
    </row>
    <row r="22" spans="1:13" ht="12" hidden="1" thickBot="1" x14ac:dyDescent="0.3">
      <c r="A22" s="31">
        <f t="shared" si="1"/>
        <v>44251.489583333343</v>
      </c>
      <c r="B22" s="37">
        <f t="shared" si="2"/>
        <v>44251.489583333343</v>
      </c>
      <c r="C22" s="603">
        <v>0</v>
      </c>
      <c r="D22" s="520" t="str">
        <f t="shared" si="0"/>
        <v/>
      </c>
      <c r="E22" s="519">
        <f t="shared" si="3"/>
        <v>44251.489583333343</v>
      </c>
      <c r="F22" s="695"/>
      <c r="G22" s="696"/>
      <c r="H22" s="695"/>
      <c r="I22" s="695"/>
      <c r="J22" s="695"/>
      <c r="K22" s="697"/>
    </row>
    <row r="23" spans="1:13" ht="13.5" customHeight="1" x14ac:dyDescent="0.25">
      <c r="A23" s="31">
        <f t="shared" si="1"/>
        <v>44251.489583333343</v>
      </c>
      <c r="B23" s="37">
        <f t="shared" si="2"/>
        <v>44251.489583333343</v>
      </c>
      <c r="C23" s="469">
        <v>8.3333333333333329E-2</v>
      </c>
      <c r="D23" s="470" t="str">
        <f t="shared" si="0"/>
        <v/>
      </c>
      <c r="E23" s="331">
        <f t="shared" si="3"/>
        <v>44251.572916666679</v>
      </c>
      <c r="F23" s="574" t="s">
        <v>2495</v>
      </c>
      <c r="G23" s="575"/>
      <c r="H23" s="574"/>
      <c r="I23" s="574"/>
      <c r="J23" s="574"/>
      <c r="K23" s="574"/>
      <c r="L23" s="570" t="s">
        <v>2496</v>
      </c>
      <c r="M23" s="570">
        <f>SUM(I23:K32)</f>
        <v>98.8</v>
      </c>
    </row>
    <row r="24" spans="1:13" ht="13.5" customHeight="1" x14ac:dyDescent="0.25">
      <c r="A24" s="31">
        <f t="shared" si="1"/>
        <v>44251.572916666679</v>
      </c>
      <c r="B24" s="37">
        <f t="shared" si="2"/>
        <v>44251.572916666679</v>
      </c>
      <c r="C24" s="111">
        <v>3.125E-2</v>
      </c>
      <c r="D24" s="327" t="str">
        <f t="shared" si="0"/>
        <v/>
      </c>
      <c r="E24" s="37">
        <f t="shared" si="3"/>
        <v>44251.604166666679</v>
      </c>
      <c r="F24" s="570" t="s">
        <v>2463</v>
      </c>
      <c r="G24" s="573"/>
      <c r="H24" s="570"/>
      <c r="I24" s="570"/>
      <c r="J24" s="570"/>
      <c r="K24" s="570">
        <v>48.8</v>
      </c>
      <c r="L24" s="570" t="s">
        <v>2497</v>
      </c>
      <c r="M24" s="570">
        <f>SUM(H23:H32)</f>
        <v>750</v>
      </c>
    </row>
    <row r="25" spans="1:13" x14ac:dyDescent="0.25">
      <c r="A25" s="31">
        <f t="shared" si="1"/>
        <v>44251.604166666679</v>
      </c>
      <c r="B25" s="37">
        <f t="shared" si="2"/>
        <v>44251.604166666679</v>
      </c>
      <c r="C25" s="36" t="s">
        <v>99</v>
      </c>
      <c r="D25" s="327"/>
      <c r="E25" s="37" t="s">
        <v>99</v>
      </c>
      <c r="F25" s="576" t="s">
        <v>2498</v>
      </c>
      <c r="G25" s="573"/>
      <c r="H25" s="570"/>
      <c r="I25" s="570"/>
      <c r="J25" s="570"/>
      <c r="K25" s="570"/>
    </row>
    <row r="26" spans="1:13" ht="12.65" customHeight="1" x14ac:dyDescent="0.25">
      <c r="A26" s="31">
        <f>IF(D24 = "",A24+C24,A24+D24)</f>
        <v>44251.604166666679</v>
      </c>
      <c r="B26" s="37">
        <f>IF(D24 = "",B24+C24,B24+D24)</f>
        <v>44251.604166666679</v>
      </c>
      <c r="C26" s="111">
        <v>3.125E-2</v>
      </c>
      <c r="D26" s="327" t="str">
        <f t="shared" si="0"/>
        <v/>
      </c>
      <c r="E26" s="37">
        <f t="shared" si="3"/>
        <v>44251.635416666679</v>
      </c>
      <c r="F26" s="570" t="s">
        <v>2499</v>
      </c>
      <c r="G26" s="573"/>
      <c r="H26" s="570">
        <v>150</v>
      </c>
      <c r="I26" s="570"/>
      <c r="J26" s="570"/>
      <c r="K26" s="570"/>
    </row>
    <row r="27" spans="1:13" ht="12.75" customHeight="1" x14ac:dyDescent="0.25">
      <c r="A27" s="31">
        <f t="shared" si="1"/>
        <v>44251.635416666679</v>
      </c>
      <c r="B27" s="37">
        <f t="shared" si="2"/>
        <v>44251.635416666679</v>
      </c>
      <c r="C27" s="111">
        <v>3.125E-2</v>
      </c>
      <c r="D27" s="327" t="str">
        <f t="shared" si="0"/>
        <v/>
      </c>
      <c r="E27" s="37">
        <f t="shared" si="3"/>
        <v>44251.666666666679</v>
      </c>
      <c r="F27" s="570" t="s">
        <v>2500</v>
      </c>
      <c r="G27" s="573"/>
      <c r="H27" s="570"/>
      <c r="I27" s="570">
        <v>50</v>
      </c>
      <c r="J27" s="570"/>
      <c r="K27" s="570"/>
    </row>
    <row r="28" spans="1:13" ht="12.75" customHeight="1" x14ac:dyDescent="0.25">
      <c r="A28" s="31">
        <f t="shared" si="1"/>
        <v>44251.666666666679</v>
      </c>
      <c r="B28" s="37">
        <f t="shared" si="2"/>
        <v>44251.666666666679</v>
      </c>
      <c r="C28" s="36">
        <v>0.10416666666666667</v>
      </c>
      <c r="D28" s="327" t="str">
        <f t="shared" si="0"/>
        <v/>
      </c>
      <c r="E28" s="37">
        <f>B28+C28</f>
        <v>44251.770833333343</v>
      </c>
      <c r="F28" s="570" t="s">
        <v>2501</v>
      </c>
      <c r="G28" s="573"/>
      <c r="H28" s="570"/>
      <c r="I28" s="570"/>
      <c r="J28" s="570"/>
      <c r="K28" s="570"/>
    </row>
    <row r="29" spans="1:13" x14ac:dyDescent="0.25">
      <c r="A29" s="31">
        <f t="shared" si="1"/>
        <v>44251.770833333343</v>
      </c>
      <c r="B29" s="37">
        <f t="shared" si="2"/>
        <v>44251.770833333343</v>
      </c>
      <c r="C29" s="36">
        <v>0.15625</v>
      </c>
      <c r="D29" s="327" t="str">
        <f t="shared" si="0"/>
        <v/>
      </c>
      <c r="E29" s="37">
        <f t="shared" si="3"/>
        <v>44251.927083333343</v>
      </c>
      <c r="F29" s="570" t="s">
        <v>2502</v>
      </c>
      <c r="G29" s="573"/>
      <c r="H29" s="570">
        <v>150</v>
      </c>
      <c r="I29" s="570"/>
      <c r="J29" s="570"/>
      <c r="K29" s="570"/>
    </row>
    <row r="30" spans="1:13" x14ac:dyDescent="0.25">
      <c r="A30" s="31">
        <f t="shared" si="1"/>
        <v>44251.927083333343</v>
      </c>
      <c r="B30" s="37">
        <f t="shared" si="2"/>
        <v>44251.927083333343</v>
      </c>
      <c r="C30" s="36">
        <v>0.15625</v>
      </c>
      <c r="D30" s="327" t="str">
        <f t="shared" si="0"/>
        <v/>
      </c>
      <c r="E30" s="37">
        <f t="shared" si="3"/>
        <v>44252.083333333343</v>
      </c>
      <c r="F30" s="570" t="s">
        <v>2503</v>
      </c>
      <c r="G30" s="573"/>
      <c r="H30" s="570">
        <v>150</v>
      </c>
      <c r="I30" s="570"/>
      <c r="J30" s="570"/>
      <c r="K30" s="570"/>
    </row>
    <row r="31" spans="1:13" x14ac:dyDescent="0.25">
      <c r="A31" s="31">
        <f t="shared" si="1"/>
        <v>44252.083333333343</v>
      </c>
      <c r="B31" s="37">
        <f t="shared" si="2"/>
        <v>44252.083333333343</v>
      </c>
      <c r="C31" s="36">
        <v>0.15625</v>
      </c>
      <c r="D31" s="327" t="str">
        <f t="shared" si="0"/>
        <v/>
      </c>
      <c r="E31" s="37">
        <f t="shared" si="3"/>
        <v>44252.239583333343</v>
      </c>
      <c r="F31" s="570" t="s">
        <v>2504</v>
      </c>
      <c r="G31" s="573"/>
      <c r="H31" s="570">
        <v>150</v>
      </c>
      <c r="I31" s="570"/>
      <c r="J31" s="570"/>
      <c r="K31" s="570"/>
    </row>
    <row r="32" spans="1:13" x14ac:dyDescent="0.25">
      <c r="A32" s="31">
        <f t="shared" si="1"/>
        <v>44252.239583333343</v>
      </c>
      <c r="B32" s="37">
        <f t="shared" si="2"/>
        <v>44252.239583333343</v>
      </c>
      <c r="C32" s="36">
        <v>0.13541666666666666</v>
      </c>
      <c r="D32" s="327" t="str">
        <f t="shared" si="0"/>
        <v/>
      </c>
      <c r="E32" s="37">
        <f t="shared" si="3"/>
        <v>44252.375000000007</v>
      </c>
      <c r="F32" s="570" t="s">
        <v>2505</v>
      </c>
      <c r="G32" s="573"/>
      <c r="H32" s="570">
        <v>150</v>
      </c>
      <c r="I32" s="570"/>
      <c r="J32" s="570"/>
      <c r="K32" s="570"/>
      <c r="L32" s="570" t="s">
        <v>2506</v>
      </c>
      <c r="M32" s="570">
        <f>SUM(H32:K43)</f>
        <v>3284.3</v>
      </c>
    </row>
    <row r="33" spans="1:13" x14ac:dyDescent="0.25">
      <c r="A33" s="31">
        <f t="shared" si="1"/>
        <v>44252.375000000007</v>
      </c>
      <c r="B33" s="37">
        <f t="shared" si="2"/>
        <v>44252.375000000007</v>
      </c>
      <c r="C33" s="36" t="s">
        <v>99</v>
      </c>
      <c r="D33" s="327"/>
      <c r="E33" s="37" t="s">
        <v>99</v>
      </c>
      <c r="F33" s="576" t="s">
        <v>2507</v>
      </c>
      <c r="G33" s="573"/>
      <c r="H33" s="570"/>
      <c r="I33" s="570"/>
      <c r="J33" s="570"/>
      <c r="K33" s="570"/>
    </row>
    <row r="34" spans="1:13" x14ac:dyDescent="0.25">
      <c r="A34" s="31">
        <f>IF(D32 = "",A32+C32,A32+D32)</f>
        <v>44252.375000000007</v>
      </c>
      <c r="B34" s="37">
        <f>IF(D32 = "",B32+C32,B32+D32)</f>
        <v>44252.375000000007</v>
      </c>
      <c r="C34" s="36">
        <v>2.0833333333333332E-2</v>
      </c>
      <c r="D34" s="327" t="str">
        <f t="shared" si="0"/>
        <v/>
      </c>
      <c r="E34" s="37">
        <f t="shared" si="3"/>
        <v>44252.395833333343</v>
      </c>
      <c r="F34" s="570" t="s">
        <v>2508</v>
      </c>
      <c r="G34" s="573"/>
      <c r="H34" s="570"/>
      <c r="I34" s="570"/>
      <c r="J34" s="570"/>
      <c r="K34" s="570"/>
    </row>
    <row r="35" spans="1:13" x14ac:dyDescent="0.25">
      <c r="A35" s="31">
        <f t="shared" si="1"/>
        <v>44252.395833333343</v>
      </c>
      <c r="B35" s="37">
        <f t="shared" si="2"/>
        <v>44252.395833333343</v>
      </c>
      <c r="C35" s="36">
        <v>6.25E-2</v>
      </c>
      <c r="D35" s="327" t="str">
        <f t="shared" si="0"/>
        <v/>
      </c>
      <c r="E35" s="37">
        <f t="shared" si="3"/>
        <v>44252.458333333343</v>
      </c>
      <c r="F35" s="570" t="s">
        <v>656</v>
      </c>
      <c r="G35" s="573"/>
      <c r="H35" s="570"/>
      <c r="I35" s="570"/>
      <c r="J35" s="570"/>
      <c r="K35" s="570"/>
    </row>
    <row r="36" spans="1:13" x14ac:dyDescent="0.25">
      <c r="A36" s="31">
        <f t="shared" si="1"/>
        <v>44252.458333333343</v>
      </c>
      <c r="B36" s="37">
        <f t="shared" si="2"/>
        <v>44252.458333333343</v>
      </c>
      <c r="C36" s="36">
        <v>1.3888888888888888E-2</v>
      </c>
      <c r="D36" s="327" t="str">
        <f t="shared" si="0"/>
        <v/>
      </c>
      <c r="E36" s="37">
        <f t="shared" si="3"/>
        <v>44252.472222222234</v>
      </c>
      <c r="F36" s="570" t="s">
        <v>2509</v>
      </c>
      <c r="G36" s="573"/>
      <c r="H36" s="570"/>
      <c r="I36" s="570"/>
      <c r="J36" s="570"/>
      <c r="K36" s="570">
        <v>133.69999999999999</v>
      </c>
    </row>
    <row r="37" spans="1:13" x14ac:dyDescent="0.25">
      <c r="A37" s="31">
        <f>IF(D36 = "",A36+C36,A36+D36)</f>
        <v>44252.472222222234</v>
      </c>
      <c r="B37" s="37">
        <f>IF(D36 = "",B36+C36,B36+D36)</f>
        <v>44252.472222222234</v>
      </c>
      <c r="C37" s="36">
        <v>1.3888888888888888E-2</v>
      </c>
      <c r="D37" s="327" t="str">
        <f t="shared" si="0"/>
        <v/>
      </c>
      <c r="E37" s="37">
        <f t="shared" si="3"/>
        <v>44252.486111111124</v>
      </c>
      <c r="F37" s="570" t="s">
        <v>2510</v>
      </c>
      <c r="G37" s="573"/>
      <c r="H37" s="570"/>
      <c r="I37" s="570">
        <v>146.19999999999999</v>
      </c>
      <c r="J37" s="570"/>
      <c r="K37" s="570"/>
    </row>
    <row r="38" spans="1:13" ht="15" customHeight="1" x14ac:dyDescent="0.25">
      <c r="A38" s="1070" t="s">
        <v>2511</v>
      </c>
      <c r="B38" s="1070"/>
      <c r="C38" s="1070"/>
      <c r="D38" s="1070"/>
      <c r="E38" s="1070"/>
      <c r="F38" s="1070"/>
      <c r="G38" s="1071"/>
      <c r="H38" s="777"/>
      <c r="I38" s="777"/>
      <c r="J38" s="777"/>
      <c r="K38" s="777"/>
    </row>
    <row r="39" spans="1:13" x14ac:dyDescent="0.25">
      <c r="A39" s="31">
        <f>IF(D37 = "",A37+C37,A37+D37)</f>
        <v>44252.486111111124</v>
      </c>
      <c r="B39" s="37">
        <f>IF(D37 = "",B37+C37,B37+D37)</f>
        <v>44252.486111111124</v>
      </c>
      <c r="C39" s="36">
        <v>0</v>
      </c>
      <c r="D39" s="327"/>
      <c r="E39" s="37">
        <f>B39+C39</f>
        <v>44252.486111111124</v>
      </c>
      <c r="F39" s="570" t="s">
        <v>2509</v>
      </c>
      <c r="G39" s="573"/>
      <c r="H39" s="570"/>
      <c r="I39" s="570"/>
      <c r="J39" s="570"/>
      <c r="K39" s="570"/>
    </row>
    <row r="40" spans="1:13" x14ac:dyDescent="0.25">
      <c r="A40" s="31">
        <f>IF(D39 = "",A39+C39,A39+D39)</f>
        <v>44252.486111111124</v>
      </c>
      <c r="B40" s="37">
        <f>IF(D39 = "",B39+C39,B39+D39)</f>
        <v>44252.486111111124</v>
      </c>
      <c r="C40" s="36">
        <v>3.4722222222222224E-2</v>
      </c>
      <c r="D40" s="327" t="str">
        <f t="shared" si="0"/>
        <v/>
      </c>
      <c r="E40" s="37">
        <f t="shared" si="3"/>
        <v>44252.520833333343</v>
      </c>
      <c r="F40" s="570" t="s">
        <v>2512</v>
      </c>
      <c r="G40" s="573"/>
      <c r="H40" s="570"/>
      <c r="I40" s="570"/>
      <c r="J40" s="570"/>
      <c r="K40" s="570">
        <v>70</v>
      </c>
    </row>
    <row r="41" spans="1:13" x14ac:dyDescent="0.25">
      <c r="A41" s="31">
        <f t="shared" ref="A41:A44" si="4">IF(D40 = "",A40+C40,A40+D40)</f>
        <v>44252.520833333343</v>
      </c>
      <c r="B41" s="37">
        <f t="shared" ref="B41:B44" si="5">IF(D40 = "",B40+C40,B40+D40)</f>
        <v>44252.520833333343</v>
      </c>
      <c r="C41" s="36">
        <v>0.125</v>
      </c>
      <c r="D41" s="327" t="str">
        <f t="shared" si="0"/>
        <v/>
      </c>
      <c r="E41" s="37">
        <f t="shared" si="3"/>
        <v>44252.645833333343</v>
      </c>
      <c r="F41" s="570" t="s">
        <v>2513</v>
      </c>
      <c r="G41" s="573"/>
      <c r="H41" s="570"/>
      <c r="I41" s="570"/>
      <c r="J41" s="570"/>
      <c r="K41" s="570">
        <v>792.2</v>
      </c>
    </row>
    <row r="42" spans="1:13" x14ac:dyDescent="0.25">
      <c r="A42" s="31">
        <f t="shared" si="4"/>
        <v>44252.645833333343</v>
      </c>
      <c r="B42" s="37">
        <f t="shared" si="5"/>
        <v>44252.645833333343</v>
      </c>
      <c r="C42" s="36">
        <v>0.51041666666666663</v>
      </c>
      <c r="D42" s="327" t="str">
        <f t="shared" si="0"/>
        <v/>
      </c>
      <c r="E42" s="37">
        <f t="shared" si="3"/>
        <v>44253.156250000007</v>
      </c>
      <c r="F42" s="570" t="s">
        <v>2514</v>
      </c>
      <c r="G42" s="573"/>
      <c r="H42" s="570"/>
      <c r="I42" s="570"/>
      <c r="J42" s="570"/>
      <c r="K42" s="570">
        <v>1200</v>
      </c>
    </row>
    <row r="43" spans="1:13" x14ac:dyDescent="0.25">
      <c r="A43" s="31">
        <f t="shared" si="4"/>
        <v>44253.156250000007</v>
      </c>
      <c r="B43" s="37">
        <f t="shared" si="5"/>
        <v>44253.156250000007</v>
      </c>
      <c r="C43" s="36">
        <v>0.15625</v>
      </c>
      <c r="D43" s="327" t="str">
        <f t="shared" si="0"/>
        <v/>
      </c>
      <c r="E43" s="37">
        <f t="shared" si="3"/>
        <v>44253.312500000007</v>
      </c>
      <c r="F43" s="570" t="s">
        <v>2515</v>
      </c>
      <c r="G43" s="573"/>
      <c r="H43" s="570"/>
      <c r="I43" s="570"/>
      <c r="J43" s="570"/>
      <c r="K43" s="570">
        <v>792.2</v>
      </c>
      <c r="L43" s="570" t="s">
        <v>2516</v>
      </c>
      <c r="M43" s="570">
        <f>SUM(H44:K57)</f>
        <v>2522.9</v>
      </c>
    </row>
    <row r="44" spans="1:13" x14ac:dyDescent="0.25">
      <c r="A44" s="31">
        <f t="shared" si="4"/>
        <v>44253.312500000007</v>
      </c>
      <c r="B44" s="37">
        <f t="shared" si="5"/>
        <v>44253.312500000007</v>
      </c>
      <c r="C44" s="36">
        <v>1.3888888888888888E-2</v>
      </c>
      <c r="D44" s="327" t="str">
        <f t="shared" si="0"/>
        <v/>
      </c>
      <c r="E44" s="37">
        <f t="shared" si="3"/>
        <v>44253.326388888898</v>
      </c>
      <c r="F44" s="570" t="s">
        <v>2517</v>
      </c>
      <c r="G44" s="573"/>
      <c r="H44" s="570"/>
      <c r="I44" s="570"/>
      <c r="J44" s="570"/>
      <c r="K44" s="570"/>
    </row>
    <row r="45" spans="1:13" x14ac:dyDescent="0.25">
      <c r="A45" s="31">
        <f>IF(D44 = "",A44+C44,A44+D44)</f>
        <v>44253.326388888898</v>
      </c>
      <c r="B45" s="37">
        <f>IF(D44 = "",B44+C44,B44+D44)</f>
        <v>44253.326388888898</v>
      </c>
      <c r="C45" s="36">
        <v>6.9444444444444441E-3</v>
      </c>
      <c r="D45" s="327" t="str">
        <f t="shared" si="0"/>
        <v/>
      </c>
      <c r="E45" s="37">
        <f t="shared" si="3"/>
        <v>44253.333333333343</v>
      </c>
      <c r="F45" s="570" t="s">
        <v>2518</v>
      </c>
      <c r="G45" s="573"/>
      <c r="H45" s="570"/>
      <c r="I45" s="570"/>
      <c r="J45" s="570"/>
      <c r="K45" s="570">
        <v>126.3</v>
      </c>
    </row>
    <row r="46" spans="1:13" x14ac:dyDescent="0.25">
      <c r="A46" s="1070" t="s">
        <v>2519</v>
      </c>
      <c r="B46" s="1070"/>
      <c r="C46" s="1070"/>
      <c r="D46" s="1070"/>
      <c r="E46" s="1070"/>
      <c r="F46" s="1070"/>
      <c r="G46" s="1071"/>
      <c r="H46" s="777"/>
      <c r="I46" s="777"/>
      <c r="J46" s="777"/>
      <c r="K46" s="777"/>
    </row>
    <row r="47" spans="1:13" x14ac:dyDescent="0.25">
      <c r="A47" s="31">
        <f>IF(D45 = "",A45+C45,A45+D45)</f>
        <v>44253.333333333343</v>
      </c>
      <c r="B47" s="37">
        <f>IF(D45 = "",B45+C45,B45+D45)</f>
        <v>44253.333333333343</v>
      </c>
      <c r="C47" s="36">
        <v>0</v>
      </c>
      <c r="D47" s="327"/>
      <c r="E47" s="37">
        <f>B47+C47</f>
        <v>44253.333333333343</v>
      </c>
      <c r="F47" s="570" t="s">
        <v>2518</v>
      </c>
      <c r="G47" s="573"/>
      <c r="H47" s="570"/>
      <c r="I47" s="570"/>
      <c r="J47" s="570"/>
      <c r="K47" s="570"/>
    </row>
    <row r="48" spans="1:13" x14ac:dyDescent="0.25">
      <c r="A48" s="31">
        <f>IF(D47 = "",A47+C47,A47+D47)</f>
        <v>44253.333333333343</v>
      </c>
      <c r="B48" s="37">
        <f>IF(D47 = "",B47+C47,B47+D47)</f>
        <v>44253.333333333343</v>
      </c>
      <c r="C48" s="36">
        <v>2.0833333333333332E-2</v>
      </c>
      <c r="D48" s="327" t="str">
        <f t="shared" si="0"/>
        <v/>
      </c>
      <c r="E48" s="37">
        <f t="shared" si="3"/>
        <v>44253.354166666679</v>
      </c>
      <c r="F48" s="570" t="s">
        <v>584</v>
      </c>
      <c r="G48" s="573"/>
      <c r="H48" s="570"/>
      <c r="I48" s="570"/>
      <c r="J48" s="570"/>
      <c r="K48" s="570">
        <v>51.2</v>
      </c>
    </row>
    <row r="49" spans="1:13" x14ac:dyDescent="0.25">
      <c r="A49" s="31">
        <f t="shared" ref="A49:A70" si="6">IF(D48 = "",A48+C48,A48+D48)</f>
        <v>44253.354166666679</v>
      </c>
      <c r="B49" s="37">
        <f t="shared" ref="B49:B70" si="7">IF(D48 = "",B48+C48,B48+D48)</f>
        <v>44253.354166666679</v>
      </c>
      <c r="C49" s="36">
        <v>2.0833333333333332E-2</v>
      </c>
      <c r="D49" s="327" t="str">
        <f t="shared" si="0"/>
        <v/>
      </c>
      <c r="E49" s="37">
        <f t="shared" si="3"/>
        <v>44253.375000000015</v>
      </c>
      <c r="F49" s="570" t="s">
        <v>2489</v>
      </c>
      <c r="G49" s="573"/>
      <c r="H49" s="570"/>
      <c r="I49" s="570"/>
      <c r="J49" s="570"/>
      <c r="K49" s="570">
        <v>610.20000000000005</v>
      </c>
    </row>
    <row r="50" spans="1:13" hidden="1" x14ac:dyDescent="0.25">
      <c r="A50" s="579">
        <f t="shared" si="6"/>
        <v>44253.375000000015</v>
      </c>
      <c r="B50" s="580">
        <f t="shared" si="7"/>
        <v>44253.375000000015</v>
      </c>
      <c r="C50" s="581">
        <v>0</v>
      </c>
      <c r="D50" s="556"/>
      <c r="E50" s="580">
        <f t="shared" si="3"/>
        <v>44253.375000000015</v>
      </c>
      <c r="F50" s="583" t="s">
        <v>693</v>
      </c>
      <c r="G50" s="582"/>
      <c r="H50" s="570"/>
      <c r="I50" s="570"/>
      <c r="J50" s="570"/>
      <c r="K50" s="570"/>
    </row>
    <row r="51" spans="1:13" x14ac:dyDescent="0.25">
      <c r="A51" s="31">
        <f t="shared" si="6"/>
        <v>44253.375000000015</v>
      </c>
      <c r="B51" s="37">
        <f t="shared" si="7"/>
        <v>44253.375000000015</v>
      </c>
      <c r="C51" s="36">
        <v>0.33333333333333331</v>
      </c>
      <c r="D51" s="327" t="str">
        <f t="shared" si="0"/>
        <v/>
      </c>
      <c r="E51" s="37">
        <f t="shared" si="3"/>
        <v>44253.70833333335</v>
      </c>
      <c r="F51" s="570" t="s">
        <v>2490</v>
      </c>
      <c r="G51" s="573"/>
      <c r="H51" s="570"/>
      <c r="I51" s="570"/>
      <c r="J51" s="570"/>
      <c r="K51" s="570">
        <v>550</v>
      </c>
    </row>
    <row r="52" spans="1:13" x14ac:dyDescent="0.25">
      <c r="A52" s="31">
        <f t="shared" si="6"/>
        <v>44253.70833333335</v>
      </c>
      <c r="B52" s="37">
        <f t="shared" si="7"/>
        <v>44253.70833333335</v>
      </c>
      <c r="C52" s="36">
        <v>0.3125</v>
      </c>
      <c r="D52" s="327" t="str">
        <f t="shared" si="0"/>
        <v/>
      </c>
      <c r="E52" s="37">
        <f t="shared" si="3"/>
        <v>44254.02083333335</v>
      </c>
      <c r="F52" s="570" t="s">
        <v>2491</v>
      </c>
      <c r="G52" s="573"/>
      <c r="H52" s="570"/>
      <c r="I52" s="570"/>
      <c r="J52" s="570"/>
      <c r="K52" s="570">
        <v>370</v>
      </c>
    </row>
    <row r="53" spans="1:13" hidden="1" x14ac:dyDescent="0.25">
      <c r="A53" s="579">
        <f t="shared" si="6"/>
        <v>44254.02083333335</v>
      </c>
      <c r="B53" s="580">
        <f t="shared" si="7"/>
        <v>44254.02083333335</v>
      </c>
      <c r="C53" s="581">
        <v>0</v>
      </c>
      <c r="D53" s="556" t="str">
        <f t="shared" si="0"/>
        <v/>
      </c>
      <c r="E53" s="580">
        <f>B53+C53</f>
        <v>44254.02083333335</v>
      </c>
      <c r="F53" s="583" t="s">
        <v>693</v>
      </c>
      <c r="G53" s="573"/>
      <c r="H53" s="570"/>
      <c r="I53" s="570"/>
      <c r="J53" s="570"/>
      <c r="K53" s="570"/>
    </row>
    <row r="54" spans="1:13" x14ac:dyDescent="0.25">
      <c r="A54" s="31">
        <f t="shared" si="6"/>
        <v>44254.02083333335</v>
      </c>
      <c r="B54" s="37">
        <f t="shared" si="7"/>
        <v>44254.02083333335</v>
      </c>
      <c r="C54" s="36">
        <v>8.3333333333333329E-2</v>
      </c>
      <c r="D54" s="327" t="str">
        <f t="shared" si="0"/>
        <v/>
      </c>
      <c r="E54" s="37">
        <f t="shared" si="3"/>
        <v>44254.104166666686</v>
      </c>
      <c r="F54" s="570" t="s">
        <v>2493</v>
      </c>
      <c r="G54" s="573"/>
      <c r="H54" s="570"/>
      <c r="I54" s="570"/>
      <c r="J54" s="570"/>
      <c r="K54" s="570">
        <v>815.2</v>
      </c>
    </row>
    <row r="55" spans="1:13" x14ac:dyDescent="0.25">
      <c r="A55" s="579">
        <f t="shared" si="6"/>
        <v>44254.104166666686</v>
      </c>
      <c r="B55" s="580">
        <f t="shared" si="7"/>
        <v>44254.104166666686</v>
      </c>
      <c r="C55" s="581">
        <v>2.25</v>
      </c>
      <c r="D55" s="556"/>
      <c r="E55" s="580"/>
      <c r="F55" s="583" t="s">
        <v>693</v>
      </c>
      <c r="G55" s="573"/>
      <c r="H55" s="570"/>
      <c r="I55" s="570"/>
      <c r="J55" s="570"/>
      <c r="K55" s="570"/>
    </row>
    <row r="56" spans="1:13" x14ac:dyDescent="0.25">
      <c r="A56" s="31">
        <f t="shared" si="6"/>
        <v>44256.354166666686</v>
      </c>
      <c r="B56" s="37">
        <f t="shared" si="7"/>
        <v>44256.354166666686</v>
      </c>
      <c r="C56" s="36">
        <v>6.25E-2</v>
      </c>
      <c r="D56" s="327" t="str">
        <f t="shared" si="0"/>
        <v/>
      </c>
      <c r="E56" s="37">
        <f t="shared" si="3"/>
        <v>44256.416666666686</v>
      </c>
      <c r="F56" s="570" t="s">
        <v>589</v>
      </c>
      <c r="G56" s="570"/>
      <c r="H56" s="570"/>
      <c r="I56" s="570"/>
      <c r="J56" s="570"/>
      <c r="K56" s="570"/>
    </row>
    <row r="57" spans="1:13" x14ac:dyDescent="0.25">
      <c r="A57" s="31">
        <f t="shared" si="6"/>
        <v>44256.416666666686</v>
      </c>
      <c r="B57" s="37">
        <f t="shared" si="7"/>
        <v>44256.416666666686</v>
      </c>
      <c r="C57" s="36">
        <v>4.1666666666666664E-2</v>
      </c>
      <c r="D57" s="327" t="str">
        <f t="shared" si="0"/>
        <v/>
      </c>
      <c r="E57" s="37">
        <f t="shared" si="3"/>
        <v>44256.45833333335</v>
      </c>
      <c r="F57" s="570" t="s">
        <v>628</v>
      </c>
      <c r="G57" s="570"/>
      <c r="H57" s="570"/>
      <c r="I57" s="570"/>
      <c r="J57" s="570"/>
      <c r="K57" s="570"/>
    </row>
    <row r="58" spans="1:13" hidden="1" x14ac:dyDescent="0.25">
      <c r="A58" s="604">
        <f t="shared" si="6"/>
        <v>44256.45833333335</v>
      </c>
      <c r="B58" s="605">
        <f t="shared" si="7"/>
        <v>44256.45833333335</v>
      </c>
      <c r="C58" s="701">
        <v>0</v>
      </c>
      <c r="D58" s="562"/>
      <c r="E58" s="605">
        <f>B58+C58</f>
        <v>44256.45833333335</v>
      </c>
      <c r="F58" s="702" t="s">
        <v>693</v>
      </c>
      <c r="G58" s="703"/>
      <c r="H58" s="704"/>
      <c r="I58" s="704"/>
      <c r="J58" s="704"/>
      <c r="K58" s="704"/>
    </row>
    <row r="59" spans="1:13" x14ac:dyDescent="0.25">
      <c r="A59" s="31">
        <f t="shared" si="6"/>
        <v>44256.45833333335</v>
      </c>
      <c r="B59" s="37">
        <f>IF(D58 = "",B58+C58,B58+D58)</f>
        <v>44256.45833333335</v>
      </c>
      <c r="C59" s="36">
        <v>4.1666666666666664E-2</v>
      </c>
      <c r="D59" s="327" t="str">
        <f t="shared" si="0"/>
        <v/>
      </c>
      <c r="E59" s="37">
        <f t="shared" si="3"/>
        <v>44256.500000000015</v>
      </c>
      <c r="F59" s="570" t="s">
        <v>2463</v>
      </c>
      <c r="G59" s="573"/>
      <c r="H59" s="570"/>
      <c r="I59" s="570"/>
      <c r="J59" s="570"/>
      <c r="K59" s="570">
        <v>99.8</v>
      </c>
      <c r="L59" s="570" t="s">
        <v>2520</v>
      </c>
      <c r="M59" s="570">
        <f>SUM(H59:K76)</f>
        <v>3778.1</v>
      </c>
    </row>
    <row r="60" spans="1:13" x14ac:dyDescent="0.25">
      <c r="A60" s="31">
        <f t="shared" si="6"/>
        <v>44256.500000000015</v>
      </c>
      <c r="B60" s="37">
        <f t="shared" si="7"/>
        <v>44256.500000000015</v>
      </c>
      <c r="C60" s="36" t="s">
        <v>99</v>
      </c>
      <c r="D60" s="327"/>
      <c r="E60" s="37" t="s">
        <v>99</v>
      </c>
      <c r="F60" s="576" t="s">
        <v>2521</v>
      </c>
      <c r="G60" s="573"/>
      <c r="H60" s="570"/>
      <c r="I60" s="570"/>
      <c r="J60" s="570"/>
      <c r="K60" s="570"/>
    </row>
    <row r="61" spans="1:13" x14ac:dyDescent="0.25">
      <c r="A61" s="31">
        <f>IF(D59 = "",A59+C59,A59+D59)</f>
        <v>44256.500000000015</v>
      </c>
      <c r="B61" s="37">
        <f>IF(D59 = "",B59+C59,B59+D59)</f>
        <v>44256.500000000015</v>
      </c>
      <c r="C61" s="36">
        <v>0.14583333333333334</v>
      </c>
      <c r="D61" s="327" t="str">
        <f t="shared" si="0"/>
        <v/>
      </c>
      <c r="E61" s="37">
        <f t="shared" si="3"/>
        <v>44256.64583333335</v>
      </c>
      <c r="F61" s="570" t="s">
        <v>589</v>
      </c>
      <c r="G61" s="573"/>
      <c r="H61" s="570"/>
      <c r="I61" s="570"/>
      <c r="J61" s="570"/>
      <c r="K61" s="570"/>
    </row>
    <row r="62" spans="1:13" x14ac:dyDescent="0.25">
      <c r="A62" s="31">
        <f t="shared" si="6"/>
        <v>44256.64583333335</v>
      </c>
      <c r="B62" s="37">
        <f t="shared" si="7"/>
        <v>44256.64583333335</v>
      </c>
      <c r="C62" s="36">
        <v>2.0833333333333332E-2</v>
      </c>
      <c r="D62" s="327" t="str">
        <f t="shared" si="0"/>
        <v/>
      </c>
      <c r="E62" s="37">
        <f t="shared" si="3"/>
        <v>44256.666666666686</v>
      </c>
      <c r="F62" s="570" t="s">
        <v>2522</v>
      </c>
      <c r="G62" s="573"/>
      <c r="H62" s="570"/>
      <c r="I62" s="570"/>
      <c r="J62" s="570">
        <v>50.5</v>
      </c>
      <c r="K62" s="570"/>
    </row>
    <row r="63" spans="1:13" x14ac:dyDescent="0.25">
      <c r="A63" s="31">
        <f t="shared" si="6"/>
        <v>44256.666666666686</v>
      </c>
      <c r="B63" s="37">
        <f t="shared" si="7"/>
        <v>44256.666666666686</v>
      </c>
      <c r="C63" s="36">
        <v>0.125</v>
      </c>
      <c r="D63" s="327" t="str">
        <f t="shared" si="0"/>
        <v/>
      </c>
      <c r="E63" s="37">
        <f t="shared" si="3"/>
        <v>44256.791666666686</v>
      </c>
      <c r="F63" s="570" t="s">
        <v>2523</v>
      </c>
      <c r="G63" s="573"/>
      <c r="H63" s="570"/>
      <c r="I63" s="570"/>
      <c r="J63" s="570">
        <v>400</v>
      </c>
      <c r="K63" s="570"/>
      <c r="L63" s="570" t="s">
        <v>2524</v>
      </c>
      <c r="M63" s="570">
        <f>SUM(K51:K52)</f>
        <v>920</v>
      </c>
    </row>
    <row r="64" spans="1:13" x14ac:dyDescent="0.25">
      <c r="A64" s="31">
        <f t="shared" si="6"/>
        <v>44256.791666666686</v>
      </c>
      <c r="B64" s="37">
        <f t="shared" si="7"/>
        <v>44256.791666666686</v>
      </c>
      <c r="C64" s="36">
        <v>0.125</v>
      </c>
      <c r="D64" s="327" t="str">
        <f t="shared" si="0"/>
        <v/>
      </c>
      <c r="E64" s="37">
        <f t="shared" si="3"/>
        <v>44256.916666666686</v>
      </c>
      <c r="F64" s="570" t="s">
        <v>2525</v>
      </c>
      <c r="G64" s="573"/>
      <c r="H64" s="570"/>
      <c r="I64" s="570"/>
      <c r="J64" s="570">
        <v>400</v>
      </c>
      <c r="K64" s="570"/>
    </row>
    <row r="65" spans="1:13" x14ac:dyDescent="0.25">
      <c r="A65" s="31">
        <f t="shared" si="6"/>
        <v>44256.916666666686</v>
      </c>
      <c r="B65" s="37">
        <f t="shared" si="7"/>
        <v>44256.916666666686</v>
      </c>
      <c r="C65" s="36">
        <v>0.125</v>
      </c>
      <c r="D65" s="327" t="str">
        <f t="shared" si="0"/>
        <v/>
      </c>
      <c r="E65" s="37">
        <f t="shared" si="3"/>
        <v>44257.041666666686</v>
      </c>
      <c r="F65" s="570" t="s">
        <v>2526</v>
      </c>
      <c r="G65" s="573"/>
      <c r="H65" s="570"/>
      <c r="I65" s="570"/>
      <c r="J65" s="570">
        <v>400</v>
      </c>
      <c r="K65" s="570"/>
    </row>
    <row r="66" spans="1:13" x14ac:dyDescent="0.25">
      <c r="A66" s="31">
        <f t="shared" si="6"/>
        <v>44257.041666666686</v>
      </c>
      <c r="B66" s="37">
        <f t="shared" si="7"/>
        <v>44257.041666666686</v>
      </c>
      <c r="C66" s="36">
        <v>0.10416666666666667</v>
      </c>
      <c r="D66" s="327" t="str">
        <f t="shared" si="0"/>
        <v/>
      </c>
      <c r="E66" s="37">
        <f t="shared" si="3"/>
        <v>44257.14583333335</v>
      </c>
      <c r="F66" s="570" t="s">
        <v>2527</v>
      </c>
      <c r="G66" s="573"/>
      <c r="H66" s="570"/>
      <c r="I66" s="570"/>
      <c r="J66" s="570">
        <v>300</v>
      </c>
      <c r="K66" s="570"/>
    </row>
    <row r="67" spans="1:13" x14ac:dyDescent="0.25">
      <c r="A67" s="31">
        <f t="shared" si="6"/>
        <v>44257.14583333335</v>
      </c>
      <c r="B67" s="37">
        <f t="shared" si="7"/>
        <v>44257.14583333335</v>
      </c>
      <c r="C67" s="36" t="s">
        <v>99</v>
      </c>
      <c r="D67" s="327"/>
      <c r="E67" s="37" t="s">
        <v>99</v>
      </c>
      <c r="F67" s="576" t="s">
        <v>2528</v>
      </c>
      <c r="G67" s="573"/>
      <c r="H67" s="570"/>
      <c r="I67" s="570"/>
      <c r="J67" s="570"/>
      <c r="K67" s="570"/>
    </row>
    <row r="68" spans="1:13" x14ac:dyDescent="0.25">
      <c r="A68" s="31">
        <f>IF(D66 = "",A66+C66,A66+D66)</f>
        <v>44257.14583333335</v>
      </c>
      <c r="B68" s="37">
        <f>IF(D66 = "",B66+C66,B66+D66)</f>
        <v>44257.14583333335</v>
      </c>
      <c r="C68" s="36">
        <v>2.0833333333333332E-2</v>
      </c>
      <c r="D68" s="327"/>
      <c r="E68" s="37">
        <f>B68+C68</f>
        <v>44257.166666666686</v>
      </c>
      <c r="F68" s="577" t="s">
        <v>2508</v>
      </c>
      <c r="G68" s="573"/>
      <c r="H68" s="570"/>
      <c r="I68" s="570"/>
      <c r="J68" s="570"/>
      <c r="K68" s="570"/>
    </row>
    <row r="69" spans="1:13" x14ac:dyDescent="0.25">
      <c r="A69" s="31">
        <f t="shared" si="6"/>
        <v>44257.166666666686</v>
      </c>
      <c r="B69" s="37">
        <f t="shared" si="7"/>
        <v>44257.166666666686</v>
      </c>
      <c r="C69" s="36">
        <v>6.25E-2</v>
      </c>
      <c r="D69" s="327" t="str">
        <f t="shared" si="0"/>
        <v/>
      </c>
      <c r="E69" s="37">
        <f t="shared" si="3"/>
        <v>44257.229166666686</v>
      </c>
      <c r="F69" s="570" t="s">
        <v>656</v>
      </c>
      <c r="G69" s="573"/>
      <c r="H69" s="570"/>
      <c r="I69" s="570"/>
      <c r="J69" s="570"/>
      <c r="K69" s="570"/>
    </row>
    <row r="70" spans="1:13" x14ac:dyDescent="0.25">
      <c r="A70" s="31">
        <f t="shared" si="6"/>
        <v>44257.229166666686</v>
      </c>
      <c r="B70" s="37">
        <f t="shared" si="7"/>
        <v>44257.229166666686</v>
      </c>
      <c r="C70" s="36">
        <v>1.3888888888888888E-2</v>
      </c>
      <c r="D70" s="327" t="str">
        <f t="shared" si="0"/>
        <v/>
      </c>
      <c r="E70" s="37">
        <f t="shared" si="3"/>
        <v>44257.243055555577</v>
      </c>
      <c r="F70" s="570" t="s">
        <v>2465</v>
      </c>
      <c r="G70" s="573"/>
      <c r="H70" s="570"/>
      <c r="I70" s="570"/>
      <c r="J70" s="570"/>
      <c r="K70" s="570">
        <v>130</v>
      </c>
    </row>
    <row r="71" spans="1:13" x14ac:dyDescent="0.25">
      <c r="A71" s="31">
        <f>IF(D70 = "",A70+C70,A70+D70)</f>
        <v>44257.243055555577</v>
      </c>
      <c r="B71" s="37">
        <f>IF(D70 = "",B70+C70,B70+D70)</f>
        <v>44257.243055555577</v>
      </c>
      <c r="C71" s="36">
        <v>1.3888888888888888E-2</v>
      </c>
      <c r="D71" s="327" t="str">
        <f t="shared" si="0"/>
        <v/>
      </c>
      <c r="E71" s="37">
        <f t="shared" si="3"/>
        <v>44257.256944444467</v>
      </c>
      <c r="F71" s="570" t="s">
        <v>2529</v>
      </c>
      <c r="G71" s="573"/>
      <c r="H71" s="570"/>
      <c r="I71" s="570"/>
      <c r="J71" s="570">
        <v>116.1</v>
      </c>
      <c r="K71" s="570"/>
    </row>
    <row r="72" spans="1:13" x14ac:dyDescent="0.25">
      <c r="A72" s="1070" t="s">
        <v>640</v>
      </c>
      <c r="B72" s="1070"/>
      <c r="C72" s="1070"/>
      <c r="D72" s="1070"/>
      <c r="E72" s="1070"/>
      <c r="F72" s="1070"/>
      <c r="G72" s="1071"/>
      <c r="H72" s="777"/>
      <c r="I72" s="777"/>
      <c r="J72" s="777"/>
      <c r="K72" s="777"/>
      <c r="L72" s="777"/>
      <c r="M72" s="777"/>
    </row>
    <row r="73" spans="1:13" x14ac:dyDescent="0.25">
      <c r="A73" s="31">
        <f>IF(D70 = "",A70+C70,A70+D70)</f>
        <v>44257.243055555577</v>
      </c>
      <c r="B73" s="37">
        <f>IF(D70 = "",B70+C70,B70+D70)</f>
        <v>44257.243055555577</v>
      </c>
      <c r="C73" s="261">
        <v>0</v>
      </c>
      <c r="D73" s="327"/>
      <c r="E73" s="37">
        <f>B73+C73</f>
        <v>44257.243055555577</v>
      </c>
      <c r="F73" s="570" t="s">
        <v>2465</v>
      </c>
      <c r="G73" s="573"/>
      <c r="H73" s="570"/>
      <c r="I73" s="570"/>
      <c r="J73" s="570"/>
      <c r="K73" s="570"/>
    </row>
    <row r="74" spans="1:13" x14ac:dyDescent="0.25">
      <c r="A74" s="31">
        <f>IF(D73 = "",A73+C73,A73+D73)</f>
        <v>44257.243055555577</v>
      </c>
      <c r="B74" s="37">
        <f>IF(D73 = "",B73+C73,B73+D73)</f>
        <v>44257.243055555577</v>
      </c>
      <c r="C74" s="261">
        <v>0</v>
      </c>
      <c r="D74" s="327"/>
      <c r="E74" s="37">
        <f t="shared" ref="E74:E86" si="8">B74+C74</f>
        <v>44257.243055555577</v>
      </c>
      <c r="F74" s="570" t="s">
        <v>2529</v>
      </c>
      <c r="G74" s="573"/>
      <c r="H74" s="570"/>
      <c r="I74" s="570"/>
      <c r="J74" s="570"/>
      <c r="K74" s="570"/>
    </row>
    <row r="75" spans="1:13" x14ac:dyDescent="0.25">
      <c r="A75" s="31">
        <f t="shared" ref="A75:A85" si="9">IF(D74 = "",A74+C74,A74+D74)</f>
        <v>44257.243055555577</v>
      </c>
      <c r="B75" s="37">
        <f t="shared" ref="B75:B85" si="10">IF(D74 = "",B74+C74,B74+D74)</f>
        <v>44257.243055555577</v>
      </c>
      <c r="C75" s="261">
        <v>6.25E-2</v>
      </c>
      <c r="D75" s="327"/>
      <c r="E75" s="37">
        <f t="shared" si="8"/>
        <v>44257.305555555577</v>
      </c>
      <c r="F75" s="578" t="s">
        <v>2530</v>
      </c>
      <c r="G75" s="573"/>
      <c r="H75" s="570"/>
      <c r="I75" s="570"/>
      <c r="J75" s="570"/>
      <c r="K75" s="570">
        <v>1621.7</v>
      </c>
    </row>
    <row r="76" spans="1:13" x14ac:dyDescent="0.25">
      <c r="A76" s="31">
        <f t="shared" si="9"/>
        <v>44257.305555555577</v>
      </c>
      <c r="B76" s="37">
        <f t="shared" si="10"/>
        <v>44257.305555555577</v>
      </c>
      <c r="C76" s="261">
        <v>0.15625</v>
      </c>
      <c r="D76" s="327" t="str">
        <f t="shared" si="0"/>
        <v/>
      </c>
      <c r="E76" s="37">
        <f t="shared" si="8"/>
        <v>44257.461805555577</v>
      </c>
      <c r="F76" s="476" t="s">
        <v>2475</v>
      </c>
      <c r="G76" s="573"/>
      <c r="H76" s="570"/>
      <c r="I76" s="570"/>
      <c r="J76" s="570"/>
      <c r="K76" s="570">
        <v>260</v>
      </c>
    </row>
    <row r="77" spans="1:13" x14ac:dyDescent="0.25">
      <c r="A77" s="31">
        <f t="shared" si="9"/>
        <v>44257.461805555577</v>
      </c>
      <c r="B77" s="37">
        <f t="shared" si="10"/>
        <v>44257.461805555577</v>
      </c>
      <c r="C77" s="261">
        <v>0.15625</v>
      </c>
      <c r="D77" s="327" t="str">
        <f t="shared" si="0"/>
        <v/>
      </c>
      <c r="E77" s="37">
        <f t="shared" si="8"/>
        <v>44257.618055555577</v>
      </c>
      <c r="F77" s="476" t="s">
        <v>2476</v>
      </c>
      <c r="G77" s="573"/>
      <c r="H77" s="570"/>
      <c r="I77" s="570"/>
      <c r="J77" s="570"/>
      <c r="K77" s="570">
        <v>260</v>
      </c>
      <c r="L77" s="188" t="s">
        <v>2531</v>
      </c>
      <c r="M77" s="188">
        <f>SUM(H77:K86)</f>
        <v>1763.8000000000002</v>
      </c>
    </row>
    <row r="78" spans="1:13" x14ac:dyDescent="0.25">
      <c r="A78" s="31">
        <f t="shared" si="9"/>
        <v>44257.618055555577</v>
      </c>
      <c r="B78" s="37">
        <f t="shared" si="10"/>
        <v>44257.618055555577</v>
      </c>
      <c r="C78" s="261">
        <v>0.15625</v>
      </c>
      <c r="D78" s="327" t="str">
        <f t="shared" si="0"/>
        <v/>
      </c>
      <c r="E78" s="37">
        <f t="shared" si="8"/>
        <v>44257.774305555577</v>
      </c>
      <c r="F78" s="476" t="s">
        <v>2477</v>
      </c>
      <c r="G78" s="573"/>
      <c r="H78" s="570"/>
      <c r="I78" s="570"/>
      <c r="J78" s="570"/>
      <c r="K78" s="570">
        <v>260</v>
      </c>
    </row>
    <row r="79" spans="1:13" x14ac:dyDescent="0.25">
      <c r="A79" s="31">
        <f t="shared" si="9"/>
        <v>44257.774305555577</v>
      </c>
      <c r="B79" s="37">
        <f t="shared" si="10"/>
        <v>44257.774305555577</v>
      </c>
      <c r="C79" s="261">
        <v>0.11458333333333333</v>
      </c>
      <c r="D79" s="327" t="str">
        <f t="shared" si="0"/>
        <v/>
      </c>
      <c r="E79" s="37">
        <f t="shared" si="8"/>
        <v>44257.888888888912</v>
      </c>
      <c r="F79" s="476" t="s">
        <v>647</v>
      </c>
      <c r="G79" s="573"/>
      <c r="H79" s="570"/>
      <c r="I79" s="570"/>
      <c r="J79" s="570"/>
      <c r="K79" s="570"/>
    </row>
    <row r="80" spans="1:13" x14ac:dyDescent="0.25">
      <c r="A80" s="31">
        <f t="shared" si="9"/>
        <v>44257.888888888912</v>
      </c>
      <c r="B80" s="37">
        <f t="shared" si="10"/>
        <v>44257.888888888912</v>
      </c>
      <c r="C80" s="261">
        <v>0.125</v>
      </c>
      <c r="D80" s="327" t="str">
        <f t="shared" si="0"/>
        <v/>
      </c>
      <c r="E80" s="37">
        <f t="shared" si="8"/>
        <v>44258.013888888912</v>
      </c>
      <c r="F80" s="476" t="s">
        <v>597</v>
      </c>
      <c r="G80" s="573"/>
      <c r="H80" s="570"/>
      <c r="I80" s="570"/>
      <c r="J80" s="570"/>
      <c r="K80" s="570"/>
    </row>
    <row r="81" spans="1:11" x14ac:dyDescent="0.25">
      <c r="A81" s="31">
        <f t="shared" si="9"/>
        <v>44258.013888888912</v>
      </c>
      <c r="B81" s="37">
        <f t="shared" si="10"/>
        <v>44258.013888888912</v>
      </c>
      <c r="C81" s="261">
        <v>3.125E-2</v>
      </c>
      <c r="D81" s="327" t="str">
        <f t="shared" si="0"/>
        <v/>
      </c>
      <c r="E81" s="37">
        <f t="shared" si="8"/>
        <v>44258.045138888912</v>
      </c>
      <c r="F81" s="476" t="s">
        <v>2461</v>
      </c>
      <c r="G81" s="573"/>
      <c r="H81" s="570"/>
      <c r="I81" s="570"/>
      <c r="J81" s="570"/>
      <c r="K81" s="570">
        <v>1206.9000000000001</v>
      </c>
    </row>
    <row r="82" spans="1:11" x14ac:dyDescent="0.25">
      <c r="A82" s="31">
        <f t="shared" si="9"/>
        <v>44258.045138888912</v>
      </c>
      <c r="B82" s="37">
        <f t="shared" si="10"/>
        <v>44258.045138888912</v>
      </c>
      <c r="C82" s="261">
        <v>0.11458333333333333</v>
      </c>
      <c r="D82" s="327" t="str">
        <f t="shared" si="0"/>
        <v/>
      </c>
      <c r="E82" s="37">
        <f t="shared" si="8"/>
        <v>44258.159722222248</v>
      </c>
      <c r="F82" s="476" t="s">
        <v>647</v>
      </c>
      <c r="G82" s="573"/>
      <c r="H82" s="570"/>
      <c r="I82" s="570"/>
      <c r="J82" s="570"/>
      <c r="K82" s="570"/>
    </row>
    <row r="83" spans="1:11" x14ac:dyDescent="0.25">
      <c r="A83" s="31">
        <f t="shared" si="9"/>
        <v>44258.159722222248</v>
      </c>
      <c r="B83" s="37">
        <f t="shared" si="10"/>
        <v>44258.159722222248</v>
      </c>
      <c r="C83" s="261">
        <v>4.1666666666666664E-2</v>
      </c>
      <c r="D83" s="327" t="str">
        <f t="shared" si="0"/>
        <v/>
      </c>
      <c r="E83" s="37">
        <f t="shared" si="8"/>
        <v>44258.201388888912</v>
      </c>
      <c r="F83" s="476" t="s">
        <v>648</v>
      </c>
      <c r="G83" s="573"/>
      <c r="H83" s="570"/>
      <c r="I83" s="570"/>
      <c r="J83" s="570"/>
      <c r="K83" s="570"/>
    </row>
    <row r="84" spans="1:11" x14ac:dyDescent="0.25">
      <c r="A84" s="31">
        <f t="shared" si="9"/>
        <v>44258.201388888912</v>
      </c>
      <c r="B84" s="37">
        <f t="shared" si="10"/>
        <v>44258.201388888912</v>
      </c>
      <c r="C84" s="261">
        <v>2.0833333333333332E-2</v>
      </c>
      <c r="D84" s="327" t="str">
        <f t="shared" si="0"/>
        <v/>
      </c>
      <c r="E84" s="37">
        <f t="shared" si="8"/>
        <v>44258.222222222248</v>
      </c>
      <c r="F84" s="476" t="s">
        <v>598</v>
      </c>
      <c r="G84" s="573"/>
      <c r="H84" s="570"/>
      <c r="I84" s="570"/>
      <c r="J84" s="570"/>
      <c r="K84" s="570">
        <v>36.9</v>
      </c>
    </row>
    <row r="85" spans="1:11" x14ac:dyDescent="0.25">
      <c r="A85" s="31">
        <f t="shared" si="9"/>
        <v>44258.222222222248</v>
      </c>
      <c r="B85" s="37">
        <f t="shared" si="10"/>
        <v>44258.222222222248</v>
      </c>
      <c r="C85" s="261" t="s">
        <v>99</v>
      </c>
      <c r="D85" s="327"/>
      <c r="E85" s="37" t="s">
        <v>99</v>
      </c>
      <c r="F85" s="484" t="s">
        <v>2532</v>
      </c>
      <c r="G85" s="573"/>
      <c r="H85" s="570"/>
      <c r="I85" s="570"/>
      <c r="J85" s="570"/>
      <c r="K85" s="570"/>
    </row>
    <row r="86" spans="1:11" x14ac:dyDescent="0.25">
      <c r="A86" s="31">
        <f>IF(D84 = "",A84+C84,A84+D84)</f>
        <v>44258.222222222248</v>
      </c>
      <c r="B86" s="37">
        <f>IF(D84 = "",B84+C84,B84+D84)</f>
        <v>44258.222222222248</v>
      </c>
      <c r="C86" s="261">
        <v>0.10416666666666667</v>
      </c>
      <c r="D86" s="327" t="str">
        <f t="shared" si="0"/>
        <v/>
      </c>
      <c r="E86" s="37">
        <f t="shared" si="8"/>
        <v>44258.326388888912</v>
      </c>
      <c r="F86" s="476" t="s">
        <v>656</v>
      </c>
      <c r="G86" s="573"/>
      <c r="H86" s="570"/>
      <c r="I86" s="570"/>
      <c r="J86" s="570"/>
      <c r="K86" s="570"/>
    </row>
    <row r="87" spans="1:11" x14ac:dyDescent="0.25">
      <c r="A87" s="485"/>
      <c r="B87" s="33" t="s">
        <v>534</v>
      </c>
      <c r="C87" s="32">
        <f>SUM(C86,C75:C84,C69:C71,C61:C66,C48:C59,C40:C45,C34:C37,C26:C32,C15:C24)</f>
        <v>7.6319444444444455</v>
      </c>
      <c r="D87" s="32">
        <f>SUM(D86,D75:D84,D69:D71,D61:D66,D48:D59,D40:D45,D34:D37,D26:D32,D15:D24)</f>
        <v>0</v>
      </c>
      <c r="G87" s="243" t="s">
        <v>535</v>
      </c>
      <c r="H87" s="266">
        <f>SUM(H15:H86)</f>
        <v>750</v>
      </c>
      <c r="I87" s="266">
        <f>SUM(I15:I86)</f>
        <v>196.2</v>
      </c>
      <c r="J87" s="266">
        <f>SUM(J15:J86)</f>
        <v>1666.6</v>
      </c>
      <c r="K87" s="266">
        <f>SUM(K15:K86)</f>
        <v>11776.570949999999</v>
      </c>
    </row>
    <row r="88" spans="1:11" x14ac:dyDescent="0.25">
      <c r="B88" s="31" t="s">
        <v>536</v>
      </c>
      <c r="C88" s="112">
        <f>(C87/24)</f>
        <v>0.31799768518518523</v>
      </c>
      <c r="D88" s="112">
        <f>(D87/24)</f>
        <v>0</v>
      </c>
      <c r="G88" s="26"/>
      <c r="H88" s="26"/>
      <c r="I88" s="26"/>
      <c r="J88" s="26"/>
    </row>
    <row r="89" spans="1:11" x14ac:dyDescent="0.25">
      <c r="C89" s="262"/>
      <c r="D89" s="262"/>
      <c r="G89" s="26"/>
      <c r="H89" s="26"/>
      <c r="I89" s="26"/>
      <c r="J89" s="26"/>
    </row>
    <row r="90" spans="1:11" x14ac:dyDescent="0.25">
      <c r="G90" s="26"/>
      <c r="H90" s="26"/>
      <c r="I90" s="26"/>
      <c r="J90" s="26"/>
    </row>
    <row r="91" spans="1:11" x14ac:dyDescent="0.25">
      <c r="G91" s="26"/>
      <c r="H91" s="26"/>
      <c r="I91" s="26"/>
      <c r="J91" s="26"/>
    </row>
    <row r="92" spans="1:11" x14ac:dyDescent="0.25">
      <c r="G92" s="26"/>
      <c r="H92" s="26"/>
      <c r="I92" s="26"/>
      <c r="J92" s="26"/>
    </row>
    <row r="93" spans="1:11" x14ac:dyDescent="0.25">
      <c r="G93" s="26"/>
      <c r="H93" s="26"/>
      <c r="I93" s="26"/>
      <c r="J93" s="26"/>
    </row>
    <row r="94" spans="1:11" x14ac:dyDescent="0.25">
      <c r="G94" s="26"/>
      <c r="H94" s="26"/>
      <c r="I94" s="26"/>
      <c r="J94" s="26"/>
    </row>
    <row r="95" spans="1:11" x14ac:dyDescent="0.25">
      <c r="G95" s="26"/>
      <c r="H95" s="26"/>
      <c r="I95" s="26"/>
      <c r="J95" s="26"/>
    </row>
    <row r="96" spans="1:11" x14ac:dyDescent="0.25">
      <c r="G96" s="26"/>
      <c r="H96" s="26"/>
      <c r="I96" s="26"/>
      <c r="J96" s="26"/>
    </row>
    <row r="97" spans="6:10" x14ac:dyDescent="0.25">
      <c r="G97" s="26"/>
      <c r="H97" s="26"/>
      <c r="I97" s="26"/>
      <c r="J97" s="26"/>
    </row>
    <row r="98" spans="6:10" x14ac:dyDescent="0.25">
      <c r="G98" s="26"/>
      <c r="H98" s="26"/>
      <c r="I98" s="26"/>
      <c r="J98" s="26"/>
    </row>
    <row r="99" spans="6:10" x14ac:dyDescent="0.25">
      <c r="G99" s="26"/>
      <c r="H99" s="26"/>
      <c r="I99" s="26"/>
      <c r="J99" s="26"/>
    </row>
    <row r="100" spans="6:10" x14ac:dyDescent="0.25">
      <c r="G100" s="26"/>
      <c r="H100" s="26"/>
      <c r="I100" s="26"/>
      <c r="J100" s="26"/>
    </row>
    <row r="101" spans="6:10" x14ac:dyDescent="0.25">
      <c r="G101" s="26"/>
      <c r="H101" s="26"/>
      <c r="I101" s="26"/>
      <c r="J101" s="26"/>
    </row>
    <row r="102" spans="6:10" x14ac:dyDescent="0.25">
      <c r="G102" s="26"/>
      <c r="H102" s="26"/>
      <c r="I102" s="26"/>
      <c r="J102" s="26"/>
    </row>
    <row r="103" spans="6:10" x14ac:dyDescent="0.25">
      <c r="G103" s="26"/>
      <c r="H103" s="26"/>
      <c r="I103" s="26"/>
      <c r="J103" s="26"/>
    </row>
    <row r="104" spans="6:10" x14ac:dyDescent="0.25">
      <c r="G104" s="26"/>
      <c r="H104" s="26"/>
      <c r="I104" s="26"/>
      <c r="J104" s="26"/>
    </row>
    <row r="105" spans="6:10" x14ac:dyDescent="0.25">
      <c r="G105" s="26"/>
      <c r="H105" s="26"/>
      <c r="I105" s="26"/>
      <c r="J105" s="26"/>
    </row>
    <row r="106" spans="6:10" x14ac:dyDescent="0.25">
      <c r="G106" s="26"/>
      <c r="H106" s="26"/>
      <c r="I106" s="26"/>
      <c r="J106" s="26"/>
    </row>
    <row r="107" spans="6:10" x14ac:dyDescent="0.25">
      <c r="G107" s="26"/>
      <c r="H107" s="26"/>
      <c r="I107" s="26"/>
      <c r="J107" s="26"/>
    </row>
    <row r="108" spans="6:10" x14ac:dyDescent="0.25">
      <c r="F108" s="26"/>
    </row>
    <row r="109" spans="6:10" x14ac:dyDescent="0.25">
      <c r="F109" s="26"/>
    </row>
  </sheetData>
  <mergeCells count="6">
    <mergeCell ref="A72:G72"/>
    <mergeCell ref="A1:B1"/>
    <mergeCell ref="A5:D5"/>
    <mergeCell ref="A14:G14"/>
    <mergeCell ref="A38:G38"/>
    <mergeCell ref="A46:G46"/>
  </mergeCells>
  <pageMargins left="0.75" right="0.75" top="1" bottom="1" header="0.5" footer="0.5"/>
  <pageSetup orientation="portrait" r:id="rId1"/>
  <headerFooter alignWithMargins="0">
    <oddFooter>&amp;R&amp;"Arial,Regular"&amp;08&amp;K7F7F7FAmgen Proprietary - Confidential   &amp;C&amp;"Calibri"&amp;11&amp;K000000&amp;"Arial,Regular"&amp;08&amp;K7F7F7FAmgen Proprietary - For Internal Use Only_x000D_&amp;1#&amp;"Calibri"&amp;10&amp;K000000 Non-Amgen</oddFooter>
    <evenFooter>&amp;R&amp;"Arial,Regular"&amp;08&amp;K7F7F7FAmgen Proprietary - Confidential   &amp;C&amp;"Arial,Regular"&amp;08&amp;K7F7F7FAmgen Proprietary - For Internal Use Only</evenFooter>
    <firstFooter>&amp;R&amp;"Arial,Regular"&amp;08&amp;K7F7F7FAmgen Proprietary - Confidential   &amp;C&amp;"Arial,Regular"&amp;08&amp;K7F7F7FAmgen Proprietary - For Internal Use Only</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B0A184-B7CA-4898-8328-00CE889578A9}">
  <sheetPr codeName="Sheet18">
    <pageSetUpPr autoPageBreaks="0"/>
  </sheetPr>
  <dimension ref="A1:J44"/>
  <sheetViews>
    <sheetView zoomScale="120" zoomScaleNormal="120" workbookViewId="0">
      <selection activeCell="C7" sqref="A7:C7"/>
    </sheetView>
  </sheetViews>
  <sheetFormatPr defaultColWidth="23.453125" defaultRowHeight="11.5" x14ac:dyDescent="0.25"/>
  <cols>
    <col min="1" max="1" width="23.54296875" style="25" bestFit="1" customWidth="1"/>
    <col min="2" max="2" width="34.453125" style="25" customWidth="1"/>
    <col min="3" max="3" width="23.453125" style="25"/>
    <col min="4" max="4" width="22.453125" style="25" customWidth="1"/>
    <col min="5" max="5" width="23.453125" style="25"/>
    <col min="6" max="6" width="51.453125" style="25" customWidth="1"/>
    <col min="7" max="7" width="27.453125" style="25" customWidth="1"/>
    <col min="8" max="8" width="9" style="25" bestFit="1" customWidth="1"/>
    <col min="9" max="10" width="9" style="25" customWidth="1"/>
    <col min="11" max="16384" width="23.453125" style="25"/>
  </cols>
  <sheetData>
    <row r="1" spans="1:10" ht="12" thickBot="1" x14ac:dyDescent="0.3">
      <c r="A1" s="1053" t="s">
        <v>479</v>
      </c>
      <c r="B1" s="1054"/>
    </row>
    <row r="2" spans="1:10" x14ac:dyDescent="0.25">
      <c r="A2" s="43" t="s">
        <v>480</v>
      </c>
      <c r="B2" s="241">
        <f>A11</f>
        <v>44260.041666666664</v>
      </c>
    </row>
    <row r="3" spans="1:10" ht="12" thickBot="1" x14ac:dyDescent="0.3">
      <c r="A3" s="42" t="s">
        <v>482</v>
      </c>
      <c r="B3" s="239">
        <f>A11</f>
        <v>44260.041666666664</v>
      </c>
    </row>
    <row r="5" spans="1:10" x14ac:dyDescent="0.25">
      <c r="A5" s="1072" t="s">
        <v>484</v>
      </c>
      <c r="B5" s="1073"/>
      <c r="C5" s="1073"/>
      <c r="D5" s="1073"/>
    </row>
    <row r="6" spans="1:10" x14ac:dyDescent="0.25">
      <c r="A6" s="781" t="s">
        <v>485</v>
      </c>
      <c r="B6" s="781" t="s">
        <v>486</v>
      </c>
      <c r="C6" s="781" t="s">
        <v>487</v>
      </c>
      <c r="D6" s="781" t="s">
        <v>488</v>
      </c>
    </row>
    <row r="7" spans="1:10" x14ac:dyDescent="0.25">
      <c r="A7" s="41" t="str">
        <f>F14</f>
        <v>IPC1.0: Reaction Conversion</v>
      </c>
      <c r="B7" s="40">
        <f>INDEX($A$11:$A$56,MATCH(A7,$F$11:$F$56,0))</f>
        <v>44260.322916666672</v>
      </c>
      <c r="C7" s="37">
        <f>B14</f>
        <v>44260.322916666672</v>
      </c>
      <c r="D7" s="297"/>
    </row>
    <row r="8" spans="1:10" x14ac:dyDescent="0.25">
      <c r="A8" s="41" t="str">
        <f>F19</f>
        <v>IPC2.0: LOD (Analyzed by MFG)</v>
      </c>
      <c r="B8" s="40">
        <f>INDEX($A$11:$A$59,MATCH(A8,$F$11:$F$56,0))</f>
        <v>44261.104166666679</v>
      </c>
      <c r="C8" s="37">
        <f>B19</f>
        <v>44261.104166666679</v>
      </c>
      <c r="D8" s="297"/>
    </row>
    <row r="10" spans="1:10" ht="23.5" thickBot="1" x14ac:dyDescent="0.3">
      <c r="A10" s="749" t="s">
        <v>492</v>
      </c>
      <c r="B10" s="749" t="s">
        <v>493</v>
      </c>
      <c r="C10" s="749" t="s">
        <v>494</v>
      </c>
      <c r="D10" s="86" t="s">
        <v>495</v>
      </c>
      <c r="E10" s="749" t="s">
        <v>540</v>
      </c>
      <c r="F10" s="749" t="s">
        <v>541</v>
      </c>
      <c r="G10" s="749" t="s">
        <v>498</v>
      </c>
      <c r="H10" s="184" t="s">
        <v>204</v>
      </c>
      <c r="I10" s="184" t="s">
        <v>668</v>
      </c>
      <c r="J10" s="184" t="s">
        <v>138</v>
      </c>
    </row>
    <row r="11" spans="1:10" x14ac:dyDescent="0.25">
      <c r="A11" s="31">
        <v>44260.041666666664</v>
      </c>
      <c r="B11" s="38">
        <f>A11</f>
        <v>44260.041666666664</v>
      </c>
      <c r="C11" s="705">
        <v>4.1666666666666664E-2</v>
      </c>
      <c r="D11" s="116">
        <v>2.0833333333333332E-2</v>
      </c>
      <c r="E11" s="317">
        <f>B11+C11</f>
        <v>44260.083333333328</v>
      </c>
      <c r="F11" s="264" t="s">
        <v>669</v>
      </c>
      <c r="G11" s="78"/>
      <c r="H11" s="180"/>
      <c r="I11" s="180"/>
      <c r="J11" s="180"/>
    </row>
    <row r="12" spans="1:10" ht="12.75" customHeight="1" x14ac:dyDescent="0.25">
      <c r="A12" s="31">
        <f>IF(D11 = "",A11+C11,A11+D11)</f>
        <v>44260.0625</v>
      </c>
      <c r="B12" s="38">
        <f>IF(D11 = "",B11+C11,B11+D11)</f>
        <v>44260.0625</v>
      </c>
      <c r="C12" s="170">
        <v>6.25E-2</v>
      </c>
      <c r="D12" s="116">
        <v>5.2083333333333336E-2</v>
      </c>
      <c r="E12" s="317">
        <f t="shared" ref="E12:E20" si="0">B12+C12</f>
        <v>44260.125</v>
      </c>
      <c r="F12" s="264" t="s">
        <v>670</v>
      </c>
      <c r="G12" s="35"/>
      <c r="H12" s="181"/>
      <c r="I12" s="181"/>
      <c r="J12" s="181"/>
    </row>
    <row r="13" spans="1:10" ht="12.75" customHeight="1" x14ac:dyDescent="0.25">
      <c r="A13" s="31">
        <f t="shared" ref="A13:A20" si="1">IF(D12 = "",A12+C12,A12+D12)</f>
        <v>44260.114583333336</v>
      </c>
      <c r="B13" s="38">
        <f t="shared" ref="B13:B20" si="2">IF(D12 = "",B12+C12,B12+D12)</f>
        <v>44260.114583333336</v>
      </c>
      <c r="C13" s="170">
        <v>0.20833333333333334</v>
      </c>
      <c r="D13" s="116"/>
      <c r="E13" s="317">
        <f t="shared" si="0"/>
        <v>44260.322916666672</v>
      </c>
      <c r="F13" s="264" t="s">
        <v>671</v>
      </c>
      <c r="G13" s="39"/>
      <c r="H13" s="773"/>
      <c r="I13" s="773"/>
      <c r="J13" s="773"/>
    </row>
    <row r="14" spans="1:10" ht="13.5" customHeight="1" x14ac:dyDescent="0.25">
      <c r="A14" s="31">
        <f t="shared" si="1"/>
        <v>44260.322916666672</v>
      </c>
      <c r="B14" s="38">
        <f t="shared" si="2"/>
        <v>44260.322916666672</v>
      </c>
      <c r="C14" s="170">
        <v>0.11458333333333333</v>
      </c>
      <c r="D14" s="116"/>
      <c r="E14" s="317">
        <f t="shared" si="0"/>
        <v>44260.437500000007</v>
      </c>
      <c r="F14" s="295" t="s">
        <v>546</v>
      </c>
      <c r="G14" s="35"/>
      <c r="H14" s="181"/>
      <c r="I14" s="181"/>
      <c r="J14" s="181"/>
    </row>
    <row r="15" spans="1:10" x14ac:dyDescent="0.25">
      <c r="A15" s="31">
        <f t="shared" si="1"/>
        <v>44260.437500000007</v>
      </c>
      <c r="B15" s="38">
        <f t="shared" si="2"/>
        <v>44260.437500000007</v>
      </c>
      <c r="C15" s="172">
        <v>0.1875</v>
      </c>
      <c r="D15" s="116"/>
      <c r="E15" s="317">
        <f t="shared" si="0"/>
        <v>44260.625000000007</v>
      </c>
      <c r="F15" s="264" t="s">
        <v>548</v>
      </c>
      <c r="G15" s="35"/>
      <c r="H15" s="181"/>
      <c r="I15" s="181"/>
      <c r="J15" s="181"/>
    </row>
    <row r="16" spans="1:10" ht="13.5" customHeight="1" x14ac:dyDescent="0.25">
      <c r="A16" s="31">
        <f t="shared" si="1"/>
        <v>44260.625000000007</v>
      </c>
      <c r="B16" s="38">
        <f t="shared" si="2"/>
        <v>44260.625000000007</v>
      </c>
      <c r="C16" s="172">
        <v>3.125E-2</v>
      </c>
      <c r="D16" s="116"/>
      <c r="E16" s="317">
        <f t="shared" si="0"/>
        <v>44260.656250000007</v>
      </c>
      <c r="F16" s="264" t="s">
        <v>549</v>
      </c>
      <c r="G16" s="35"/>
      <c r="H16" s="265">
        <v>44.9</v>
      </c>
      <c r="I16" s="265">
        <v>162.19999999999999</v>
      </c>
      <c r="J16" s="265">
        <v>80.5</v>
      </c>
    </row>
    <row r="17" spans="1:10" ht="12" customHeight="1" x14ac:dyDescent="0.25">
      <c r="A17" s="31">
        <f t="shared" si="1"/>
        <v>44260.656250000007</v>
      </c>
      <c r="B17" s="38">
        <f t="shared" si="2"/>
        <v>44260.656250000007</v>
      </c>
      <c r="C17" s="172">
        <v>8.3333333333333329E-2</v>
      </c>
      <c r="D17" s="116"/>
      <c r="E17" s="317">
        <f t="shared" si="0"/>
        <v>44260.739583333343</v>
      </c>
      <c r="F17" s="264" t="s">
        <v>672</v>
      </c>
      <c r="G17" s="39"/>
      <c r="H17" s="773"/>
      <c r="I17" s="773">
        <v>60.9</v>
      </c>
      <c r="J17" s="773"/>
    </row>
    <row r="18" spans="1:10" ht="12.75" customHeight="1" x14ac:dyDescent="0.25">
      <c r="A18" s="31">
        <f t="shared" si="1"/>
        <v>44260.739583333343</v>
      </c>
      <c r="B18" s="38">
        <f t="shared" si="2"/>
        <v>44260.739583333343</v>
      </c>
      <c r="C18" s="172">
        <v>0.36458333333333331</v>
      </c>
      <c r="D18" s="116"/>
      <c r="E18" s="317">
        <f t="shared" si="0"/>
        <v>44261.104166666679</v>
      </c>
      <c r="F18" s="240" t="s">
        <v>551</v>
      </c>
      <c r="G18" s="35"/>
      <c r="H18" s="773"/>
      <c r="I18" s="773"/>
      <c r="J18" s="773"/>
    </row>
    <row r="19" spans="1:10" x14ac:dyDescent="0.25">
      <c r="A19" s="31">
        <f t="shared" si="1"/>
        <v>44261.104166666679</v>
      </c>
      <c r="B19" s="38">
        <f t="shared" si="2"/>
        <v>44261.104166666679</v>
      </c>
      <c r="C19" s="170">
        <v>2.0833333333333332E-2</v>
      </c>
      <c r="D19" s="116"/>
      <c r="E19" s="317">
        <f t="shared" si="0"/>
        <v>44261.125000000015</v>
      </c>
      <c r="F19" s="295" t="s">
        <v>673</v>
      </c>
      <c r="G19" s="35"/>
      <c r="H19" s="773"/>
      <c r="I19" s="773"/>
      <c r="J19" s="773"/>
    </row>
    <row r="20" spans="1:10" x14ac:dyDescent="0.25">
      <c r="A20" s="31">
        <f t="shared" si="1"/>
        <v>44261.125000000015</v>
      </c>
      <c r="B20" s="38">
        <f t="shared" si="2"/>
        <v>44261.125000000015</v>
      </c>
      <c r="C20" s="170">
        <v>5.2083333333333336E-2</v>
      </c>
      <c r="D20" s="116"/>
      <c r="E20" s="317">
        <f t="shared" si="0"/>
        <v>44261.17708333335</v>
      </c>
      <c r="F20" s="264" t="s">
        <v>554</v>
      </c>
      <c r="G20" s="178"/>
      <c r="H20" s="773"/>
      <c r="I20" s="773"/>
      <c r="J20" s="773"/>
    </row>
    <row r="21" spans="1:10" ht="21" x14ac:dyDescent="0.55000000000000004">
      <c r="A21" s="34"/>
      <c r="B21" s="33" t="s">
        <v>534</v>
      </c>
      <c r="C21" s="32">
        <f>SUM(C11:C20)</f>
        <v>1.1666666666666665</v>
      </c>
      <c r="D21" s="32">
        <f>SUM(D11:D20)</f>
        <v>7.2916666666666671E-2</v>
      </c>
      <c r="G21" s="243" t="s">
        <v>535</v>
      </c>
      <c r="H21" s="266">
        <f>SUM(H11:H20)</f>
        <v>44.9</v>
      </c>
      <c r="I21" s="266">
        <f t="shared" ref="I21:J21" si="3">SUM(I11:I20)</f>
        <v>223.1</v>
      </c>
      <c r="J21" s="266">
        <f t="shared" si="3"/>
        <v>80.5</v>
      </c>
    </row>
    <row r="22" spans="1:10" x14ac:dyDescent="0.25">
      <c r="B22" s="31" t="s">
        <v>536</v>
      </c>
      <c r="C22" s="30">
        <f>(C21*60)/1440</f>
        <v>4.8611111111111098E-2</v>
      </c>
      <c r="D22" s="30">
        <f>(D21*60)/1440</f>
        <v>3.0381944444444445E-3</v>
      </c>
      <c r="G22" s="26"/>
      <c r="H22" s="26"/>
      <c r="I22" s="26"/>
      <c r="J22" s="26"/>
    </row>
    <row r="23" spans="1:10" x14ac:dyDescent="0.25">
      <c r="C23" s="774"/>
      <c r="G23" s="26"/>
      <c r="H23" s="26"/>
      <c r="I23" s="26"/>
      <c r="J23" s="26"/>
    </row>
    <row r="24" spans="1:10" x14ac:dyDescent="0.25">
      <c r="G24" s="26"/>
      <c r="H24" s="26"/>
      <c r="I24" s="26"/>
      <c r="J24" s="26"/>
    </row>
    <row r="25" spans="1:10" hidden="1" x14ac:dyDescent="0.25">
      <c r="A25" s="1053" t="s">
        <v>555</v>
      </c>
      <c r="B25" s="1054"/>
      <c r="G25" s="26"/>
      <c r="H25" s="26"/>
      <c r="I25" s="26"/>
      <c r="J25" s="26"/>
    </row>
    <row r="26" spans="1:10" hidden="1" x14ac:dyDescent="0.25">
      <c r="A26" s="781" t="s">
        <v>556</v>
      </c>
      <c r="B26" s="29" t="e">
        <f>MAX(A18,#REF!)</f>
        <v>#REF!</v>
      </c>
      <c r="G26" s="26"/>
      <c r="H26" s="26"/>
      <c r="I26" s="26"/>
      <c r="J26" s="26"/>
    </row>
    <row r="27" spans="1:10" hidden="1" x14ac:dyDescent="0.25">
      <c r="A27" s="781" t="s">
        <v>557</v>
      </c>
      <c r="B27" s="28" t="e">
        <f>MAX((#REF!+#REF!),(B18+C18))</f>
        <v>#REF!</v>
      </c>
      <c r="G27" s="26"/>
      <c r="H27" s="26"/>
      <c r="I27" s="26"/>
      <c r="J27" s="26"/>
    </row>
    <row r="28" spans="1:10" x14ac:dyDescent="0.25">
      <c r="G28" s="26"/>
      <c r="H28" s="26"/>
      <c r="I28" s="26"/>
      <c r="J28" s="26"/>
    </row>
    <row r="29" spans="1:10" x14ac:dyDescent="0.25">
      <c r="G29" s="26"/>
      <c r="H29" s="26"/>
      <c r="I29" s="26"/>
      <c r="J29" s="26"/>
    </row>
    <row r="30" spans="1:10" x14ac:dyDescent="0.25">
      <c r="G30" s="26"/>
      <c r="H30" s="26"/>
      <c r="I30" s="26"/>
      <c r="J30" s="26"/>
    </row>
    <row r="31" spans="1:10" x14ac:dyDescent="0.25">
      <c r="G31" s="26"/>
      <c r="H31" s="26"/>
      <c r="I31" s="26"/>
      <c r="J31" s="26"/>
    </row>
    <row r="32" spans="1:10" x14ac:dyDescent="0.25">
      <c r="C32" s="27"/>
      <c r="D32" s="27"/>
      <c r="G32" s="26"/>
      <c r="H32" s="26"/>
      <c r="I32" s="26"/>
      <c r="J32" s="26"/>
    </row>
    <row r="33" spans="6:10" x14ac:dyDescent="0.25">
      <c r="G33" s="26"/>
      <c r="H33" s="26"/>
      <c r="I33" s="26"/>
      <c r="J33" s="26"/>
    </row>
    <row r="34" spans="6:10" x14ac:dyDescent="0.25">
      <c r="G34" s="26"/>
      <c r="H34" s="26"/>
      <c r="I34" s="26"/>
      <c r="J34" s="26"/>
    </row>
    <row r="35" spans="6:10" x14ac:dyDescent="0.25">
      <c r="G35" s="26"/>
      <c r="H35" s="26"/>
      <c r="I35" s="26"/>
      <c r="J35" s="26"/>
    </row>
    <row r="36" spans="6:10" x14ac:dyDescent="0.25">
      <c r="G36" s="26"/>
      <c r="H36" s="26"/>
      <c r="I36" s="26"/>
      <c r="J36" s="26"/>
    </row>
    <row r="37" spans="6:10" x14ac:dyDescent="0.25">
      <c r="G37" s="26"/>
      <c r="H37" s="26"/>
      <c r="I37" s="26"/>
      <c r="J37" s="26"/>
    </row>
    <row r="38" spans="6:10" x14ac:dyDescent="0.25">
      <c r="G38" s="26"/>
      <c r="H38" s="26"/>
      <c r="I38" s="26"/>
      <c r="J38" s="26"/>
    </row>
    <row r="39" spans="6:10" x14ac:dyDescent="0.25">
      <c r="G39" s="26"/>
      <c r="H39" s="26"/>
      <c r="I39" s="26"/>
      <c r="J39" s="26"/>
    </row>
    <row r="40" spans="6:10" x14ac:dyDescent="0.25">
      <c r="G40" s="26"/>
      <c r="H40" s="26"/>
      <c r="I40" s="26"/>
      <c r="J40" s="26"/>
    </row>
    <row r="41" spans="6:10" x14ac:dyDescent="0.25">
      <c r="G41" s="26"/>
      <c r="H41" s="26"/>
      <c r="I41" s="26"/>
      <c r="J41" s="26"/>
    </row>
    <row r="42" spans="6:10" x14ac:dyDescent="0.25">
      <c r="G42" s="26"/>
      <c r="H42" s="26"/>
      <c r="I42" s="26"/>
      <c r="J42" s="26"/>
    </row>
    <row r="43" spans="6:10" x14ac:dyDescent="0.25">
      <c r="F43" s="26"/>
    </row>
    <row r="44" spans="6:10" x14ac:dyDescent="0.25">
      <c r="F44" s="26"/>
    </row>
  </sheetData>
  <mergeCells count="3">
    <mergeCell ref="A1:B1"/>
    <mergeCell ref="A25:B25"/>
    <mergeCell ref="A5:D5"/>
  </mergeCells>
  <pageMargins left="0.75" right="0.75" top="1" bottom="1" header="0.5" footer="0.5"/>
  <pageSetup orientation="portrait" r:id="rId1"/>
  <headerFooter alignWithMargins="0">
    <oddFooter>&amp;R&amp;"Arial,Regular"&amp;08&amp;K7F7F7FAmgen Proprietary - Confidential   &amp;C&amp;"Calibri"&amp;11&amp;K000000&amp;"Arial,Regular"&amp;08&amp;K7F7F7FAmgen Proprietary - For Internal Use Only_x000D_&amp;1#&amp;"Calibri"&amp;10&amp;K000000 Non-Amgen</oddFooter>
    <evenFooter>&amp;R&amp;"Arial,Regular"&amp;08&amp;K7F7F7FAmgen Proprietary - Confidential   &amp;C&amp;"Arial,Regular"&amp;08&amp;K7F7F7FAmgen Proprietary - For Internal Use Only</evenFooter>
    <firstFooter>&amp;R&amp;"Arial,Regular"&amp;08&amp;K7F7F7FAmgen Proprietary - Confidential   &amp;C&amp;"Arial,Regular"&amp;08&amp;K7F7F7FAmgen Proprietary - For Internal Use Only</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C36900-674E-4C4C-AB84-2DDE3F9BEEC6}">
  <sheetPr codeName="Sheet111">
    <pageSetUpPr autoPageBreaks="0"/>
  </sheetPr>
  <dimension ref="A1:J51"/>
  <sheetViews>
    <sheetView zoomScaleNormal="100" workbookViewId="0">
      <selection activeCell="F37" sqref="F37"/>
    </sheetView>
  </sheetViews>
  <sheetFormatPr defaultColWidth="23.453125" defaultRowHeight="11.5" x14ac:dyDescent="0.25"/>
  <cols>
    <col min="1" max="1" width="28.453125" style="25" customWidth="1"/>
    <col min="2" max="2" width="25.453125" style="25" bestFit="1" customWidth="1"/>
    <col min="3" max="3" width="23.453125" style="25"/>
    <col min="4" max="4" width="23.453125" style="25" customWidth="1"/>
    <col min="5" max="5" width="23.453125" style="25"/>
    <col min="6" max="6" width="76.54296875" style="25" bestFit="1" customWidth="1"/>
    <col min="7" max="7" width="27.453125" style="25" customWidth="1"/>
    <col min="8" max="8" width="9" style="25" bestFit="1" customWidth="1"/>
    <col min="9" max="9" width="9.54296875" style="25" bestFit="1" customWidth="1"/>
    <col min="10" max="10" width="9.54296875" style="25" customWidth="1"/>
    <col min="11" max="16384" width="23.453125" style="25"/>
  </cols>
  <sheetData>
    <row r="1" spans="1:10" ht="12" thickBot="1" x14ac:dyDescent="0.3">
      <c r="A1" s="1047" t="s">
        <v>479</v>
      </c>
      <c r="B1" s="1048"/>
    </row>
    <row r="2" spans="1:10" x14ac:dyDescent="0.25">
      <c r="A2" s="43" t="s">
        <v>480</v>
      </c>
      <c r="B2" s="319">
        <f>A12</f>
        <v>44607.375</v>
      </c>
    </row>
    <row r="3" spans="1:10" ht="12" thickBot="1" x14ac:dyDescent="0.3">
      <c r="A3" s="42" t="s">
        <v>482</v>
      </c>
      <c r="B3" s="406">
        <v>44607.375</v>
      </c>
    </row>
    <row r="5" spans="1:10" x14ac:dyDescent="0.25">
      <c r="A5" s="1049" t="s">
        <v>484</v>
      </c>
      <c r="B5" s="1050"/>
      <c r="C5" s="1050"/>
      <c r="D5" s="1051"/>
    </row>
    <row r="6" spans="1:10" x14ac:dyDescent="0.25">
      <c r="A6" s="781" t="s">
        <v>485</v>
      </c>
      <c r="B6" s="781" t="s">
        <v>486</v>
      </c>
      <c r="C6" s="781" t="s">
        <v>487</v>
      </c>
      <c r="D6" s="781" t="s">
        <v>488</v>
      </c>
    </row>
    <row r="7" spans="1:10" x14ac:dyDescent="0.25">
      <c r="A7" s="41" t="str">
        <f>F15</f>
        <v>IPC1.0: Reaction Conversion</v>
      </c>
      <c r="B7" s="40">
        <f>INDEX($A$12:$A$63,MATCH(A7,$F$12:$F$46,0))</f>
        <v>44607.729166666664</v>
      </c>
      <c r="C7" s="37">
        <f>INDEX($B$12:$B$63,MATCH(A7,$F$12:$F$46,0))</f>
        <v>44607.729166666664</v>
      </c>
      <c r="D7" s="297"/>
    </row>
    <row r="8" spans="1:10" x14ac:dyDescent="0.25">
      <c r="A8" s="41" t="str">
        <f>F24</f>
        <v>IPC2.0: Purity, LOD</v>
      </c>
      <c r="B8" s="40">
        <f>INDEX($A$12:$A$63,MATCH(A8,$F$12:$F$46,0))</f>
        <v>44609.295138888891</v>
      </c>
      <c r="C8" s="37">
        <f>INDEX($B$12:$B$63,MATCH(A8,$F$12:$F$46,0))</f>
        <v>44609.295138888891</v>
      </c>
      <c r="D8" s="297"/>
      <c r="E8" s="298"/>
    </row>
    <row r="9" spans="1:10" x14ac:dyDescent="0.25">
      <c r="A9" s="41" t="s">
        <v>2428</v>
      </c>
      <c r="B9" s="40">
        <f>INDEX($A$12:$A$63,MATCH(A9,$F$12:$F$46,0))</f>
        <v>44613.378472222219</v>
      </c>
      <c r="C9" s="37">
        <f>B34</f>
        <v>44613.378472222219</v>
      </c>
      <c r="D9" s="297"/>
      <c r="E9" s="298"/>
    </row>
    <row r="11" spans="1:10" ht="23" x14ac:dyDescent="0.25">
      <c r="A11" s="781" t="s">
        <v>492</v>
      </c>
      <c r="B11" s="781" t="s">
        <v>493</v>
      </c>
      <c r="C11" s="781" t="s">
        <v>494</v>
      </c>
      <c r="D11" s="500" t="s">
        <v>495</v>
      </c>
      <c r="E11" s="781" t="s">
        <v>540</v>
      </c>
      <c r="F11" s="781" t="s">
        <v>541</v>
      </c>
      <c r="G11" s="781" t="s">
        <v>498</v>
      </c>
      <c r="H11" s="501" t="s">
        <v>112</v>
      </c>
      <c r="I11" s="781" t="s">
        <v>542</v>
      </c>
      <c r="J11" s="781" t="s">
        <v>2429</v>
      </c>
    </row>
    <row r="12" spans="1:10" x14ac:dyDescent="0.25">
      <c r="A12" s="31">
        <f>B3</f>
        <v>44607.375</v>
      </c>
      <c r="B12" s="37">
        <f>B3</f>
        <v>44607.375</v>
      </c>
      <c r="C12" s="170">
        <v>7.2916666666666671E-2</v>
      </c>
      <c r="D12" s="327"/>
      <c r="E12" s="37">
        <f t="shared" ref="E12:E35" si="0">B12+C12</f>
        <v>44607.447916666664</v>
      </c>
      <c r="F12" s="264" t="s">
        <v>543</v>
      </c>
      <c r="G12" s="862" t="s">
        <v>2430</v>
      </c>
      <c r="H12" s="78"/>
      <c r="I12" s="78"/>
      <c r="J12" s="78"/>
    </row>
    <row r="13" spans="1:10" ht="12.75" customHeight="1" x14ac:dyDescent="0.25">
      <c r="A13" s="31">
        <f t="shared" ref="A13:A35" si="1">IF(D12 = "",A12+C12,A12+D12)</f>
        <v>44607.447916666664</v>
      </c>
      <c r="B13" s="37">
        <f t="shared" ref="B13:B35" si="2">IF(D12 = "",B12+C12,B12+D12)</f>
        <v>44607.447916666664</v>
      </c>
      <c r="C13" s="170">
        <v>7.2916666666666671E-2</v>
      </c>
      <c r="D13" s="327" t="str">
        <f t="shared" ref="D13:D35" si="3">IF(_xlfn.ISFORMULA(E13)=TRUE,"",E13-B13)</f>
        <v/>
      </c>
      <c r="E13" s="37">
        <f t="shared" si="0"/>
        <v>44607.520833333328</v>
      </c>
      <c r="F13" s="264" t="s">
        <v>544</v>
      </c>
      <c r="G13" s="863" t="s">
        <v>2430</v>
      </c>
      <c r="H13" s="35"/>
      <c r="I13" s="35"/>
      <c r="J13" s="35"/>
    </row>
    <row r="14" spans="1:10" ht="12.75" customHeight="1" x14ac:dyDescent="0.25">
      <c r="A14" s="31">
        <f t="shared" si="1"/>
        <v>44607.520833333328</v>
      </c>
      <c r="B14" s="37">
        <f t="shared" si="2"/>
        <v>44607.520833333328</v>
      </c>
      <c r="C14" s="170">
        <v>0.20833333333333334</v>
      </c>
      <c r="D14" s="327" t="str">
        <f t="shared" si="3"/>
        <v/>
      </c>
      <c r="E14" s="37">
        <f t="shared" si="0"/>
        <v>44607.729166666664</v>
      </c>
      <c r="F14" s="264" t="s">
        <v>545</v>
      </c>
      <c r="G14" s="39"/>
      <c r="H14" s="39"/>
      <c r="I14" s="39"/>
      <c r="J14" s="39"/>
    </row>
    <row r="15" spans="1:10" ht="13.5" customHeight="1" x14ac:dyDescent="0.25">
      <c r="A15" s="31">
        <f t="shared" si="1"/>
        <v>44607.729166666664</v>
      </c>
      <c r="B15" s="37">
        <f t="shared" si="2"/>
        <v>44607.729166666664</v>
      </c>
      <c r="C15" s="170">
        <v>0.10416666666666667</v>
      </c>
      <c r="D15" s="327">
        <v>0.14583333333333334</v>
      </c>
      <c r="E15" s="37">
        <f t="shared" si="0"/>
        <v>44607.833333333328</v>
      </c>
      <c r="F15" s="320" t="s">
        <v>546</v>
      </c>
      <c r="G15" s="35"/>
      <c r="H15" s="35"/>
      <c r="I15" s="35"/>
      <c r="J15" s="35"/>
    </row>
    <row r="16" spans="1:10" x14ac:dyDescent="0.25">
      <c r="A16" s="31">
        <f t="shared" si="1"/>
        <v>44607.875</v>
      </c>
      <c r="B16" s="37">
        <f>IF(D15 = "",B15+C15,B15+D15)</f>
        <v>44607.875</v>
      </c>
      <c r="C16" s="172">
        <v>0.57638888888888895</v>
      </c>
      <c r="D16" s="327" t="str">
        <f t="shared" si="3"/>
        <v/>
      </c>
      <c r="E16" s="37">
        <f t="shared" si="0"/>
        <v>44608.451388888891</v>
      </c>
      <c r="F16" s="264" t="s">
        <v>547</v>
      </c>
      <c r="G16" s="35"/>
      <c r="H16" s="497">
        <v>384</v>
      </c>
      <c r="I16" s="497">
        <v>384</v>
      </c>
      <c r="J16" s="235"/>
    </row>
    <row r="17" spans="1:10" hidden="1" x14ac:dyDescent="0.25">
      <c r="A17" s="31">
        <f t="shared" si="1"/>
        <v>44608.451388888891</v>
      </c>
      <c r="B17" s="504">
        <f>E16 + B51</f>
        <v>44608.493055555555</v>
      </c>
      <c r="C17" s="509">
        <v>0</v>
      </c>
      <c r="D17" s="505" t="str">
        <f t="shared" si="3"/>
        <v/>
      </c>
      <c r="E17" s="504">
        <f t="shared" si="0"/>
        <v>44608.493055555555</v>
      </c>
      <c r="F17" s="506" t="s">
        <v>2431</v>
      </c>
      <c r="G17" s="492"/>
      <c r="H17" s="495"/>
      <c r="I17" s="495"/>
      <c r="J17" s="495">
        <v>200</v>
      </c>
    </row>
    <row r="18" spans="1:10" ht="13.5" customHeight="1" x14ac:dyDescent="0.25">
      <c r="A18" s="31">
        <f t="shared" si="1"/>
        <v>44608.451388888891</v>
      </c>
      <c r="B18" s="37">
        <f>IF(D16 = "",B16+C16,B16+D16)</f>
        <v>44608.451388888891</v>
      </c>
      <c r="C18" s="172">
        <v>0.2638888888888889</v>
      </c>
      <c r="D18" s="327" t="str">
        <f t="shared" si="3"/>
        <v/>
      </c>
      <c r="E18" s="37">
        <f t="shared" si="0"/>
        <v>44608.715277777781</v>
      </c>
      <c r="F18" s="264" t="s">
        <v>548</v>
      </c>
      <c r="G18" s="35"/>
      <c r="H18" s="497"/>
      <c r="I18" s="497"/>
      <c r="J18" s="497"/>
    </row>
    <row r="19" spans="1:10" ht="13.5" hidden="1" customHeight="1" x14ac:dyDescent="0.25">
      <c r="A19" s="31">
        <f t="shared" si="1"/>
        <v>44608.715277777781</v>
      </c>
      <c r="B19" s="504">
        <f>E17</f>
        <v>44608.493055555555</v>
      </c>
      <c r="C19" s="172">
        <v>0</v>
      </c>
      <c r="D19" s="505" t="str">
        <f t="shared" si="3"/>
        <v/>
      </c>
      <c r="E19" s="504">
        <f>B19+C19</f>
        <v>44608.493055555555</v>
      </c>
      <c r="F19" s="506" t="s">
        <v>2432</v>
      </c>
      <c r="G19" s="507"/>
      <c r="H19" s="495">
        <v>384</v>
      </c>
      <c r="I19" s="495">
        <v>384</v>
      </c>
      <c r="J19" s="495"/>
    </row>
    <row r="20" spans="1:10" ht="12" customHeight="1" x14ac:dyDescent="0.25">
      <c r="A20" s="31">
        <f t="shared" si="1"/>
        <v>44608.715277777781</v>
      </c>
      <c r="B20" s="37">
        <f>IF(D18 = "",B18+C18,B18+D18)</f>
        <v>44608.715277777781</v>
      </c>
      <c r="C20" s="172">
        <v>4.8611111111111112E-2</v>
      </c>
      <c r="D20" s="327" t="str">
        <f t="shared" si="3"/>
        <v/>
      </c>
      <c r="E20" s="37">
        <f t="shared" si="0"/>
        <v>44608.763888888891</v>
      </c>
      <c r="F20" s="264" t="s">
        <v>549</v>
      </c>
      <c r="G20" s="39"/>
      <c r="H20" s="1052">
        <v>677.74</v>
      </c>
      <c r="I20" s="1052">
        <f>SUM(H20)</f>
        <v>677.74</v>
      </c>
      <c r="J20" s="1052"/>
    </row>
    <row r="21" spans="1:10" ht="12.75" customHeight="1" x14ac:dyDescent="0.25">
      <c r="A21" s="31">
        <f t="shared" si="1"/>
        <v>44608.763888888891</v>
      </c>
      <c r="B21" s="37">
        <f>IF(D20 = "",B20+C20,B20+D20)</f>
        <v>44608.763888888891</v>
      </c>
      <c r="C21" s="172">
        <v>6.25E-2</v>
      </c>
      <c r="D21" s="327"/>
      <c r="E21" s="37">
        <f t="shared" si="0"/>
        <v>44608.826388888891</v>
      </c>
      <c r="F21" s="264" t="s">
        <v>550</v>
      </c>
      <c r="G21" s="35"/>
      <c r="H21" s="1052"/>
      <c r="I21" s="1052"/>
      <c r="J21" s="1052"/>
    </row>
    <row r="22" spans="1:10" x14ac:dyDescent="0.25">
      <c r="A22" s="31">
        <f t="shared" si="1"/>
        <v>44608.826388888891</v>
      </c>
      <c r="B22" s="37">
        <f t="shared" si="2"/>
        <v>44608.826388888891</v>
      </c>
      <c r="C22" s="170">
        <v>0.42708333333333331</v>
      </c>
      <c r="D22" s="327" t="str">
        <f t="shared" si="3"/>
        <v/>
      </c>
      <c r="E22" s="37">
        <f t="shared" si="0"/>
        <v>44609.253472222226</v>
      </c>
      <c r="F22" s="264" t="s">
        <v>551</v>
      </c>
      <c r="G22" s="35"/>
      <c r="H22" s="1052"/>
      <c r="I22" s="1052"/>
      <c r="J22" s="1052"/>
    </row>
    <row r="23" spans="1:10" x14ac:dyDescent="0.25">
      <c r="A23" s="31">
        <f t="shared" si="1"/>
        <v>44609.253472222226</v>
      </c>
      <c r="B23" s="37">
        <f t="shared" si="2"/>
        <v>44609.253472222226</v>
      </c>
      <c r="C23" s="170">
        <v>4.1666666666666664E-2</v>
      </c>
      <c r="D23" s="327" t="str">
        <f t="shared" si="3"/>
        <v/>
      </c>
      <c r="E23" s="37">
        <f t="shared" si="0"/>
        <v>44609.295138888891</v>
      </c>
      <c r="F23" s="240" t="s">
        <v>552</v>
      </c>
      <c r="G23" s="863" t="s">
        <v>2430</v>
      </c>
      <c r="H23" s="773"/>
      <c r="I23" s="773"/>
      <c r="J23" s="773"/>
    </row>
    <row r="24" spans="1:10" ht="12" customHeight="1" x14ac:dyDescent="0.25">
      <c r="A24" s="31">
        <f t="shared" si="1"/>
        <v>44609.295138888891</v>
      </c>
      <c r="B24" s="37">
        <f t="shared" si="2"/>
        <v>44609.295138888891</v>
      </c>
      <c r="C24" s="170">
        <v>0.27083333333333331</v>
      </c>
      <c r="D24" s="327" t="str">
        <f t="shared" si="3"/>
        <v/>
      </c>
      <c r="E24" s="37">
        <f t="shared" si="0"/>
        <v>44609.565972222226</v>
      </c>
      <c r="F24" s="320" t="s">
        <v>553</v>
      </c>
      <c r="G24" s="863" t="s">
        <v>2430</v>
      </c>
      <c r="H24" s="35"/>
      <c r="I24" s="35"/>
      <c r="J24" s="35"/>
    </row>
    <row r="25" spans="1:10" ht="12" customHeight="1" x14ac:dyDescent="0.25">
      <c r="A25" s="494">
        <f t="shared" si="1"/>
        <v>44609.565972222226</v>
      </c>
      <c r="B25" s="493">
        <f t="shared" si="2"/>
        <v>44609.565972222226</v>
      </c>
      <c r="C25" s="170">
        <v>0.10416666666666667</v>
      </c>
      <c r="D25" s="498" t="str">
        <f t="shared" si="3"/>
        <v/>
      </c>
      <c r="E25" s="493">
        <f t="shared" si="0"/>
        <v>44609.670138888891</v>
      </c>
      <c r="F25" s="492" t="s">
        <v>2433</v>
      </c>
      <c r="G25" s="863" t="s">
        <v>2430</v>
      </c>
      <c r="H25" s="495">
        <v>500</v>
      </c>
      <c r="I25" s="495">
        <v>500</v>
      </c>
      <c r="J25" s="495"/>
    </row>
    <row r="26" spans="1:10" x14ac:dyDescent="0.25">
      <c r="A26" s="31">
        <f t="shared" si="1"/>
        <v>44609.670138888891</v>
      </c>
      <c r="B26" s="37">
        <f t="shared" si="2"/>
        <v>44609.670138888891</v>
      </c>
      <c r="C26" s="170">
        <v>0.27083333333333331</v>
      </c>
      <c r="D26" s="327" t="str">
        <f t="shared" si="3"/>
        <v/>
      </c>
      <c r="E26" s="37">
        <f t="shared" si="0"/>
        <v>44609.940972222226</v>
      </c>
      <c r="F26" s="35" t="s">
        <v>2434</v>
      </c>
      <c r="G26" s="35"/>
      <c r="H26" s="497">
        <v>708</v>
      </c>
      <c r="I26" s="511">
        <v>708</v>
      </c>
      <c r="J26" s="35"/>
    </row>
    <row r="27" spans="1:10" x14ac:dyDescent="0.25">
      <c r="A27" s="31">
        <f t="shared" si="1"/>
        <v>44609.940972222226</v>
      </c>
      <c r="B27" s="329">
        <f t="shared" si="2"/>
        <v>44609.940972222226</v>
      </c>
      <c r="C27" s="170">
        <v>0.29166666666666669</v>
      </c>
      <c r="D27" s="327" t="str">
        <f t="shared" si="3"/>
        <v/>
      </c>
      <c r="E27" s="37">
        <f t="shared" si="0"/>
        <v>44610.232638888891</v>
      </c>
      <c r="F27" s="35" t="s">
        <v>2435</v>
      </c>
      <c r="G27" s="35"/>
      <c r="H27" s="497">
        <v>720</v>
      </c>
      <c r="I27" s="511">
        <v>720</v>
      </c>
      <c r="J27" s="35"/>
    </row>
    <row r="28" spans="1:10" x14ac:dyDescent="0.25">
      <c r="A28" s="31">
        <f t="shared" si="1"/>
        <v>44610.232638888891</v>
      </c>
      <c r="B28" s="329">
        <f t="shared" si="2"/>
        <v>44610.232638888891</v>
      </c>
      <c r="C28" s="865">
        <v>0.25</v>
      </c>
      <c r="D28" s="327" t="str">
        <f t="shared" si="3"/>
        <v/>
      </c>
      <c r="E28" s="37">
        <f t="shared" si="0"/>
        <v>44610.482638888891</v>
      </c>
      <c r="F28" s="35" t="s">
        <v>2436</v>
      </c>
      <c r="G28" s="739"/>
      <c r="H28" s="497"/>
      <c r="I28" s="511"/>
      <c r="J28" s="35"/>
    </row>
    <row r="29" spans="1:10" x14ac:dyDescent="0.25">
      <c r="A29" s="31">
        <f t="shared" si="1"/>
        <v>44610.482638888891</v>
      </c>
      <c r="B29" s="331">
        <f t="shared" si="2"/>
        <v>44610.482638888891</v>
      </c>
      <c r="C29" s="170">
        <v>4.1666666666666664E-2</v>
      </c>
      <c r="D29" s="327" t="str">
        <f t="shared" si="3"/>
        <v/>
      </c>
      <c r="E29" s="37">
        <f t="shared" si="0"/>
        <v>44610.524305555555</v>
      </c>
      <c r="F29" s="35" t="s">
        <v>549</v>
      </c>
      <c r="G29" s="35"/>
      <c r="H29" s="320"/>
      <c r="I29" s="181"/>
      <c r="J29" s="181"/>
    </row>
    <row r="30" spans="1:10" x14ac:dyDescent="0.25">
      <c r="A30" s="31">
        <f t="shared" si="1"/>
        <v>44610.524305555555</v>
      </c>
      <c r="B30" s="37">
        <f t="shared" si="2"/>
        <v>44610.524305555555</v>
      </c>
      <c r="C30" s="170">
        <v>8.3333333333333329E-2</v>
      </c>
      <c r="D30" s="327" t="str">
        <f t="shared" si="3"/>
        <v/>
      </c>
      <c r="E30" s="37">
        <f t="shared" si="0"/>
        <v>44610.607638888891</v>
      </c>
      <c r="F30" s="35" t="s">
        <v>672</v>
      </c>
      <c r="G30" s="35"/>
      <c r="H30" s="320"/>
      <c r="I30" s="181"/>
      <c r="J30" s="181"/>
    </row>
    <row r="31" spans="1:10" x14ac:dyDescent="0.25">
      <c r="A31" s="31">
        <f t="shared" si="1"/>
        <v>44610.607638888891</v>
      </c>
      <c r="B31" s="37">
        <f t="shared" si="2"/>
        <v>44610.607638888891</v>
      </c>
      <c r="C31" s="170">
        <v>0.47916666666666669</v>
      </c>
      <c r="D31" s="327" t="str">
        <f t="shared" si="3"/>
        <v/>
      </c>
      <c r="E31" s="37">
        <f t="shared" si="0"/>
        <v>44611.086805555555</v>
      </c>
      <c r="F31" s="35" t="s">
        <v>551</v>
      </c>
      <c r="G31" s="35"/>
      <c r="H31" s="497">
        <v>290.7</v>
      </c>
      <c r="I31" s="512">
        <v>290.7</v>
      </c>
      <c r="J31" s="497"/>
    </row>
    <row r="32" spans="1:10" x14ac:dyDescent="0.25">
      <c r="A32" s="31">
        <f t="shared" si="1"/>
        <v>44611.086805555555</v>
      </c>
      <c r="B32" s="37">
        <f t="shared" si="2"/>
        <v>44611.086805555555</v>
      </c>
      <c r="C32" s="170">
        <v>4.1666666666666664E-2</v>
      </c>
      <c r="D32" s="327" t="str">
        <f t="shared" si="3"/>
        <v/>
      </c>
      <c r="E32" s="37">
        <f t="shared" si="0"/>
        <v>44611.128472222219</v>
      </c>
      <c r="F32" s="35" t="s">
        <v>2437</v>
      </c>
      <c r="G32" s="863" t="s">
        <v>2430</v>
      </c>
      <c r="H32" s="35"/>
      <c r="I32" s="35"/>
      <c r="J32" s="35"/>
    </row>
    <row r="33" spans="1:10" x14ac:dyDescent="0.25">
      <c r="A33" s="31">
        <f t="shared" si="1"/>
        <v>44611.128472222219</v>
      </c>
      <c r="B33" s="323">
        <f t="shared" si="2"/>
        <v>44611.128472222219</v>
      </c>
      <c r="C33" s="400">
        <v>2.25</v>
      </c>
      <c r="D33" s="400"/>
      <c r="E33" s="323">
        <f t="shared" si="0"/>
        <v>44613.378472222219</v>
      </c>
      <c r="F33" s="533" t="s">
        <v>693</v>
      </c>
      <c r="G33" s="869"/>
      <c r="H33" s="533"/>
      <c r="I33" s="533"/>
      <c r="J33" s="533"/>
    </row>
    <row r="34" spans="1:10" x14ac:dyDescent="0.25">
      <c r="A34" s="31">
        <f>IF(D33 = "",A33+C33,A33+D33)</f>
        <v>44613.378472222219</v>
      </c>
      <c r="B34" s="37">
        <f>IF(D33 = "",B33+C33,B33+D33)</f>
        <v>44613.378472222219</v>
      </c>
      <c r="C34" s="170">
        <v>0.22916666666666666</v>
      </c>
      <c r="D34" s="327" t="str">
        <f t="shared" si="3"/>
        <v/>
      </c>
      <c r="E34" s="37">
        <f t="shared" si="0"/>
        <v>44613.607638888883</v>
      </c>
      <c r="F34" s="320" t="s">
        <v>2428</v>
      </c>
      <c r="G34" s="863" t="s">
        <v>2430</v>
      </c>
      <c r="H34" s="35"/>
      <c r="I34" s="35"/>
      <c r="J34" s="35"/>
    </row>
    <row r="35" spans="1:10" x14ac:dyDescent="0.25">
      <c r="A35" s="31">
        <f t="shared" si="1"/>
        <v>44613.607638888883</v>
      </c>
      <c r="B35" s="37">
        <f t="shared" si="2"/>
        <v>44613.607638888883</v>
      </c>
      <c r="C35" s="170">
        <v>0.10416666666666667</v>
      </c>
      <c r="D35" s="327" t="str">
        <f t="shared" si="3"/>
        <v/>
      </c>
      <c r="E35" s="37">
        <f t="shared" si="0"/>
        <v>44613.711805555547</v>
      </c>
      <c r="F35" s="35" t="s">
        <v>2438</v>
      </c>
      <c r="G35" s="863" t="s">
        <v>2430</v>
      </c>
      <c r="H35" s="35"/>
      <c r="I35" s="35"/>
      <c r="J35" s="35"/>
    </row>
    <row r="36" spans="1:10" ht="21" x14ac:dyDescent="0.55000000000000004">
      <c r="A36" s="34"/>
      <c r="B36" s="33" t="s">
        <v>534</v>
      </c>
      <c r="C36" s="32">
        <f>SUM(C12:C35)</f>
        <v>6.2951388888888893</v>
      </c>
      <c r="D36" s="32">
        <f>SUM(D12:D25)</f>
        <v>0.14583333333333334</v>
      </c>
      <c r="G36" s="243" t="s">
        <v>535</v>
      </c>
      <c r="H36" s="496">
        <f>SUM(H12:H35)</f>
        <v>3664.4399999999996</v>
      </c>
      <c r="I36" s="499">
        <f>SUM(I12:I35)</f>
        <v>3664.4399999999996</v>
      </c>
      <c r="J36" s="183">
        <f>SUM(J12:J35)</f>
        <v>200</v>
      </c>
    </row>
    <row r="37" spans="1:10" x14ac:dyDescent="0.25">
      <c r="B37" s="31" t="s">
        <v>536</v>
      </c>
      <c r="C37" s="30">
        <f>(C36*60)/1440</f>
        <v>0.26229745370370372</v>
      </c>
      <c r="D37" s="30">
        <f>(D36*60)/1440</f>
        <v>6.076388888888889E-3</v>
      </c>
      <c r="F37" s="26"/>
    </row>
    <row r="38" spans="1:10" x14ac:dyDescent="0.25">
      <c r="C38" s="774"/>
      <c r="F38" s="26"/>
    </row>
    <row r="47" spans="1:10" x14ac:dyDescent="0.25">
      <c r="C47" s="27"/>
      <c r="D47" s="27"/>
    </row>
    <row r="51" spans="2:2" x14ac:dyDescent="0.25">
      <c r="B51" s="502">
        <v>4.1666666666666664E-2</v>
      </c>
    </row>
  </sheetData>
  <mergeCells count="5">
    <mergeCell ref="A1:B1"/>
    <mergeCell ref="A5:D5"/>
    <mergeCell ref="H20:H22"/>
    <mergeCell ref="I20:I22"/>
    <mergeCell ref="J20:J22"/>
  </mergeCells>
  <pageMargins left="0.75" right="0.75" top="1" bottom="1" header="0.5" footer="0.5"/>
  <pageSetup orientation="portrait" r:id="rId1"/>
  <headerFooter alignWithMargins="0">
    <oddFooter>&amp;R&amp;"Arial,Regular"&amp;08&amp;K7F7F7FAmgen Proprietary - Confidential   &amp;C&amp;"Arial,Regular"&amp;08&amp;K7F7F7FAmgen Proprietary - For Internal Use Only</oddFooter>
    <evenFooter>&amp;R&amp;"Arial,Regular"&amp;08&amp;K7F7F7FAmgen Proprietary - Confidential   &amp;C&amp;"Arial,Regular"&amp;08&amp;K7F7F7FAmgen Proprietary - For Internal Use Only</evenFooter>
    <firstFooter>&amp;R&amp;"Arial,Regular"&amp;08&amp;K7F7F7FAmgen Proprietary - Confidential   &amp;C&amp;"Arial,Regular"&amp;08&amp;K7F7F7FAmgen Proprietary - For Internal Use Only</firstFooter>
  </headerFooter>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9CC037-2A64-4A4D-98D6-9BDDC8F3955F}">
  <sheetPr codeName="Sheet110">
    <pageSetUpPr autoPageBreaks="0"/>
  </sheetPr>
  <dimension ref="A1:M112"/>
  <sheetViews>
    <sheetView topLeftCell="A68" zoomScale="90" zoomScaleNormal="90" workbookViewId="0">
      <selection activeCell="E83" sqref="E83"/>
    </sheetView>
  </sheetViews>
  <sheetFormatPr defaultColWidth="23.453125" defaultRowHeight="11.5" x14ac:dyDescent="0.25"/>
  <cols>
    <col min="1" max="1" width="56.36328125" style="25" customWidth="1"/>
    <col min="2" max="2" width="28" style="25" customWidth="1"/>
    <col min="3" max="3" width="29.54296875" style="25" customWidth="1"/>
    <col min="4" max="4" width="26.453125" style="25" customWidth="1"/>
    <col min="5" max="5" width="23.453125" style="25"/>
    <col min="6" max="6" width="79.54296875" style="25" bestFit="1" customWidth="1"/>
    <col min="7" max="7" width="40.54296875" style="25" customWidth="1"/>
    <col min="8" max="11" width="10.54296875" style="25" customWidth="1"/>
    <col min="12" max="12" width="24" style="25" customWidth="1"/>
    <col min="13" max="16384" width="23.453125" style="25"/>
  </cols>
  <sheetData>
    <row r="1" spans="1:13" ht="12" thickBot="1" x14ac:dyDescent="0.3">
      <c r="A1" s="1064" t="s">
        <v>479</v>
      </c>
      <c r="B1" s="1065"/>
    </row>
    <row r="2" spans="1:13" x14ac:dyDescent="0.25">
      <c r="A2" s="43" t="s">
        <v>480</v>
      </c>
      <c r="B2" s="258">
        <f>A15</f>
        <v>44613.458333333336</v>
      </c>
    </row>
    <row r="3" spans="1:13" ht="12" thickBot="1" x14ac:dyDescent="0.3">
      <c r="A3" s="42" t="s">
        <v>482</v>
      </c>
      <c r="B3" s="259">
        <f>A15</f>
        <v>44613.458333333336</v>
      </c>
    </row>
    <row r="5" spans="1:13" x14ac:dyDescent="0.25">
      <c r="A5" s="1049" t="s">
        <v>484</v>
      </c>
      <c r="B5" s="1050"/>
      <c r="C5" s="1050"/>
      <c r="D5" s="1051"/>
    </row>
    <row r="6" spans="1:13" x14ac:dyDescent="0.25">
      <c r="A6" s="781" t="s">
        <v>485</v>
      </c>
      <c r="B6" s="781" t="s">
        <v>486</v>
      </c>
      <c r="C6" s="781" t="s">
        <v>487</v>
      </c>
      <c r="D6" s="781" t="s">
        <v>488</v>
      </c>
    </row>
    <row r="7" spans="1:13" x14ac:dyDescent="0.25">
      <c r="A7" s="41" t="str">
        <f>F26</f>
        <v xml:space="preserve">   Sample for drug substance analysis (PR-044 in Methanol)</v>
      </c>
      <c r="B7" s="455">
        <f>INDEX($B$15:$B$89,MATCH(A7,$F$15:$F$89,0))</f>
        <v>44614.479166666679</v>
      </c>
      <c r="C7" s="37">
        <f>INDEX($B$15:$B$89,MATCH(A7,$F$15:$F$89,0))</f>
        <v>44614.479166666679</v>
      </c>
      <c r="D7" s="297"/>
    </row>
    <row r="8" spans="1:13" x14ac:dyDescent="0.25">
      <c r="A8" s="41" t="str">
        <f>F34</f>
        <v xml:space="preserve">   Sample for residual solvent Methanol (in DCM)</v>
      </c>
      <c r="B8" s="455">
        <f>INDEX($B$15:$B$89,MATCH(A8,$F$15:$F$89,0))</f>
        <v>44615.281250000007</v>
      </c>
      <c r="C8" s="37">
        <f>INDEX($B$15:$B$89,MATCH(A8,$F$15:$F$89,0))</f>
        <v>44615.281250000007</v>
      </c>
      <c r="D8" s="297"/>
    </row>
    <row r="9" spans="1:13" x14ac:dyDescent="0.25">
      <c r="A9" s="885" t="str">
        <f>F62</f>
        <v xml:space="preserve">   Sample for drug substance analysis (PR-026 in Methanol)</v>
      </c>
      <c r="B9" s="886">
        <f>INDEX($B$15:$B$89,MATCH(A9,$F$15:$F$89,0))</f>
        <v>44618.041666666679</v>
      </c>
      <c r="C9" s="887">
        <f>INDEX($B$15:$B$89,MATCH(A9,$F$15:$F$89,0))</f>
        <v>44618.041666666679</v>
      </c>
      <c r="D9" s="297"/>
    </row>
    <row r="10" spans="1:13" x14ac:dyDescent="0.25">
      <c r="A10" s="885" t="str">
        <f>F70</f>
        <v xml:space="preserve">   Sample for residual solvent Methanol (in EA)</v>
      </c>
      <c r="B10" s="886">
        <f>INDEX($B$15:$B$89,MATCH(A10,$F$15:$F$89,0))</f>
        <v>44620.979166666679</v>
      </c>
      <c r="C10" s="887">
        <f>INDEX($B$15:$B$89,MATCH(A10,$F$15:$F$89,0))</f>
        <v>44620.979166666679</v>
      </c>
      <c r="D10" s="297" t="s">
        <v>2533</v>
      </c>
    </row>
    <row r="11" spans="1:13" x14ac:dyDescent="0.25">
      <c r="A11" s="885" t="str">
        <f>F88</f>
        <v xml:space="preserve">   Filter Dryer Sample for drug substance analysis (PR-026 in Methanol)</v>
      </c>
      <c r="B11" s="886">
        <f>INDEX($B$15:$B$89,MATCH(A11,$F$15:$F$89,0))</f>
        <v>44622.048611111131</v>
      </c>
      <c r="C11" s="887">
        <f>INDEX($B$15:$B$89,MATCH(A11,$F$15:$F$89,0))</f>
        <v>44622.048611111131</v>
      </c>
      <c r="D11" s="297" t="s">
        <v>2534</v>
      </c>
    </row>
    <row r="13" spans="1:13" ht="23" x14ac:dyDescent="0.25">
      <c r="A13" s="749" t="s">
        <v>492</v>
      </c>
      <c r="B13" s="749" t="s">
        <v>576</v>
      </c>
      <c r="C13" s="749" t="s">
        <v>494</v>
      </c>
      <c r="D13" s="749" t="s">
        <v>2484</v>
      </c>
      <c r="E13" s="749" t="s">
        <v>560</v>
      </c>
      <c r="F13" s="749" t="s">
        <v>541</v>
      </c>
      <c r="G13" s="749" t="s">
        <v>498</v>
      </c>
      <c r="H13" s="781" t="s">
        <v>204</v>
      </c>
      <c r="I13" s="781" t="s">
        <v>2485</v>
      </c>
      <c r="J13" s="781" t="s">
        <v>577</v>
      </c>
      <c r="K13" s="781" t="s">
        <v>500</v>
      </c>
    </row>
    <row r="14" spans="1:13" x14ac:dyDescent="0.25">
      <c r="A14" s="1095" t="s">
        <v>2486</v>
      </c>
      <c r="B14" s="1095"/>
      <c r="C14" s="1095"/>
      <c r="D14" s="1095"/>
      <c r="E14" s="1095"/>
      <c r="F14" s="1095"/>
      <c r="G14" s="1095"/>
      <c r="H14" s="777"/>
      <c r="I14" s="777"/>
      <c r="J14" s="777"/>
      <c r="K14" s="777"/>
    </row>
    <row r="15" spans="1:13" x14ac:dyDescent="0.25">
      <c r="A15" s="31">
        <v>44613.458333333336</v>
      </c>
      <c r="B15" s="37">
        <f>B3</f>
        <v>44613.458333333336</v>
      </c>
      <c r="C15" s="111">
        <v>2.0833333333333332E-2</v>
      </c>
      <c r="D15" s="327" t="str">
        <f t="shared" ref="D15:D89" si="0">IF(_xlfn.ISFORMULA(E15)=TRUE,"",E15-B15)</f>
        <v/>
      </c>
      <c r="E15" s="37">
        <f>B15+C15</f>
        <v>44613.479166666672</v>
      </c>
      <c r="F15" s="570" t="s">
        <v>584</v>
      </c>
      <c r="G15" s="571" t="s">
        <v>2487</v>
      </c>
      <c r="H15" s="572"/>
      <c r="I15" s="572"/>
      <c r="J15" s="572"/>
      <c r="K15" s="490">
        <v>46.870950000000001</v>
      </c>
      <c r="L15" s="570" t="s">
        <v>2488</v>
      </c>
      <c r="M15" s="570">
        <f>SUM(K15:K18)</f>
        <v>1558.4709499999999</v>
      </c>
    </row>
    <row r="16" spans="1:13" ht="12.75" customHeight="1" x14ac:dyDescent="0.25">
      <c r="A16" s="31">
        <f t="shared" ref="A16:A37" si="1">IF(D15 = "",A15+C15,A15+D15)</f>
        <v>44613.479166666672</v>
      </c>
      <c r="B16" s="37">
        <f t="shared" ref="B16:B37" si="2">IF(D15 = "",B15+C15,B15+D15)</f>
        <v>44613.479166666672</v>
      </c>
      <c r="C16" s="111">
        <v>2.0833333333333332E-2</v>
      </c>
      <c r="D16" s="327" t="str">
        <f t="shared" si="0"/>
        <v/>
      </c>
      <c r="E16" s="37">
        <f t="shared" ref="E16:E73" si="3">B16+C16</f>
        <v>44613.500000000007</v>
      </c>
      <c r="F16" s="570" t="s">
        <v>2489</v>
      </c>
      <c r="G16" s="573"/>
      <c r="H16" s="570"/>
      <c r="I16" s="570"/>
      <c r="J16" s="570"/>
      <c r="K16" s="570">
        <v>611.6</v>
      </c>
    </row>
    <row r="17" spans="1:13" ht="12.75" customHeight="1" x14ac:dyDescent="0.25">
      <c r="A17" s="31">
        <f t="shared" si="1"/>
        <v>44613.500000000007</v>
      </c>
      <c r="B17" s="37">
        <f t="shared" si="2"/>
        <v>44613.500000000007</v>
      </c>
      <c r="C17" s="111">
        <v>0.27083333333333331</v>
      </c>
      <c r="D17" s="327" t="str">
        <f t="shared" si="0"/>
        <v/>
      </c>
      <c r="E17" s="37">
        <f t="shared" si="3"/>
        <v>44613.770833333343</v>
      </c>
      <c r="F17" s="570" t="s">
        <v>2490</v>
      </c>
      <c r="G17" s="573"/>
      <c r="H17" s="570"/>
      <c r="I17" s="570"/>
      <c r="J17" s="570"/>
      <c r="K17" s="570">
        <v>450</v>
      </c>
    </row>
    <row r="18" spans="1:13" ht="12.75" customHeight="1" x14ac:dyDescent="0.25">
      <c r="A18" s="31">
        <f t="shared" si="1"/>
        <v>44613.770833333343</v>
      </c>
      <c r="B18" s="37">
        <f t="shared" si="2"/>
        <v>44613.770833333343</v>
      </c>
      <c r="C18" s="36">
        <v>0.27083333333333331</v>
      </c>
      <c r="D18" s="327" t="str">
        <f t="shared" si="0"/>
        <v/>
      </c>
      <c r="E18" s="37">
        <f t="shared" si="3"/>
        <v>44614.041666666679</v>
      </c>
      <c r="F18" s="570" t="s">
        <v>2491</v>
      </c>
      <c r="G18" s="573"/>
      <c r="H18" s="570"/>
      <c r="I18" s="570"/>
      <c r="J18" s="570"/>
      <c r="K18" s="570">
        <v>450</v>
      </c>
    </row>
    <row r="19" spans="1:13" ht="13.5" customHeight="1" x14ac:dyDescent="0.25">
      <c r="A19" s="31">
        <f t="shared" si="1"/>
        <v>44614.041666666679</v>
      </c>
      <c r="B19" s="37">
        <f t="shared" si="2"/>
        <v>44614.041666666679</v>
      </c>
      <c r="C19" s="36">
        <v>7.2916666666666671E-2</v>
      </c>
      <c r="D19" s="562"/>
      <c r="E19" s="37">
        <f>B19+C19</f>
        <v>44614.114583333343</v>
      </c>
      <c r="F19" s="578" t="s">
        <v>2535</v>
      </c>
      <c r="G19" s="746"/>
      <c r="H19" s="578"/>
      <c r="I19" s="578"/>
      <c r="J19" s="578"/>
      <c r="K19" s="578"/>
    </row>
    <row r="20" spans="1:13" x14ac:dyDescent="0.25">
      <c r="A20" s="31">
        <f>IF(D19 = "",A19+C19,A19+D19)</f>
        <v>44614.114583333343</v>
      </c>
      <c r="B20" s="37">
        <f>IF(D19 = "",B19+C19,B19+D19)</f>
        <v>44614.114583333343</v>
      </c>
      <c r="C20" s="111">
        <v>8.3333333333333329E-2</v>
      </c>
      <c r="D20" s="327">
        <v>0.14583333333333334</v>
      </c>
      <c r="E20" s="37">
        <f t="shared" si="3"/>
        <v>44614.197916666679</v>
      </c>
      <c r="F20" s="570" t="s">
        <v>2493</v>
      </c>
      <c r="G20" s="573"/>
      <c r="H20" s="570"/>
      <c r="I20" s="570"/>
      <c r="J20" s="570"/>
      <c r="K20" s="570">
        <v>783</v>
      </c>
      <c r="L20" s="570" t="s">
        <v>2494</v>
      </c>
      <c r="M20" s="570">
        <f>SUM(K20:K22)</f>
        <v>783</v>
      </c>
    </row>
    <row r="21" spans="1:13" x14ac:dyDescent="0.25">
      <c r="A21" s="31">
        <f t="shared" si="1"/>
        <v>44614.260416666679</v>
      </c>
      <c r="B21" s="37">
        <f t="shared" si="2"/>
        <v>44614.260416666679</v>
      </c>
      <c r="C21" s="111">
        <v>6.25E-2</v>
      </c>
      <c r="D21" s="327" t="str">
        <f t="shared" si="0"/>
        <v/>
      </c>
      <c r="E21" s="37">
        <f t="shared" si="3"/>
        <v>44614.322916666679</v>
      </c>
      <c r="F21" s="570" t="s">
        <v>589</v>
      </c>
      <c r="G21" s="570"/>
      <c r="H21" s="570"/>
      <c r="I21" s="570"/>
      <c r="J21" s="570"/>
      <c r="K21" s="570"/>
    </row>
    <row r="22" spans="1:13" ht="12" hidden="1" thickBot="1" x14ac:dyDescent="0.3">
      <c r="A22" s="31">
        <f t="shared" si="1"/>
        <v>44614.322916666679</v>
      </c>
      <c r="B22" s="37">
        <f t="shared" si="2"/>
        <v>44614.322916666679</v>
      </c>
      <c r="C22" s="603">
        <v>0</v>
      </c>
      <c r="D22" s="520" t="str">
        <f t="shared" si="0"/>
        <v/>
      </c>
      <c r="E22" s="519">
        <f t="shared" si="3"/>
        <v>44614.322916666679</v>
      </c>
      <c r="F22" s="695"/>
      <c r="G22" s="696"/>
      <c r="H22" s="695"/>
      <c r="I22" s="695"/>
      <c r="J22" s="695"/>
      <c r="K22" s="697"/>
    </row>
    <row r="23" spans="1:13" ht="13.5" customHeight="1" x14ac:dyDescent="0.25">
      <c r="A23" s="31">
        <f t="shared" si="1"/>
        <v>44614.322916666679</v>
      </c>
      <c r="B23" s="37">
        <f t="shared" si="2"/>
        <v>44614.322916666679</v>
      </c>
      <c r="C23" s="469">
        <v>8.3333333333333329E-2</v>
      </c>
      <c r="D23" s="470">
        <v>0.125</v>
      </c>
      <c r="E23" s="331">
        <f t="shared" si="3"/>
        <v>44614.406250000015</v>
      </c>
      <c r="F23" s="574" t="s">
        <v>2495</v>
      </c>
      <c r="G23" s="877" t="s">
        <v>2536</v>
      </c>
      <c r="H23" s="574"/>
      <c r="I23" s="574"/>
      <c r="J23" s="574"/>
      <c r="K23" s="574"/>
      <c r="L23" s="570" t="s">
        <v>2496</v>
      </c>
      <c r="M23" s="570">
        <f>SUM(I23:K33)</f>
        <v>98.8</v>
      </c>
    </row>
    <row r="24" spans="1:13" ht="13.5" hidden="1" customHeight="1" x14ac:dyDescent="0.25">
      <c r="A24" s="604">
        <f t="shared" si="1"/>
        <v>44614.447916666679</v>
      </c>
      <c r="B24" s="605">
        <f t="shared" si="2"/>
        <v>44614.447916666679</v>
      </c>
      <c r="C24" s="742">
        <v>0</v>
      </c>
      <c r="D24" s="743"/>
      <c r="E24" s="744">
        <f t="shared" si="3"/>
        <v>44614.447916666679</v>
      </c>
      <c r="F24" s="745" t="s">
        <v>693</v>
      </c>
      <c r="G24" s="575"/>
      <c r="H24" s="574"/>
      <c r="I24" s="574"/>
      <c r="J24" s="574"/>
      <c r="K24" s="574"/>
      <c r="L24" s="570"/>
      <c r="M24" s="570"/>
    </row>
    <row r="25" spans="1:13" ht="13.5" customHeight="1" x14ac:dyDescent="0.25">
      <c r="A25" s="31">
        <f t="shared" si="1"/>
        <v>44614.447916666679</v>
      </c>
      <c r="B25" s="37">
        <f t="shared" si="2"/>
        <v>44614.447916666679</v>
      </c>
      <c r="C25" s="111">
        <v>3.125E-2</v>
      </c>
      <c r="D25" s="327" t="str">
        <f t="shared" si="0"/>
        <v/>
      </c>
      <c r="E25" s="331">
        <f t="shared" si="3"/>
        <v>44614.479166666679</v>
      </c>
      <c r="F25" s="570" t="s">
        <v>2463</v>
      </c>
      <c r="G25" s="573"/>
      <c r="H25" s="570"/>
      <c r="I25" s="570"/>
      <c r="J25" s="570"/>
      <c r="K25" s="570">
        <v>48.8</v>
      </c>
      <c r="L25" s="570" t="s">
        <v>2497</v>
      </c>
      <c r="M25" s="570">
        <f>SUM(H23:H33)</f>
        <v>750</v>
      </c>
    </row>
    <row r="26" spans="1:13" x14ac:dyDescent="0.25">
      <c r="A26" s="31">
        <f t="shared" si="1"/>
        <v>44614.479166666679</v>
      </c>
      <c r="B26" s="37">
        <f t="shared" si="2"/>
        <v>44614.479166666679</v>
      </c>
      <c r="C26" s="36" t="s">
        <v>99</v>
      </c>
      <c r="D26" s="327"/>
      <c r="E26" s="37" t="s">
        <v>99</v>
      </c>
      <c r="F26" s="576" t="s">
        <v>2498</v>
      </c>
      <c r="G26" s="877" t="s">
        <v>2536</v>
      </c>
      <c r="H26" s="570"/>
      <c r="I26" s="570"/>
      <c r="J26" s="570"/>
      <c r="K26" s="570"/>
    </row>
    <row r="27" spans="1:13" ht="12.65" customHeight="1" x14ac:dyDescent="0.25">
      <c r="A27" s="31">
        <f>IF(D25 = "",A25+C25,A25+D25)</f>
        <v>44614.479166666679</v>
      </c>
      <c r="B27" s="37">
        <f>IF(D25 = "",B25+C25,B25+D25)</f>
        <v>44614.479166666679</v>
      </c>
      <c r="C27" s="111">
        <v>3.125E-2</v>
      </c>
      <c r="D27" s="327" t="str">
        <f t="shared" si="0"/>
        <v/>
      </c>
      <c r="E27" s="37">
        <f t="shared" si="3"/>
        <v>44614.510416666679</v>
      </c>
      <c r="F27" s="570" t="s">
        <v>2499</v>
      </c>
      <c r="G27" s="573"/>
      <c r="H27" s="570">
        <v>150</v>
      </c>
      <c r="I27" s="570"/>
      <c r="J27" s="570"/>
      <c r="K27" s="570"/>
    </row>
    <row r="28" spans="1:13" ht="12.75" customHeight="1" x14ac:dyDescent="0.25">
      <c r="A28" s="31">
        <f t="shared" si="1"/>
        <v>44614.510416666679</v>
      </c>
      <c r="B28" s="37">
        <f t="shared" si="2"/>
        <v>44614.510416666679</v>
      </c>
      <c r="C28" s="111">
        <v>3.125E-2</v>
      </c>
      <c r="D28" s="327">
        <v>6.25E-2</v>
      </c>
      <c r="E28" s="37">
        <f t="shared" si="3"/>
        <v>44614.541666666679</v>
      </c>
      <c r="F28" s="570" t="s">
        <v>2500</v>
      </c>
      <c r="G28" s="573"/>
      <c r="H28" s="570"/>
      <c r="I28" s="570">
        <v>50</v>
      </c>
      <c r="J28" s="570"/>
      <c r="K28" s="570"/>
    </row>
    <row r="29" spans="1:13" ht="12.75" customHeight="1" x14ac:dyDescent="0.25">
      <c r="A29" s="31">
        <f t="shared" si="1"/>
        <v>44614.572916666679</v>
      </c>
      <c r="B29" s="37">
        <f t="shared" si="2"/>
        <v>44614.572916666679</v>
      </c>
      <c r="C29" s="36">
        <v>0.10416666666666667</v>
      </c>
      <c r="D29" s="327" t="str">
        <f t="shared" si="0"/>
        <v/>
      </c>
      <c r="E29" s="37">
        <f>B29+C29</f>
        <v>44614.677083333343</v>
      </c>
      <c r="F29" s="570" t="s">
        <v>2501</v>
      </c>
      <c r="G29" s="573"/>
      <c r="H29" s="570"/>
      <c r="I29" s="570"/>
      <c r="J29" s="570"/>
      <c r="K29" s="570"/>
    </row>
    <row r="30" spans="1:13" x14ac:dyDescent="0.25">
      <c r="A30" s="31">
        <f t="shared" si="1"/>
        <v>44614.677083333343</v>
      </c>
      <c r="B30" s="37">
        <f t="shared" si="2"/>
        <v>44614.677083333343</v>
      </c>
      <c r="C30" s="36">
        <v>0.15625</v>
      </c>
      <c r="D30" s="327" t="str">
        <f t="shared" si="0"/>
        <v/>
      </c>
      <c r="E30" s="37">
        <f t="shared" si="3"/>
        <v>44614.833333333343</v>
      </c>
      <c r="F30" s="570" t="s">
        <v>2502</v>
      </c>
      <c r="G30" s="573"/>
      <c r="H30" s="570">
        <v>150</v>
      </c>
      <c r="I30" s="570"/>
      <c r="J30" s="570"/>
      <c r="K30" s="570"/>
    </row>
    <row r="31" spans="1:13" x14ac:dyDescent="0.25">
      <c r="A31" s="31">
        <f t="shared" si="1"/>
        <v>44614.833333333343</v>
      </c>
      <c r="B31" s="37">
        <f t="shared" si="2"/>
        <v>44614.833333333343</v>
      </c>
      <c r="C31" s="36">
        <v>0.15625</v>
      </c>
      <c r="D31" s="327" t="str">
        <f t="shared" si="0"/>
        <v/>
      </c>
      <c r="E31" s="37">
        <f t="shared" si="3"/>
        <v>44614.989583333343</v>
      </c>
      <c r="F31" s="570" t="s">
        <v>2503</v>
      </c>
      <c r="G31" s="573"/>
      <c r="H31" s="570">
        <v>150</v>
      </c>
      <c r="I31" s="570"/>
      <c r="J31" s="570"/>
      <c r="K31" s="570"/>
    </row>
    <row r="32" spans="1:13" x14ac:dyDescent="0.25">
      <c r="A32" s="31">
        <f t="shared" si="1"/>
        <v>44614.989583333343</v>
      </c>
      <c r="B32" s="37">
        <f t="shared" si="2"/>
        <v>44614.989583333343</v>
      </c>
      <c r="C32" s="36">
        <v>0.15625</v>
      </c>
      <c r="D32" s="327" t="str">
        <f t="shared" si="0"/>
        <v/>
      </c>
      <c r="E32" s="37">
        <f t="shared" si="3"/>
        <v>44615.145833333343</v>
      </c>
      <c r="F32" s="570" t="s">
        <v>2504</v>
      </c>
      <c r="G32" s="573"/>
      <c r="H32" s="570">
        <v>150</v>
      </c>
      <c r="I32" s="570"/>
      <c r="J32" s="570"/>
      <c r="K32" s="570"/>
    </row>
    <row r="33" spans="1:13" x14ac:dyDescent="0.25">
      <c r="A33" s="31">
        <f t="shared" si="1"/>
        <v>44615.145833333343</v>
      </c>
      <c r="B33" s="37">
        <f t="shared" si="2"/>
        <v>44615.145833333343</v>
      </c>
      <c r="C33" s="36">
        <v>0.13541666666666666</v>
      </c>
      <c r="D33" s="327" t="str">
        <f t="shared" si="0"/>
        <v/>
      </c>
      <c r="E33" s="37">
        <f t="shared" si="3"/>
        <v>44615.281250000007</v>
      </c>
      <c r="F33" s="570" t="s">
        <v>2505</v>
      </c>
      <c r="G33" s="573"/>
      <c r="H33" s="570">
        <v>150</v>
      </c>
      <c r="I33" s="570"/>
      <c r="J33" s="570"/>
      <c r="K33" s="570"/>
      <c r="L33" s="570" t="s">
        <v>2506</v>
      </c>
      <c r="M33" s="570">
        <f>SUM(H33:K44)</f>
        <v>3284.3</v>
      </c>
    </row>
    <row r="34" spans="1:13" x14ac:dyDescent="0.25">
      <c r="A34" s="31">
        <f t="shared" si="1"/>
        <v>44615.281250000007</v>
      </c>
      <c r="B34" s="37">
        <f t="shared" si="2"/>
        <v>44615.281250000007</v>
      </c>
      <c r="C34" s="36" t="s">
        <v>99</v>
      </c>
      <c r="D34" s="327"/>
      <c r="E34" s="37" t="s">
        <v>99</v>
      </c>
      <c r="F34" s="576" t="s">
        <v>2507</v>
      </c>
      <c r="G34" s="877" t="s">
        <v>2536</v>
      </c>
      <c r="H34" s="570"/>
      <c r="I34" s="570"/>
      <c r="J34" s="570"/>
      <c r="K34" s="570"/>
    </row>
    <row r="35" spans="1:13" x14ac:dyDescent="0.25">
      <c r="A35" s="31">
        <f>IF(D33 = "",A33+C33,A33+D33)</f>
        <v>44615.281250000007</v>
      </c>
      <c r="B35" s="37">
        <f>IF(D33 = "",B33+C33,B33+D33)</f>
        <v>44615.281250000007</v>
      </c>
      <c r="C35" s="36">
        <v>2.0833333333333332E-2</v>
      </c>
      <c r="D35" s="327">
        <v>0.125</v>
      </c>
      <c r="E35" s="37">
        <f t="shared" si="3"/>
        <v>44615.302083333343</v>
      </c>
      <c r="F35" s="570" t="s">
        <v>2508</v>
      </c>
      <c r="G35" s="573"/>
      <c r="H35" s="570"/>
      <c r="I35" s="570"/>
      <c r="J35" s="570"/>
      <c r="K35" s="570"/>
    </row>
    <row r="36" spans="1:13" x14ac:dyDescent="0.25">
      <c r="A36" s="31">
        <f t="shared" si="1"/>
        <v>44615.406250000007</v>
      </c>
      <c r="B36" s="37">
        <f t="shared" si="2"/>
        <v>44615.406250000007</v>
      </c>
      <c r="C36" s="36">
        <v>6.25E-2</v>
      </c>
      <c r="D36" s="327" t="str">
        <f t="shared" si="0"/>
        <v/>
      </c>
      <c r="E36" s="37">
        <f t="shared" si="3"/>
        <v>44615.468750000007</v>
      </c>
      <c r="F36" s="570" t="s">
        <v>656</v>
      </c>
      <c r="G36" s="573"/>
      <c r="H36" s="570"/>
      <c r="I36" s="570"/>
      <c r="J36" s="570"/>
      <c r="K36" s="570"/>
    </row>
    <row r="37" spans="1:13" x14ac:dyDescent="0.25">
      <c r="A37" s="31">
        <f t="shared" si="1"/>
        <v>44615.468750000007</v>
      </c>
      <c r="B37" s="37">
        <f t="shared" si="2"/>
        <v>44615.468750000007</v>
      </c>
      <c r="C37" s="36">
        <v>1.3888888888888888E-2</v>
      </c>
      <c r="D37" s="327" t="str">
        <f t="shared" si="0"/>
        <v/>
      </c>
      <c r="E37" s="37">
        <f t="shared" si="3"/>
        <v>44615.482638888898</v>
      </c>
      <c r="F37" s="570" t="s">
        <v>2509</v>
      </c>
      <c r="G37" s="573"/>
      <c r="H37" s="570"/>
      <c r="I37" s="570"/>
      <c r="J37" s="570"/>
      <c r="K37" s="570">
        <v>133.69999999999999</v>
      </c>
    </row>
    <row r="38" spans="1:13" x14ac:dyDescent="0.25">
      <c r="A38" s="31">
        <f>IF(D37 = "",A37+C37,A37+D37)</f>
        <v>44615.482638888898</v>
      </c>
      <c r="B38" s="37">
        <f>IF(D37 = "",B37+C37,B37+D37)</f>
        <v>44615.482638888898</v>
      </c>
      <c r="C38" s="36">
        <v>1.3888888888888888E-2</v>
      </c>
      <c r="D38" s="327" t="str">
        <f t="shared" si="0"/>
        <v/>
      </c>
      <c r="E38" s="37">
        <f t="shared" si="3"/>
        <v>44615.496527777788</v>
      </c>
      <c r="F38" s="570" t="s">
        <v>2510</v>
      </c>
      <c r="G38" s="573"/>
      <c r="H38" s="570"/>
      <c r="I38" s="570">
        <v>146.19999999999999</v>
      </c>
      <c r="J38" s="570"/>
      <c r="K38" s="570"/>
    </row>
    <row r="39" spans="1:13" ht="15" customHeight="1" x14ac:dyDescent="0.25">
      <c r="A39" s="1070" t="s">
        <v>2511</v>
      </c>
      <c r="B39" s="1070"/>
      <c r="C39" s="1070"/>
      <c r="D39" s="1070"/>
      <c r="E39" s="1070"/>
      <c r="F39" s="1070"/>
      <c r="G39" s="1071"/>
      <c r="H39" s="777"/>
      <c r="I39" s="777"/>
      <c r="J39" s="777"/>
      <c r="K39" s="777"/>
    </row>
    <row r="40" spans="1:13" x14ac:dyDescent="0.25">
      <c r="A40" s="31">
        <f>IF(D38 = "",A38+C38,A38+D38)</f>
        <v>44615.496527777788</v>
      </c>
      <c r="B40" s="37">
        <f>IF(D38 = "",B38+C38,B38+D38)</f>
        <v>44615.496527777788</v>
      </c>
      <c r="C40" s="36">
        <v>0</v>
      </c>
      <c r="D40" s="327"/>
      <c r="E40" s="37">
        <f>B40+C40</f>
        <v>44615.496527777788</v>
      </c>
      <c r="F40" s="570" t="s">
        <v>2509</v>
      </c>
      <c r="G40" s="573"/>
      <c r="H40" s="570"/>
      <c r="I40" s="570"/>
      <c r="J40" s="570"/>
      <c r="K40" s="570"/>
    </row>
    <row r="41" spans="1:13" x14ac:dyDescent="0.25">
      <c r="A41" s="31">
        <f>IF(D40 = "",A40+C40,A40+D40)</f>
        <v>44615.496527777788</v>
      </c>
      <c r="B41" s="37">
        <f>IF(D40 = "",B40+C40,B40+D40)</f>
        <v>44615.496527777788</v>
      </c>
      <c r="C41" s="36">
        <v>3.4722222222222224E-2</v>
      </c>
      <c r="D41" s="327" t="str">
        <f t="shared" si="0"/>
        <v/>
      </c>
      <c r="E41" s="37">
        <f t="shared" si="3"/>
        <v>44615.531250000007</v>
      </c>
      <c r="F41" s="570" t="s">
        <v>2512</v>
      </c>
      <c r="G41" s="573"/>
      <c r="H41" s="570"/>
      <c r="I41" s="570"/>
      <c r="J41" s="570"/>
      <c r="K41" s="570">
        <v>70</v>
      </c>
    </row>
    <row r="42" spans="1:13" x14ac:dyDescent="0.25">
      <c r="A42" s="31">
        <f t="shared" ref="A42:A45" si="4">IF(D41 = "",A41+C41,A41+D41)</f>
        <v>44615.531250000007</v>
      </c>
      <c r="B42" s="37">
        <f t="shared" ref="B42:B45" si="5">IF(D41 = "",B41+C41,B41+D41)</f>
        <v>44615.531250000007</v>
      </c>
      <c r="C42" s="36">
        <v>0.125</v>
      </c>
      <c r="D42" s="327" t="str">
        <f t="shared" si="0"/>
        <v/>
      </c>
      <c r="E42" s="37">
        <f t="shared" si="3"/>
        <v>44615.656250000007</v>
      </c>
      <c r="F42" s="570" t="s">
        <v>2513</v>
      </c>
      <c r="G42" s="573"/>
      <c r="H42" s="570"/>
      <c r="I42" s="570"/>
      <c r="J42" s="570"/>
      <c r="K42" s="570">
        <v>792.2</v>
      </c>
    </row>
    <row r="43" spans="1:13" x14ac:dyDescent="0.25">
      <c r="A43" s="31">
        <f t="shared" si="4"/>
        <v>44615.656250000007</v>
      </c>
      <c r="B43" s="37">
        <f t="shared" si="5"/>
        <v>44615.656250000007</v>
      </c>
      <c r="C43" s="36">
        <v>0.51041666666666663</v>
      </c>
      <c r="D43" s="327" t="str">
        <f t="shared" si="0"/>
        <v/>
      </c>
      <c r="E43" s="37">
        <f t="shared" si="3"/>
        <v>44616.166666666672</v>
      </c>
      <c r="F43" s="570" t="s">
        <v>2514</v>
      </c>
      <c r="G43" s="573"/>
      <c r="H43" s="570"/>
      <c r="I43" s="570"/>
      <c r="J43" s="570"/>
      <c r="K43" s="570">
        <v>1200</v>
      </c>
    </row>
    <row r="44" spans="1:13" x14ac:dyDescent="0.25">
      <c r="A44" s="31">
        <f t="shared" si="4"/>
        <v>44616.166666666672</v>
      </c>
      <c r="B44" s="37">
        <f t="shared" si="5"/>
        <v>44616.166666666672</v>
      </c>
      <c r="C44" s="36">
        <v>0.15625</v>
      </c>
      <c r="D44" s="327" t="str">
        <f t="shared" si="0"/>
        <v/>
      </c>
      <c r="E44" s="37">
        <f t="shared" si="3"/>
        <v>44616.322916666672</v>
      </c>
      <c r="F44" s="570" t="s">
        <v>2515</v>
      </c>
      <c r="G44" s="573"/>
      <c r="H44" s="570"/>
      <c r="I44" s="570"/>
      <c r="J44" s="570"/>
      <c r="K44" s="570">
        <v>792.2</v>
      </c>
      <c r="L44" s="570" t="s">
        <v>2516</v>
      </c>
      <c r="M44" s="570">
        <f>SUM(H45:K59)</f>
        <v>2522.9</v>
      </c>
    </row>
    <row r="45" spans="1:13" x14ac:dyDescent="0.25">
      <c r="A45" s="31">
        <f t="shared" si="4"/>
        <v>44616.322916666672</v>
      </c>
      <c r="B45" s="37">
        <f t="shared" si="5"/>
        <v>44616.322916666672</v>
      </c>
      <c r="C45" s="36">
        <v>1.3888888888888888E-2</v>
      </c>
      <c r="D45" s="327" t="str">
        <f t="shared" si="0"/>
        <v/>
      </c>
      <c r="E45" s="37">
        <f t="shared" si="3"/>
        <v>44616.336805555562</v>
      </c>
      <c r="F45" s="570" t="s">
        <v>2517</v>
      </c>
      <c r="G45" s="575"/>
      <c r="H45" s="570"/>
      <c r="I45" s="570"/>
      <c r="J45" s="570"/>
      <c r="K45" s="570"/>
    </row>
    <row r="46" spans="1:13" x14ac:dyDescent="0.25">
      <c r="A46" s="31">
        <f>IF(D45 = "",A45+C45,A45+D45)</f>
        <v>44616.336805555562</v>
      </c>
      <c r="B46" s="37">
        <f>IF(D45 = "",B45+C45,B45+D45)</f>
        <v>44616.336805555562</v>
      </c>
      <c r="C46" s="36">
        <v>6.9444444444444441E-3</v>
      </c>
      <c r="D46" s="327" t="str">
        <f t="shared" si="0"/>
        <v/>
      </c>
      <c r="E46" s="37">
        <f t="shared" si="3"/>
        <v>44616.343750000007</v>
      </c>
      <c r="F46" s="570" t="s">
        <v>2518</v>
      </c>
      <c r="G46" s="573"/>
      <c r="H46" s="570"/>
      <c r="I46" s="570"/>
      <c r="J46" s="570"/>
      <c r="K46" s="570">
        <v>126.3</v>
      </c>
    </row>
    <row r="47" spans="1:13" x14ac:dyDescent="0.25">
      <c r="A47" s="1070" t="s">
        <v>2519</v>
      </c>
      <c r="B47" s="1070"/>
      <c r="C47" s="1070"/>
      <c r="D47" s="1070"/>
      <c r="E47" s="1070"/>
      <c r="F47" s="1070"/>
      <c r="G47" s="1071"/>
      <c r="H47" s="777"/>
      <c r="I47" s="777"/>
      <c r="J47" s="777"/>
      <c r="K47" s="777"/>
    </row>
    <row r="48" spans="1:13" x14ac:dyDescent="0.25">
      <c r="A48" s="31">
        <f>IF(D46 = "",A46+C46,A46+D46)</f>
        <v>44616.343750000007</v>
      </c>
      <c r="B48" s="37">
        <f>IF(D46 = "",B46+C46,B46+D46)</f>
        <v>44616.343750000007</v>
      </c>
      <c r="C48" s="36">
        <v>0</v>
      </c>
      <c r="D48" s="327"/>
      <c r="E48" s="37">
        <f>B48+C48</f>
        <v>44616.343750000007</v>
      </c>
      <c r="F48" s="570" t="s">
        <v>2518</v>
      </c>
      <c r="G48" s="573"/>
      <c r="H48" s="570"/>
      <c r="I48" s="570"/>
      <c r="J48" s="570"/>
      <c r="K48" s="570"/>
    </row>
    <row r="49" spans="1:13" x14ac:dyDescent="0.25">
      <c r="A49" s="31">
        <f>IF(D48 = "",A48+C48,A48+D48)</f>
        <v>44616.343750000007</v>
      </c>
      <c r="B49" s="37">
        <f>IF(D48 = "",B48+C48,B48+D48)</f>
        <v>44616.343750000007</v>
      </c>
      <c r="C49" s="36">
        <v>2.0833333333333332E-2</v>
      </c>
      <c r="D49" s="327" t="str">
        <f t="shared" si="0"/>
        <v/>
      </c>
      <c r="E49" s="37">
        <f t="shared" si="3"/>
        <v>44616.364583333343</v>
      </c>
      <c r="F49" s="570" t="s">
        <v>584</v>
      </c>
      <c r="G49" s="573"/>
      <c r="H49" s="570"/>
      <c r="I49" s="570"/>
      <c r="J49" s="570"/>
      <c r="K49" s="570">
        <v>51.2</v>
      </c>
    </row>
    <row r="50" spans="1:13" x14ac:dyDescent="0.25">
      <c r="A50" s="31">
        <f t="shared" ref="A50:A72" si="6">IF(D49 = "",A49+C49,A49+D49)</f>
        <v>44616.364583333343</v>
      </c>
      <c r="B50" s="37">
        <f t="shared" ref="B50:B72" si="7">IF(D49 = "",B49+C49,B49+D49)</f>
        <v>44616.364583333343</v>
      </c>
      <c r="C50" s="36">
        <v>2.0833333333333332E-2</v>
      </c>
      <c r="D50" s="327" t="str">
        <f t="shared" si="0"/>
        <v/>
      </c>
      <c r="E50" s="37">
        <f t="shared" si="3"/>
        <v>44616.385416666679</v>
      </c>
      <c r="F50" s="570" t="s">
        <v>2489</v>
      </c>
      <c r="G50" s="573"/>
      <c r="H50" s="570"/>
      <c r="I50" s="570"/>
      <c r="J50" s="570"/>
      <c r="K50" s="570">
        <v>610.20000000000005</v>
      </c>
    </row>
    <row r="51" spans="1:13" hidden="1" x14ac:dyDescent="0.25">
      <c r="A51" s="579">
        <f t="shared" si="6"/>
        <v>44616.385416666679</v>
      </c>
      <c r="B51" s="580">
        <f t="shared" si="7"/>
        <v>44616.385416666679</v>
      </c>
      <c r="C51" s="581">
        <v>0</v>
      </c>
      <c r="D51" s="556"/>
      <c r="E51" s="580">
        <f t="shared" si="3"/>
        <v>44616.385416666679</v>
      </c>
      <c r="F51" s="583" t="s">
        <v>693</v>
      </c>
      <c r="G51" s="582"/>
      <c r="H51" s="570"/>
      <c r="I51" s="570"/>
      <c r="J51" s="570"/>
      <c r="K51" s="570"/>
    </row>
    <row r="52" spans="1:13" x14ac:dyDescent="0.25">
      <c r="A52" s="31">
        <f t="shared" si="6"/>
        <v>44616.385416666679</v>
      </c>
      <c r="B52" s="37">
        <f t="shared" si="7"/>
        <v>44616.385416666679</v>
      </c>
      <c r="C52" s="36">
        <v>0.33333333333333331</v>
      </c>
      <c r="D52" s="327" t="str">
        <f t="shared" si="0"/>
        <v/>
      </c>
      <c r="E52" s="37">
        <f t="shared" si="3"/>
        <v>44616.718750000015</v>
      </c>
      <c r="F52" s="570" t="s">
        <v>2490</v>
      </c>
      <c r="G52" s="573"/>
      <c r="H52" s="570"/>
      <c r="I52" s="570"/>
      <c r="J52" s="570"/>
      <c r="K52" s="570">
        <v>550</v>
      </c>
    </row>
    <row r="53" spans="1:13" x14ac:dyDescent="0.25">
      <c r="A53" s="31">
        <f t="shared" si="6"/>
        <v>44616.718750000015</v>
      </c>
      <c r="B53" s="37">
        <f t="shared" si="7"/>
        <v>44616.718750000015</v>
      </c>
      <c r="C53" s="36">
        <v>0.3125</v>
      </c>
      <c r="D53" s="327" t="str">
        <f t="shared" si="0"/>
        <v/>
      </c>
      <c r="E53" s="37">
        <f t="shared" si="3"/>
        <v>44617.031250000015</v>
      </c>
      <c r="F53" s="570" t="s">
        <v>2491</v>
      </c>
      <c r="G53" s="573"/>
      <c r="H53" s="570"/>
      <c r="I53" s="570"/>
      <c r="J53" s="570"/>
      <c r="K53" s="570">
        <v>370</v>
      </c>
    </row>
    <row r="54" spans="1:13" hidden="1" x14ac:dyDescent="0.25">
      <c r="A54" s="579">
        <f t="shared" si="6"/>
        <v>44617.031250000015</v>
      </c>
      <c r="B54" s="580">
        <f t="shared" si="7"/>
        <v>44617.031250000015</v>
      </c>
      <c r="C54" s="581">
        <v>0</v>
      </c>
      <c r="D54" s="556" t="str">
        <f t="shared" si="0"/>
        <v/>
      </c>
      <c r="E54" s="580">
        <f>B54+C54</f>
        <v>44617.031250000015</v>
      </c>
      <c r="F54" s="583" t="s">
        <v>693</v>
      </c>
      <c r="G54" s="573"/>
      <c r="H54" s="570"/>
      <c r="I54" s="570"/>
      <c r="J54" s="570"/>
      <c r="K54" s="570"/>
    </row>
    <row r="55" spans="1:13" x14ac:dyDescent="0.25">
      <c r="A55" s="31">
        <f t="shared" si="6"/>
        <v>44617.031250000015</v>
      </c>
      <c r="B55" s="37">
        <f t="shared" si="7"/>
        <v>44617.031250000015</v>
      </c>
      <c r="C55" s="36">
        <v>8.3333333333333329E-2</v>
      </c>
      <c r="D55" s="327" t="str">
        <f t="shared" si="0"/>
        <v/>
      </c>
      <c r="E55" s="37">
        <f t="shared" si="3"/>
        <v>44617.11458333335</v>
      </c>
      <c r="F55" s="570" t="s">
        <v>2493</v>
      </c>
      <c r="G55" s="573"/>
      <c r="H55" s="570"/>
      <c r="I55" s="570"/>
      <c r="J55" s="570"/>
      <c r="K55" s="570">
        <v>815.2</v>
      </c>
    </row>
    <row r="56" spans="1:13" hidden="1" x14ac:dyDescent="0.25">
      <c r="A56" s="31">
        <f>IF(D55 = "",A55+C55,A55+D55)</f>
        <v>44617.11458333335</v>
      </c>
      <c r="B56" s="37">
        <f>IF(D55 = "",B55+C55,B55+D55)</f>
        <v>44617.11458333335</v>
      </c>
      <c r="C56" s="581">
        <v>0</v>
      </c>
      <c r="D56" s="556"/>
      <c r="E56" s="37">
        <f>B56+C56</f>
        <v>44617.11458333335</v>
      </c>
      <c r="F56" s="583" t="s">
        <v>693</v>
      </c>
      <c r="G56" s="573"/>
      <c r="H56" s="570"/>
      <c r="I56" s="570"/>
      <c r="J56" s="570"/>
      <c r="K56" s="570"/>
    </row>
    <row r="57" spans="1:13" x14ac:dyDescent="0.25">
      <c r="A57" s="604">
        <f>IF(D55 = "",A55+C55,A55+D55)</f>
        <v>44617.11458333335</v>
      </c>
      <c r="B57" s="605">
        <f>IF(D55 = "",B55+C55,B55+D55)</f>
        <v>44617.11458333335</v>
      </c>
      <c r="C57" s="701">
        <v>0.69791666666666663</v>
      </c>
      <c r="D57" s="562"/>
      <c r="E57" s="605">
        <f>B57+C57</f>
        <v>44617.812500000015</v>
      </c>
      <c r="F57" s="702" t="s">
        <v>693</v>
      </c>
      <c r="G57" s="703"/>
      <c r="H57" s="704"/>
      <c r="I57" s="704"/>
      <c r="J57" s="704"/>
      <c r="K57" s="704"/>
    </row>
    <row r="58" spans="1:13" x14ac:dyDescent="0.25">
      <c r="A58" s="31">
        <f>IF(D57 = "",A57+C57,A57+D57)</f>
        <v>44617.812500000015</v>
      </c>
      <c r="B58" s="37">
        <f>IF(D57 = "",B57+C57,B57+D57)</f>
        <v>44617.812500000015</v>
      </c>
      <c r="C58" s="36">
        <v>6.25E-2</v>
      </c>
      <c r="D58" s="327" t="str">
        <f t="shared" si="0"/>
        <v/>
      </c>
      <c r="E58" s="37">
        <f t="shared" si="3"/>
        <v>44617.875000000015</v>
      </c>
      <c r="F58" s="570" t="s">
        <v>589</v>
      </c>
      <c r="G58" s="570"/>
      <c r="H58" s="570"/>
      <c r="I58" s="570"/>
      <c r="J58" s="570"/>
      <c r="K58" s="570"/>
    </row>
    <row r="59" spans="1:13" x14ac:dyDescent="0.25">
      <c r="A59" s="31">
        <f t="shared" si="6"/>
        <v>44617.875000000015</v>
      </c>
      <c r="B59" s="37">
        <f t="shared" si="7"/>
        <v>44617.875000000015</v>
      </c>
      <c r="C59" s="36">
        <v>0.125</v>
      </c>
      <c r="D59" s="327" t="str">
        <f t="shared" si="0"/>
        <v/>
      </c>
      <c r="E59" s="37">
        <f t="shared" si="3"/>
        <v>44618.000000000015</v>
      </c>
      <c r="F59" s="570" t="s">
        <v>628</v>
      </c>
      <c r="G59" s="877" t="s">
        <v>2536</v>
      </c>
      <c r="H59" s="570"/>
      <c r="I59" s="570"/>
      <c r="J59" s="570"/>
      <c r="K59" s="570"/>
    </row>
    <row r="60" spans="1:13" hidden="1" x14ac:dyDescent="0.25">
      <c r="A60" s="604">
        <f t="shared" si="6"/>
        <v>44618.000000000015</v>
      </c>
      <c r="B60" s="605">
        <f t="shared" si="7"/>
        <v>44618.000000000015</v>
      </c>
      <c r="C60" s="701">
        <v>0</v>
      </c>
      <c r="D60" s="562"/>
      <c r="E60" s="605">
        <f>B60+C60</f>
        <v>44618.000000000015</v>
      </c>
      <c r="F60" s="702" t="s">
        <v>693</v>
      </c>
      <c r="G60" s="703"/>
      <c r="H60" s="704"/>
      <c r="I60" s="704"/>
      <c r="J60" s="704"/>
      <c r="K60" s="704"/>
    </row>
    <row r="61" spans="1:13" x14ac:dyDescent="0.25">
      <c r="A61" s="31">
        <f t="shared" si="6"/>
        <v>44618.000000000015</v>
      </c>
      <c r="B61" s="37">
        <f>IF(D60 = "",B60+C60,B60+D60)</f>
        <v>44618.000000000015</v>
      </c>
      <c r="C61" s="36">
        <v>4.1666666666666664E-2</v>
      </c>
      <c r="D61" s="327" t="str">
        <f t="shared" si="0"/>
        <v/>
      </c>
      <c r="E61" s="37">
        <f t="shared" si="3"/>
        <v>44618.041666666679</v>
      </c>
      <c r="F61" s="570" t="s">
        <v>2463</v>
      </c>
      <c r="G61" s="573"/>
      <c r="H61" s="570"/>
      <c r="I61" s="570"/>
      <c r="J61" s="570"/>
      <c r="K61" s="570">
        <v>99.8</v>
      </c>
      <c r="L61" s="570" t="s">
        <v>2520</v>
      </c>
      <c r="M61" s="570">
        <f>SUM(H61:K78)</f>
        <v>3778.1</v>
      </c>
    </row>
    <row r="62" spans="1:13" x14ac:dyDescent="0.25">
      <c r="A62" s="31">
        <f t="shared" si="6"/>
        <v>44618.041666666679</v>
      </c>
      <c r="B62" s="37">
        <f t="shared" si="7"/>
        <v>44618.041666666679</v>
      </c>
      <c r="C62" s="36">
        <v>0</v>
      </c>
      <c r="D62" s="327"/>
      <c r="E62" s="37">
        <f t="shared" si="3"/>
        <v>44618.041666666679</v>
      </c>
      <c r="F62" s="576" t="s">
        <v>2521</v>
      </c>
      <c r="G62" s="877" t="s">
        <v>2536</v>
      </c>
      <c r="H62" s="570"/>
      <c r="I62" s="570"/>
      <c r="J62" s="570"/>
      <c r="K62" s="570"/>
    </row>
    <row r="63" spans="1:13" x14ac:dyDescent="0.25">
      <c r="A63" s="604">
        <f t="shared" si="6"/>
        <v>44618.041666666679</v>
      </c>
      <c r="B63" s="605">
        <f t="shared" si="7"/>
        <v>44618.041666666679</v>
      </c>
      <c r="C63" s="701">
        <v>2.2916666666666665</v>
      </c>
      <c r="D63" s="562"/>
      <c r="E63" s="605">
        <f t="shared" si="3"/>
        <v>44620.333333333343</v>
      </c>
      <c r="F63" s="889" t="s">
        <v>693</v>
      </c>
      <c r="G63" s="888"/>
      <c r="H63" s="704"/>
      <c r="I63" s="704"/>
      <c r="J63" s="704"/>
      <c r="K63" s="704"/>
    </row>
    <row r="64" spans="1:13" x14ac:dyDescent="0.25">
      <c r="A64" s="31">
        <f>IF(D63 = "",A63+C63,A63+D63)</f>
        <v>44620.333333333343</v>
      </c>
      <c r="B64" s="37">
        <f>IF(D63 = "",B63+C63,B63+D63)</f>
        <v>44620.333333333343</v>
      </c>
      <c r="C64" s="36">
        <v>0.14583333333333334</v>
      </c>
      <c r="D64" s="327" t="str">
        <f t="shared" si="0"/>
        <v/>
      </c>
      <c r="E64" s="37">
        <f t="shared" si="3"/>
        <v>44620.479166666679</v>
      </c>
      <c r="F64" s="570" t="s">
        <v>589</v>
      </c>
      <c r="G64" s="573"/>
      <c r="H64" s="570"/>
      <c r="I64" s="570"/>
      <c r="J64" s="570"/>
      <c r="K64" s="570"/>
    </row>
    <row r="65" spans="1:13" x14ac:dyDescent="0.25">
      <c r="A65" s="31">
        <f>IF(D64 = "",A64+C64,A64+D64)</f>
        <v>44620.479166666679</v>
      </c>
      <c r="B65" s="37">
        <f>IF(D64 = "",B64+C64,B64+D64)</f>
        <v>44620.479166666679</v>
      </c>
      <c r="C65" s="36">
        <v>2.0833333333333332E-2</v>
      </c>
      <c r="D65" s="327" t="str">
        <f t="shared" si="0"/>
        <v/>
      </c>
      <c r="E65" s="37">
        <f t="shared" si="3"/>
        <v>44620.500000000015</v>
      </c>
      <c r="F65" s="570" t="s">
        <v>2522</v>
      </c>
      <c r="G65" s="573"/>
      <c r="H65" s="570"/>
      <c r="I65" s="570"/>
      <c r="J65" s="570">
        <v>50.5</v>
      </c>
      <c r="K65" s="570"/>
    </row>
    <row r="66" spans="1:13" x14ac:dyDescent="0.25">
      <c r="A66" s="31">
        <f>IF(D65 = "",A65+C65,A65+D65)</f>
        <v>44620.500000000015</v>
      </c>
      <c r="B66" s="37">
        <f>IF(D65 = "",B65+C65,B65+D65)</f>
        <v>44620.500000000015</v>
      </c>
      <c r="C66" s="36">
        <v>0.125</v>
      </c>
      <c r="D66" s="327" t="str">
        <f t="shared" si="0"/>
        <v/>
      </c>
      <c r="E66" s="37">
        <f t="shared" si="3"/>
        <v>44620.625000000015</v>
      </c>
      <c r="F66" s="570" t="s">
        <v>2523</v>
      </c>
      <c r="G66" s="573"/>
      <c r="H66" s="570"/>
      <c r="I66" s="570"/>
      <c r="J66" s="570">
        <v>400</v>
      </c>
      <c r="K66" s="570"/>
      <c r="L66" s="570" t="s">
        <v>2524</v>
      </c>
      <c r="M66" s="570">
        <f>SUM(K52:K53)</f>
        <v>920</v>
      </c>
    </row>
    <row r="67" spans="1:13" x14ac:dyDescent="0.25">
      <c r="A67" s="31">
        <f t="shared" si="6"/>
        <v>44620.625000000015</v>
      </c>
      <c r="B67" s="37">
        <f t="shared" si="7"/>
        <v>44620.625000000015</v>
      </c>
      <c r="C67" s="36">
        <v>0.125</v>
      </c>
      <c r="D67" s="327" t="str">
        <f t="shared" si="0"/>
        <v/>
      </c>
      <c r="E67" s="37">
        <f t="shared" si="3"/>
        <v>44620.750000000015</v>
      </c>
      <c r="F67" s="570" t="s">
        <v>2525</v>
      </c>
      <c r="G67" s="573"/>
      <c r="H67" s="570"/>
      <c r="I67" s="570"/>
      <c r="J67" s="570">
        <v>400</v>
      </c>
      <c r="K67" s="570"/>
    </row>
    <row r="68" spans="1:13" x14ac:dyDescent="0.25">
      <c r="A68" s="31">
        <f t="shared" si="6"/>
        <v>44620.750000000015</v>
      </c>
      <c r="B68" s="37">
        <f t="shared" si="7"/>
        <v>44620.750000000015</v>
      </c>
      <c r="C68" s="36">
        <v>0.125</v>
      </c>
      <c r="D68" s="327" t="str">
        <f t="shared" si="0"/>
        <v/>
      </c>
      <c r="E68" s="37">
        <f t="shared" si="3"/>
        <v>44620.875000000015</v>
      </c>
      <c r="F68" s="570" t="s">
        <v>2526</v>
      </c>
      <c r="G68" s="573"/>
      <c r="H68" s="570"/>
      <c r="I68" s="570"/>
      <c r="J68" s="570">
        <v>400</v>
      </c>
      <c r="K68" s="570"/>
    </row>
    <row r="69" spans="1:13" x14ac:dyDescent="0.25">
      <c r="A69" s="31">
        <f t="shared" si="6"/>
        <v>44620.875000000015</v>
      </c>
      <c r="B69" s="37">
        <f t="shared" si="7"/>
        <v>44620.875000000015</v>
      </c>
      <c r="C69" s="36">
        <v>0.10416666666666667</v>
      </c>
      <c r="D69" s="327" t="str">
        <f t="shared" si="0"/>
        <v/>
      </c>
      <c r="E69" s="37">
        <f t="shared" si="3"/>
        <v>44620.979166666679</v>
      </c>
      <c r="F69" s="570" t="s">
        <v>2527</v>
      </c>
      <c r="G69" s="573"/>
      <c r="H69" s="570"/>
      <c r="I69" s="570"/>
      <c r="J69" s="570">
        <v>300</v>
      </c>
      <c r="K69" s="570"/>
    </row>
    <row r="70" spans="1:13" x14ac:dyDescent="0.25">
      <c r="A70" s="31">
        <f t="shared" si="6"/>
        <v>44620.979166666679</v>
      </c>
      <c r="B70" s="37">
        <f t="shared" si="7"/>
        <v>44620.979166666679</v>
      </c>
      <c r="C70" s="36" t="s">
        <v>99</v>
      </c>
      <c r="D70" s="327"/>
      <c r="E70" s="37" t="s">
        <v>99</v>
      </c>
      <c r="F70" s="576" t="s">
        <v>2528</v>
      </c>
      <c r="G70" s="877" t="s">
        <v>2536</v>
      </c>
      <c r="H70" s="570"/>
      <c r="I70" s="570"/>
      <c r="J70" s="570"/>
      <c r="K70" s="570"/>
    </row>
    <row r="71" spans="1:13" x14ac:dyDescent="0.25">
      <c r="A71" s="31">
        <f>IF(D69 = "",A69+C69,A69+D69)</f>
        <v>44620.979166666679</v>
      </c>
      <c r="B71" s="37">
        <f>IF(D69 = "",B69+C69,B69+D69)</f>
        <v>44620.979166666679</v>
      </c>
      <c r="C71" s="36">
        <v>6.25E-2</v>
      </c>
      <c r="D71" s="327" t="str">
        <f t="shared" si="0"/>
        <v/>
      </c>
      <c r="E71" s="37">
        <f t="shared" si="3"/>
        <v>44621.041666666679</v>
      </c>
      <c r="F71" s="570" t="s">
        <v>656</v>
      </c>
      <c r="G71" s="573"/>
      <c r="H71" s="570"/>
      <c r="I71" s="570"/>
      <c r="J71" s="570"/>
      <c r="K71" s="570"/>
    </row>
    <row r="72" spans="1:13" x14ac:dyDescent="0.25">
      <c r="A72" s="31">
        <f t="shared" si="6"/>
        <v>44621.041666666679</v>
      </c>
      <c r="B72" s="37">
        <f t="shared" si="7"/>
        <v>44621.041666666679</v>
      </c>
      <c r="C72" s="36">
        <v>1.3888888888888888E-2</v>
      </c>
      <c r="D72" s="327" t="str">
        <f t="shared" si="0"/>
        <v/>
      </c>
      <c r="E72" s="37">
        <f t="shared" si="3"/>
        <v>44621.055555555569</v>
      </c>
      <c r="F72" s="570" t="s">
        <v>2465</v>
      </c>
      <c r="G72" s="573"/>
      <c r="H72" s="570"/>
      <c r="I72" s="570"/>
      <c r="J72" s="570"/>
      <c r="K72" s="570">
        <v>130</v>
      </c>
    </row>
    <row r="73" spans="1:13" x14ac:dyDescent="0.25">
      <c r="A73" s="31">
        <f>IF(D72 = "",A72+C72,A72+D72)</f>
        <v>44621.055555555569</v>
      </c>
      <c r="B73" s="37">
        <f>IF(D72 = "",B72+C72,B72+D72)</f>
        <v>44621.055555555569</v>
      </c>
      <c r="C73" s="36">
        <v>1.3888888888888888E-2</v>
      </c>
      <c r="D73" s="327" t="str">
        <f t="shared" si="0"/>
        <v/>
      </c>
      <c r="E73" s="37">
        <f t="shared" si="3"/>
        <v>44621.06944444446</v>
      </c>
      <c r="F73" s="570" t="s">
        <v>2529</v>
      </c>
      <c r="G73" s="573"/>
      <c r="H73" s="570"/>
      <c r="I73" s="570"/>
      <c r="J73" s="570">
        <v>116.1</v>
      </c>
      <c r="K73" s="570"/>
    </row>
    <row r="74" spans="1:13" x14ac:dyDescent="0.25">
      <c r="A74" s="1070" t="s">
        <v>640</v>
      </c>
      <c r="B74" s="1070"/>
      <c r="C74" s="1070"/>
      <c r="D74" s="1070"/>
      <c r="E74" s="1070"/>
      <c r="F74" s="1070"/>
      <c r="G74" s="1071"/>
      <c r="H74" s="777"/>
      <c r="I74" s="777"/>
      <c r="J74" s="777"/>
      <c r="K74" s="777"/>
      <c r="L74" s="777"/>
      <c r="M74" s="777"/>
    </row>
    <row r="75" spans="1:13" x14ac:dyDescent="0.25">
      <c r="A75" s="31">
        <f>IF(D72 = "",A72+C72,A72+D72)</f>
        <v>44621.055555555569</v>
      </c>
      <c r="B75" s="37">
        <f>IF(D72 = "",B72+C72,B72+D72)</f>
        <v>44621.055555555569</v>
      </c>
      <c r="C75" s="261">
        <v>1.3888888888888888E-2</v>
      </c>
      <c r="D75" s="327"/>
      <c r="E75" s="37">
        <f>B75+C75</f>
        <v>44621.06944444446</v>
      </c>
      <c r="F75" s="570" t="s">
        <v>2465</v>
      </c>
      <c r="G75" s="573"/>
      <c r="H75" s="570"/>
      <c r="I75" s="570"/>
      <c r="J75" s="570"/>
      <c r="K75" s="570"/>
    </row>
    <row r="76" spans="1:13" x14ac:dyDescent="0.25">
      <c r="A76" s="31">
        <f>IF(D75 = "",A75+C75,A75+D75)</f>
        <v>44621.06944444446</v>
      </c>
      <c r="B76" s="37">
        <f>IF(D75 = "",B75+C75,B75+D75)</f>
        <v>44621.06944444446</v>
      </c>
      <c r="C76" s="261">
        <v>0</v>
      </c>
      <c r="D76" s="327"/>
      <c r="E76" s="37">
        <f t="shared" ref="E76:E89" si="8">B76+C76</f>
        <v>44621.06944444446</v>
      </c>
      <c r="F76" s="570" t="s">
        <v>2529</v>
      </c>
      <c r="G76" s="573"/>
      <c r="H76" s="570"/>
      <c r="I76" s="570"/>
      <c r="J76" s="570"/>
      <c r="K76" s="570"/>
    </row>
    <row r="77" spans="1:13" x14ac:dyDescent="0.25">
      <c r="A77" s="31">
        <f t="shared" ref="A77:A88" si="9">IF(D76 = "",A76+C76,A76+D76)</f>
        <v>44621.06944444446</v>
      </c>
      <c r="B77" s="37">
        <f t="shared" ref="B77:B88" si="10">IF(D76 = "",B76+C76,B76+D76)</f>
        <v>44621.06944444446</v>
      </c>
      <c r="C77" s="261">
        <v>6.25E-2</v>
      </c>
      <c r="D77" s="327"/>
      <c r="E77" s="37">
        <f t="shared" si="8"/>
        <v>44621.13194444446</v>
      </c>
      <c r="F77" s="578" t="s">
        <v>2530</v>
      </c>
      <c r="G77" s="573"/>
      <c r="H77" s="570"/>
      <c r="I77" s="570"/>
      <c r="J77" s="570"/>
      <c r="K77" s="570">
        <v>1621.7</v>
      </c>
    </row>
    <row r="78" spans="1:13" x14ac:dyDescent="0.25">
      <c r="A78" s="31">
        <f t="shared" si="9"/>
        <v>44621.13194444446</v>
      </c>
      <c r="B78" s="37">
        <f t="shared" si="10"/>
        <v>44621.13194444446</v>
      </c>
      <c r="C78" s="261">
        <v>0.15625</v>
      </c>
      <c r="D78" s="327" t="str">
        <f t="shared" si="0"/>
        <v/>
      </c>
      <c r="E78" s="37">
        <f t="shared" si="8"/>
        <v>44621.28819444446</v>
      </c>
      <c r="F78" s="476" t="s">
        <v>2475</v>
      </c>
      <c r="G78" s="573"/>
      <c r="H78" s="570"/>
      <c r="I78" s="570"/>
      <c r="J78" s="570"/>
      <c r="K78" s="570">
        <v>260</v>
      </c>
    </row>
    <row r="79" spans="1:13" x14ac:dyDescent="0.25">
      <c r="A79" s="31">
        <f>IF(D78 = "",A78+C78,A78+D78)</f>
        <v>44621.28819444446</v>
      </c>
      <c r="B79" s="37">
        <f>IF(D78 = "",B78+C78,B78+D78)</f>
        <v>44621.28819444446</v>
      </c>
      <c r="C79" s="261">
        <v>0.15625</v>
      </c>
      <c r="D79" s="327" t="str">
        <f t="shared" si="0"/>
        <v/>
      </c>
      <c r="E79" s="37">
        <f t="shared" si="8"/>
        <v>44621.44444444446</v>
      </c>
      <c r="F79" s="476" t="s">
        <v>2476</v>
      </c>
      <c r="G79" s="573"/>
      <c r="H79" s="570"/>
      <c r="I79" s="570"/>
      <c r="J79" s="570"/>
      <c r="K79" s="570">
        <v>260</v>
      </c>
      <c r="L79" s="188" t="s">
        <v>2531</v>
      </c>
      <c r="M79" s="188">
        <f>SUM(H79:K89)</f>
        <v>1763.8000000000002</v>
      </c>
    </row>
    <row r="80" spans="1:13" x14ac:dyDescent="0.25">
      <c r="A80" s="31">
        <f>IF(D79 = "",A79+C79,A79+D79)</f>
        <v>44621.44444444446</v>
      </c>
      <c r="B80" s="37">
        <f>IF(D79 = "",B79+C79,B79+D79)</f>
        <v>44621.44444444446</v>
      </c>
      <c r="C80" s="261">
        <v>0.15625</v>
      </c>
      <c r="D80" s="327" t="str">
        <f t="shared" si="0"/>
        <v/>
      </c>
      <c r="E80" s="37">
        <f t="shared" si="8"/>
        <v>44621.60069444446</v>
      </c>
      <c r="F80" s="476" t="s">
        <v>2477</v>
      </c>
      <c r="G80" s="573"/>
      <c r="H80" s="570"/>
      <c r="I80" s="570"/>
      <c r="J80" s="570"/>
      <c r="K80" s="570">
        <v>260</v>
      </c>
    </row>
    <row r="81" spans="1:11" x14ac:dyDescent="0.25">
      <c r="A81" s="31">
        <f>IF(D80 = "",A80+C80,A80+D80)</f>
        <v>44621.60069444446</v>
      </c>
      <c r="B81" s="37">
        <f>IF(D80 = "",B80+C80,B80+D80)</f>
        <v>44621.60069444446</v>
      </c>
      <c r="C81" s="261">
        <v>0.11458333333333333</v>
      </c>
      <c r="D81" s="327" t="str">
        <f t="shared" si="0"/>
        <v/>
      </c>
      <c r="E81" s="37">
        <f t="shared" si="8"/>
        <v>44621.715277777796</v>
      </c>
      <c r="F81" s="476" t="s">
        <v>647</v>
      </c>
      <c r="G81" s="573"/>
      <c r="H81" s="570"/>
      <c r="I81" s="570"/>
      <c r="J81" s="570"/>
      <c r="K81" s="570"/>
    </row>
    <row r="82" spans="1:11" hidden="1" x14ac:dyDescent="0.25">
      <c r="A82" s="604">
        <f t="shared" si="9"/>
        <v>44621.715277777796</v>
      </c>
      <c r="B82" s="605">
        <f t="shared" si="10"/>
        <v>44621.715277777796</v>
      </c>
      <c r="C82" s="701">
        <v>0</v>
      </c>
      <c r="D82" s="562"/>
      <c r="E82" s="605">
        <f t="shared" si="8"/>
        <v>44621.715277777796</v>
      </c>
      <c r="F82" s="565" t="s">
        <v>693</v>
      </c>
      <c r="G82" s="703"/>
      <c r="H82" s="704"/>
      <c r="I82" s="704"/>
      <c r="J82" s="704"/>
      <c r="K82" s="704"/>
    </row>
    <row r="83" spans="1:11" x14ac:dyDescent="0.25">
      <c r="A83" s="31">
        <f t="shared" si="9"/>
        <v>44621.715277777796</v>
      </c>
      <c r="B83" s="37">
        <f t="shared" si="10"/>
        <v>44621.715277777796</v>
      </c>
      <c r="C83" s="261">
        <v>0.125</v>
      </c>
      <c r="D83" s="327" t="str">
        <f t="shared" si="0"/>
        <v/>
      </c>
      <c r="E83" s="37">
        <f t="shared" si="8"/>
        <v>44621.840277777796</v>
      </c>
      <c r="F83" s="476" t="s">
        <v>597</v>
      </c>
      <c r="G83" s="877" t="s">
        <v>2536</v>
      </c>
      <c r="H83" s="570"/>
      <c r="I83" s="570"/>
      <c r="J83" s="570"/>
      <c r="K83" s="570"/>
    </row>
    <row r="84" spans="1:11" x14ac:dyDescent="0.25">
      <c r="A84" s="31">
        <f t="shared" si="9"/>
        <v>44621.840277777796</v>
      </c>
      <c r="B84" s="37">
        <f t="shared" si="10"/>
        <v>44621.840277777796</v>
      </c>
      <c r="C84" s="261">
        <v>3.125E-2</v>
      </c>
      <c r="D84" s="327" t="str">
        <f t="shared" si="0"/>
        <v/>
      </c>
      <c r="E84" s="37">
        <f t="shared" si="8"/>
        <v>44621.871527777796</v>
      </c>
      <c r="F84" s="476" t="s">
        <v>2461</v>
      </c>
      <c r="G84" s="573"/>
      <c r="H84" s="570"/>
      <c r="I84" s="570"/>
      <c r="J84" s="570"/>
      <c r="K84" s="570">
        <v>1206.9000000000001</v>
      </c>
    </row>
    <row r="85" spans="1:11" x14ac:dyDescent="0.25">
      <c r="A85" s="31">
        <f t="shared" si="9"/>
        <v>44621.871527777796</v>
      </c>
      <c r="B85" s="37">
        <f>IF(D84 = "",B84+C84,B84+D84)</f>
        <v>44621.871527777796</v>
      </c>
      <c r="C85" s="261">
        <v>0.11458333333333333</v>
      </c>
      <c r="D85" s="327" t="str">
        <f t="shared" si="0"/>
        <v/>
      </c>
      <c r="E85" s="37">
        <f t="shared" si="8"/>
        <v>44621.986111111131</v>
      </c>
      <c r="F85" s="476" t="s">
        <v>647</v>
      </c>
      <c r="G85" s="573"/>
      <c r="H85" s="570"/>
      <c r="I85" s="570"/>
      <c r="J85" s="570"/>
      <c r="K85" s="570"/>
    </row>
    <row r="86" spans="1:11" x14ac:dyDescent="0.25">
      <c r="A86" s="31">
        <f t="shared" si="9"/>
        <v>44621.986111111131</v>
      </c>
      <c r="B86" s="37">
        <f t="shared" si="10"/>
        <v>44621.986111111131</v>
      </c>
      <c r="C86" s="261">
        <v>4.1666666666666664E-2</v>
      </c>
      <c r="D86" s="327" t="str">
        <f t="shared" si="0"/>
        <v/>
      </c>
      <c r="E86" s="37">
        <f t="shared" si="8"/>
        <v>44622.027777777796</v>
      </c>
      <c r="F86" s="476" t="s">
        <v>648</v>
      </c>
      <c r="G86" s="877" t="s">
        <v>2536</v>
      </c>
      <c r="H86" s="570"/>
      <c r="I86" s="570"/>
      <c r="J86" s="570"/>
      <c r="K86" s="570"/>
    </row>
    <row r="87" spans="1:11" x14ac:dyDescent="0.25">
      <c r="A87" s="31">
        <f t="shared" si="9"/>
        <v>44622.027777777796</v>
      </c>
      <c r="B87" s="37">
        <f t="shared" si="10"/>
        <v>44622.027777777796</v>
      </c>
      <c r="C87" s="261">
        <v>2.0833333333333332E-2</v>
      </c>
      <c r="D87" s="327" t="str">
        <f t="shared" si="0"/>
        <v/>
      </c>
      <c r="E87" s="37">
        <f t="shared" si="8"/>
        <v>44622.048611111131</v>
      </c>
      <c r="F87" s="476" t="s">
        <v>598</v>
      </c>
      <c r="G87" s="573"/>
      <c r="H87" s="570"/>
      <c r="I87" s="570"/>
      <c r="J87" s="570"/>
      <c r="K87" s="570">
        <v>36.9</v>
      </c>
    </row>
    <row r="88" spans="1:11" x14ac:dyDescent="0.25">
      <c r="A88" s="31">
        <f t="shared" si="9"/>
        <v>44622.048611111131</v>
      </c>
      <c r="B88" s="37">
        <f t="shared" si="10"/>
        <v>44622.048611111131</v>
      </c>
      <c r="C88" s="261" t="s">
        <v>99</v>
      </c>
      <c r="D88" s="327"/>
      <c r="E88" s="37" t="s">
        <v>99</v>
      </c>
      <c r="F88" s="484" t="s">
        <v>2532</v>
      </c>
      <c r="G88" s="573"/>
      <c r="H88" s="570"/>
      <c r="I88" s="570"/>
      <c r="J88" s="570"/>
      <c r="K88" s="570"/>
    </row>
    <row r="89" spans="1:11" x14ac:dyDescent="0.25">
      <c r="A89" s="31">
        <f>IF(D87 = "",A87+C87,A87+D87)</f>
        <v>44622.048611111131</v>
      </c>
      <c r="B89" s="37">
        <f>IF(D87 = "",B87+C87,B87+D87)</f>
        <v>44622.048611111131</v>
      </c>
      <c r="C89" s="261">
        <v>0.10416666666666667</v>
      </c>
      <c r="D89" s="327" t="str">
        <f t="shared" si="0"/>
        <v/>
      </c>
      <c r="E89" s="37">
        <f t="shared" si="8"/>
        <v>44622.152777777796</v>
      </c>
      <c r="F89" s="476" t="s">
        <v>656</v>
      </c>
      <c r="G89" s="573"/>
      <c r="H89" s="570"/>
      <c r="I89" s="570"/>
      <c r="J89" s="570"/>
      <c r="K89" s="570"/>
    </row>
    <row r="90" spans="1:11" x14ac:dyDescent="0.25">
      <c r="A90" s="485"/>
      <c r="B90" s="33" t="s">
        <v>534</v>
      </c>
      <c r="C90" s="32">
        <f>SUM(C89,C77:C87,C71:C73,C64:C69,C49:C61,C41:C46,C35:C38,C27:C33,C15:C25)</f>
        <v>6.1631944444444446</v>
      </c>
      <c r="D90" s="32">
        <f>SUM(D89,D77:D87,D71:D73,D64:D69,D49:D61,D41:D46,D35:D38,D27:D33,D15:D25)</f>
        <v>0.45833333333333337</v>
      </c>
      <c r="G90" s="243" t="s">
        <v>535</v>
      </c>
      <c r="H90" s="266">
        <f>SUM(H15:H89)</f>
        <v>750</v>
      </c>
      <c r="I90" s="266">
        <f>SUM(I15:I89)</f>
        <v>196.2</v>
      </c>
      <c r="J90" s="266">
        <f>SUM(J15:J89)</f>
        <v>1666.6</v>
      </c>
      <c r="K90" s="266">
        <f>SUM(K15:K89)</f>
        <v>11776.570949999999</v>
      </c>
    </row>
    <row r="91" spans="1:11" x14ac:dyDescent="0.25">
      <c r="B91" s="31" t="s">
        <v>536</v>
      </c>
      <c r="C91" s="112">
        <f>(C90/24)</f>
        <v>0.25679976851851855</v>
      </c>
      <c r="D91" s="112">
        <f>(D90/24)</f>
        <v>1.9097222222222224E-2</v>
      </c>
      <c r="G91" s="26"/>
      <c r="H91" s="26"/>
      <c r="I91" s="26"/>
      <c r="J91" s="26"/>
    </row>
    <row r="92" spans="1:11" x14ac:dyDescent="0.25">
      <c r="C92" s="262"/>
      <c r="D92" s="262"/>
      <c r="G92" s="26"/>
      <c r="H92" s="26"/>
      <c r="I92" s="26"/>
      <c r="J92" s="26"/>
    </row>
    <row r="93" spans="1:11" x14ac:dyDescent="0.25">
      <c r="G93" s="26"/>
      <c r="H93" s="26"/>
      <c r="I93" s="26"/>
      <c r="J93" s="26"/>
    </row>
    <row r="94" spans="1:11" x14ac:dyDescent="0.25">
      <c r="G94" s="26"/>
      <c r="H94" s="26"/>
      <c r="I94" s="26"/>
      <c r="J94" s="26"/>
    </row>
    <row r="95" spans="1:11" x14ac:dyDescent="0.25">
      <c r="G95" s="26"/>
      <c r="H95" s="26"/>
      <c r="I95" s="26"/>
      <c r="J95" s="26"/>
    </row>
    <row r="96" spans="1:11" x14ac:dyDescent="0.25">
      <c r="G96" s="26"/>
      <c r="H96" s="26"/>
      <c r="I96" s="26"/>
      <c r="J96" s="26"/>
    </row>
    <row r="97" spans="6:10" x14ac:dyDescent="0.25">
      <c r="G97" s="26"/>
      <c r="H97" s="26"/>
      <c r="I97" s="26"/>
      <c r="J97" s="26"/>
    </row>
    <row r="98" spans="6:10" x14ac:dyDescent="0.25">
      <c r="G98" s="26"/>
      <c r="H98" s="26"/>
      <c r="I98" s="26"/>
      <c r="J98" s="26"/>
    </row>
    <row r="99" spans="6:10" x14ac:dyDescent="0.25">
      <c r="G99" s="26"/>
      <c r="H99" s="26"/>
      <c r="I99" s="26"/>
      <c r="J99" s="26"/>
    </row>
    <row r="100" spans="6:10" x14ac:dyDescent="0.25">
      <c r="G100" s="26"/>
      <c r="H100" s="26"/>
      <c r="I100" s="26"/>
      <c r="J100" s="26"/>
    </row>
    <row r="101" spans="6:10" x14ac:dyDescent="0.25">
      <c r="G101" s="26"/>
      <c r="H101" s="26"/>
      <c r="I101" s="26"/>
      <c r="J101" s="26"/>
    </row>
    <row r="102" spans="6:10" x14ac:dyDescent="0.25">
      <c r="G102" s="26"/>
      <c r="H102" s="26"/>
      <c r="I102" s="26"/>
      <c r="J102" s="26"/>
    </row>
    <row r="103" spans="6:10" x14ac:dyDescent="0.25">
      <c r="G103" s="26"/>
      <c r="H103" s="26"/>
      <c r="I103" s="26"/>
      <c r="J103" s="26"/>
    </row>
    <row r="104" spans="6:10" x14ac:dyDescent="0.25">
      <c r="G104" s="26"/>
      <c r="H104" s="26"/>
      <c r="I104" s="26"/>
      <c r="J104" s="26"/>
    </row>
    <row r="105" spans="6:10" x14ac:dyDescent="0.25">
      <c r="G105" s="26"/>
      <c r="H105" s="26"/>
      <c r="I105" s="26"/>
      <c r="J105" s="26"/>
    </row>
    <row r="106" spans="6:10" x14ac:dyDescent="0.25">
      <c r="G106" s="26"/>
      <c r="H106" s="26"/>
      <c r="I106" s="26"/>
      <c r="J106" s="26"/>
    </row>
    <row r="107" spans="6:10" x14ac:dyDescent="0.25">
      <c r="G107" s="26"/>
      <c r="H107" s="26"/>
      <c r="I107" s="26"/>
      <c r="J107" s="26"/>
    </row>
    <row r="108" spans="6:10" x14ac:dyDescent="0.25">
      <c r="G108" s="26"/>
      <c r="H108" s="26"/>
      <c r="I108" s="26"/>
      <c r="J108" s="26"/>
    </row>
    <row r="109" spans="6:10" x14ac:dyDescent="0.25">
      <c r="G109" s="26"/>
      <c r="H109" s="26"/>
      <c r="I109" s="26"/>
      <c r="J109" s="26"/>
    </row>
    <row r="110" spans="6:10" x14ac:dyDescent="0.25">
      <c r="G110" s="26"/>
      <c r="H110" s="26"/>
      <c r="I110" s="26"/>
      <c r="J110" s="26"/>
    </row>
    <row r="111" spans="6:10" x14ac:dyDescent="0.25">
      <c r="F111" s="26"/>
    </row>
    <row r="112" spans="6:10" x14ac:dyDescent="0.25">
      <c r="F112" s="26"/>
    </row>
  </sheetData>
  <mergeCells count="6">
    <mergeCell ref="A74:G74"/>
    <mergeCell ref="A1:B1"/>
    <mergeCell ref="A5:D5"/>
    <mergeCell ref="A14:G14"/>
    <mergeCell ref="A39:G39"/>
    <mergeCell ref="A47:G47"/>
  </mergeCells>
  <pageMargins left="0.25" right="0.25" top="0.75" bottom="0.75" header="0.3" footer="0.3"/>
  <pageSetup paperSize="9" fitToHeight="0" orientation="landscape" r:id="rId1"/>
  <headerFooter alignWithMargins="0">
    <oddFooter>&amp;R&amp;"Arial,Regular"&amp;08&amp;K7F7F7FAmgen Proprietary - Confidential   &amp;C&amp;"Arial,Regular"&amp;08&amp;K7F7F7FAmgen Proprietary - For Internal Use Only</oddFooter>
    <evenFooter>&amp;R&amp;"Arial,Regular"&amp;08&amp;K7F7F7FAmgen Proprietary - Confidential   &amp;C&amp;"Arial,Regular"&amp;08&amp;K7F7F7FAmgen Proprietary - For Internal Use Only</evenFooter>
    <firstFooter>&amp;R&amp;"Arial,Regular"&amp;08&amp;K7F7F7FAmgen Proprietary - Confidential   &amp;C&amp;"Arial,Regular"&amp;08&amp;K7F7F7FAmgen Proprietary - For Internal Use Only</firstFooter>
  </headerFooter>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FBEDE1-EB84-4B92-A078-77FC21395A06}">
  <sheetPr codeName="Sheet107">
    <pageSetUpPr autoPageBreaks="0"/>
  </sheetPr>
  <dimension ref="A1:J45"/>
  <sheetViews>
    <sheetView zoomScale="120" zoomScaleNormal="120" workbookViewId="0">
      <selection activeCell="F55" sqref="F55"/>
    </sheetView>
  </sheetViews>
  <sheetFormatPr defaultColWidth="23.453125" defaultRowHeight="11.5" x14ac:dyDescent="0.25"/>
  <cols>
    <col min="1" max="1" width="39.54296875" style="25" customWidth="1"/>
    <col min="2" max="2" width="34.453125" style="25" customWidth="1"/>
    <col min="3" max="3" width="23.453125" style="25"/>
    <col min="4" max="4" width="22.453125" style="25" hidden="1" customWidth="1"/>
    <col min="5" max="5" width="23.453125" style="25"/>
    <col min="6" max="6" width="51.453125" style="25" customWidth="1"/>
    <col min="7" max="7" width="27.453125" style="25" customWidth="1"/>
    <col min="8" max="8" width="9" style="25" bestFit="1" customWidth="1"/>
    <col min="9" max="10" width="9" style="25" customWidth="1"/>
    <col min="11" max="16384" width="23.453125" style="25"/>
  </cols>
  <sheetData>
    <row r="1" spans="1:10" ht="12" thickBot="1" x14ac:dyDescent="0.3">
      <c r="A1" s="1053" t="s">
        <v>479</v>
      </c>
      <c r="B1" s="1054"/>
    </row>
    <row r="2" spans="1:10" x14ac:dyDescent="0.25">
      <c r="A2" s="43" t="s">
        <v>480</v>
      </c>
      <c r="B2" s="241">
        <f>A11</f>
        <v>44628.083333333336</v>
      </c>
    </row>
    <row r="3" spans="1:10" ht="12" thickBot="1" x14ac:dyDescent="0.3">
      <c r="A3" s="42" t="s">
        <v>482</v>
      </c>
      <c r="B3" s="239">
        <f>A11</f>
        <v>44628.083333333336</v>
      </c>
    </row>
    <row r="5" spans="1:10" x14ac:dyDescent="0.25">
      <c r="A5" s="1072" t="s">
        <v>484</v>
      </c>
      <c r="B5" s="1073"/>
      <c r="C5" s="1073"/>
      <c r="D5" s="1073"/>
    </row>
    <row r="6" spans="1:10" x14ac:dyDescent="0.25">
      <c r="A6" s="781" t="s">
        <v>2537</v>
      </c>
      <c r="B6" s="781" t="s">
        <v>486</v>
      </c>
      <c r="C6" s="781" t="s">
        <v>487</v>
      </c>
      <c r="D6" s="781" t="s">
        <v>488</v>
      </c>
    </row>
    <row r="7" spans="1:10" x14ac:dyDescent="0.25">
      <c r="A7" s="41" t="str">
        <f>F14</f>
        <v>IPC1.0: Reaction Conversion</v>
      </c>
      <c r="B7" s="40">
        <f>INDEX($A$11:$A$57,MATCH(A7,$F$11:$F$57,0))</f>
        <v>44628.375000000007</v>
      </c>
      <c r="C7" s="37">
        <f>B14</f>
        <v>44628.375000000007</v>
      </c>
      <c r="D7" s="297"/>
    </row>
    <row r="8" spans="1:10" x14ac:dyDescent="0.25">
      <c r="A8" s="41" t="str">
        <f>F19</f>
        <v>IPC2.0: LOD (Analyzed by MFG)</v>
      </c>
      <c r="B8" s="40">
        <f>INDEX($A$11:$A$60,MATCH(A8,$F$11:$F$57,0))</f>
        <v>44629.156250000015</v>
      </c>
      <c r="C8" s="37">
        <f>B19</f>
        <v>44629.156250000015</v>
      </c>
      <c r="D8" s="297"/>
    </row>
    <row r="10" spans="1:10" ht="23.5" thickBot="1" x14ac:dyDescent="0.3">
      <c r="A10" s="749" t="s">
        <v>492</v>
      </c>
      <c r="B10" s="749" t="s">
        <v>493</v>
      </c>
      <c r="C10" s="749" t="s">
        <v>494</v>
      </c>
      <c r="D10" s="86" t="s">
        <v>495</v>
      </c>
      <c r="E10" s="749" t="s">
        <v>540</v>
      </c>
      <c r="F10" s="749" t="s">
        <v>541</v>
      </c>
      <c r="G10" s="749" t="s">
        <v>498</v>
      </c>
      <c r="H10" s="184" t="s">
        <v>204</v>
      </c>
      <c r="I10" s="184" t="s">
        <v>668</v>
      </c>
      <c r="J10" s="184" t="s">
        <v>138</v>
      </c>
    </row>
    <row r="11" spans="1:10" x14ac:dyDescent="0.25">
      <c r="A11" s="31">
        <v>44628.083333333336</v>
      </c>
      <c r="B11" s="38">
        <f>A11</f>
        <v>44628.083333333336</v>
      </c>
      <c r="C11" s="705">
        <v>2.0833333333333332E-2</v>
      </c>
      <c r="D11" s="116"/>
      <c r="E11" s="317">
        <f>B11+C11</f>
        <v>44628.104166666672</v>
      </c>
      <c r="F11" s="264" t="s">
        <v>669</v>
      </c>
      <c r="G11" s="894" t="s">
        <v>2538</v>
      </c>
      <c r="H11" s="180"/>
      <c r="I11" s="180"/>
      <c r="J11" s="180"/>
    </row>
    <row r="12" spans="1:10" ht="12.75" customHeight="1" x14ac:dyDescent="0.25">
      <c r="A12" s="31">
        <f>IF(D11 = "",A11+C11,A11+D11)</f>
        <v>44628.104166666672</v>
      </c>
      <c r="B12" s="38">
        <f>IF(D11 = "",B11+C11,B11+D11)</f>
        <v>44628.104166666672</v>
      </c>
      <c r="C12" s="170">
        <v>6.25E-2</v>
      </c>
      <c r="D12" s="116"/>
      <c r="E12" s="317">
        <f t="shared" ref="E12:E21" si="0">B12+C12</f>
        <v>44628.166666666672</v>
      </c>
      <c r="F12" s="264" t="s">
        <v>670</v>
      </c>
      <c r="G12" s="895" t="s">
        <v>2538</v>
      </c>
      <c r="H12" s="181"/>
      <c r="I12" s="181"/>
      <c r="J12" s="181"/>
    </row>
    <row r="13" spans="1:10" ht="12.75" customHeight="1" x14ac:dyDescent="0.25">
      <c r="A13" s="31">
        <f t="shared" ref="A13:A21" si="1">IF(D12 = "",A12+C12,A12+D12)</f>
        <v>44628.166666666672</v>
      </c>
      <c r="B13" s="38">
        <f t="shared" ref="B13:B21" si="2">IF(D12 = "",B12+C12,B12+D12)</f>
        <v>44628.166666666672</v>
      </c>
      <c r="C13" s="170">
        <v>0.20833333333333334</v>
      </c>
      <c r="D13" s="116"/>
      <c r="E13" s="317">
        <f t="shared" si="0"/>
        <v>44628.375000000007</v>
      </c>
      <c r="F13" s="264" t="s">
        <v>671</v>
      </c>
      <c r="G13" s="896"/>
      <c r="H13" s="773"/>
      <c r="I13" s="773"/>
      <c r="J13" s="773"/>
    </row>
    <row r="14" spans="1:10" ht="13.5" customHeight="1" x14ac:dyDescent="0.25">
      <c r="A14" s="31">
        <f t="shared" si="1"/>
        <v>44628.375000000007</v>
      </c>
      <c r="B14" s="38">
        <f t="shared" si="2"/>
        <v>44628.375000000007</v>
      </c>
      <c r="C14" s="170">
        <v>0.11458333333333333</v>
      </c>
      <c r="D14" s="116"/>
      <c r="E14" s="317">
        <f t="shared" si="0"/>
        <v>44628.489583333343</v>
      </c>
      <c r="F14" s="295" t="s">
        <v>546</v>
      </c>
      <c r="G14" s="35"/>
      <c r="H14" s="181"/>
      <c r="I14" s="181"/>
      <c r="J14" s="181"/>
    </row>
    <row r="15" spans="1:10" x14ac:dyDescent="0.25">
      <c r="A15" s="31">
        <f t="shared" si="1"/>
        <v>44628.489583333343</v>
      </c>
      <c r="B15" s="38">
        <f t="shared" si="2"/>
        <v>44628.489583333343</v>
      </c>
      <c r="C15" s="172">
        <v>0.1875</v>
      </c>
      <c r="D15" s="116"/>
      <c r="E15" s="317">
        <f t="shared" si="0"/>
        <v>44628.677083333343</v>
      </c>
      <c r="F15" s="264" t="s">
        <v>548</v>
      </c>
      <c r="G15" s="35"/>
      <c r="H15" s="181"/>
      <c r="I15" s="181"/>
      <c r="J15" s="181"/>
    </row>
    <row r="16" spans="1:10" ht="13.5" customHeight="1" x14ac:dyDescent="0.25">
      <c r="A16" s="31">
        <f t="shared" si="1"/>
        <v>44628.677083333343</v>
      </c>
      <c r="B16" s="38">
        <f t="shared" si="2"/>
        <v>44628.677083333343</v>
      </c>
      <c r="C16" s="172">
        <v>3.125E-2</v>
      </c>
      <c r="D16" s="116"/>
      <c r="E16" s="317">
        <f t="shared" si="0"/>
        <v>44628.708333333343</v>
      </c>
      <c r="F16" s="264" t="s">
        <v>549</v>
      </c>
      <c r="G16" s="35"/>
      <c r="H16" s="265">
        <v>44.9</v>
      </c>
      <c r="I16" s="265">
        <v>162.19999999999999</v>
      </c>
      <c r="J16" s="265">
        <v>80.5</v>
      </c>
    </row>
    <row r="17" spans="1:10" ht="12" customHeight="1" x14ac:dyDescent="0.25">
      <c r="A17" s="31">
        <f t="shared" si="1"/>
        <v>44628.708333333343</v>
      </c>
      <c r="B17" s="38">
        <f t="shared" si="2"/>
        <v>44628.708333333343</v>
      </c>
      <c r="C17" s="172">
        <v>8.3333333333333329E-2</v>
      </c>
      <c r="D17" s="116"/>
      <c r="E17" s="317">
        <f t="shared" si="0"/>
        <v>44628.791666666679</v>
      </c>
      <c r="F17" s="264" t="s">
        <v>2539</v>
      </c>
      <c r="G17" s="39"/>
      <c r="H17" s="773"/>
      <c r="I17" s="773">
        <v>60.9</v>
      </c>
      <c r="J17" s="773"/>
    </row>
    <row r="18" spans="1:10" ht="12.75" customHeight="1" x14ac:dyDescent="0.25">
      <c r="A18" s="31">
        <f t="shared" si="1"/>
        <v>44628.791666666679</v>
      </c>
      <c r="B18" s="38">
        <f t="shared" si="2"/>
        <v>44628.791666666679</v>
      </c>
      <c r="C18" s="172">
        <v>0.36458333333333331</v>
      </c>
      <c r="D18" s="116"/>
      <c r="E18" s="317">
        <f t="shared" si="0"/>
        <v>44629.156250000015</v>
      </c>
      <c r="F18" s="240" t="s">
        <v>551</v>
      </c>
      <c r="G18" s="35"/>
      <c r="H18" s="773"/>
      <c r="I18" s="773"/>
      <c r="J18" s="773"/>
    </row>
    <row r="19" spans="1:10" x14ac:dyDescent="0.25">
      <c r="A19" s="31">
        <f t="shared" si="1"/>
        <v>44629.156250000015</v>
      </c>
      <c r="B19" s="38">
        <f t="shared" si="2"/>
        <v>44629.156250000015</v>
      </c>
      <c r="C19" s="170">
        <v>2.0833333333333332E-2</v>
      </c>
      <c r="D19" s="116"/>
      <c r="E19" s="317">
        <f t="shared" si="0"/>
        <v>44629.17708333335</v>
      </c>
      <c r="F19" s="295" t="s">
        <v>673</v>
      </c>
      <c r="G19" s="35" t="s">
        <v>2538</v>
      </c>
      <c r="H19" s="773"/>
      <c r="I19" s="773"/>
      <c r="J19" s="773"/>
    </row>
    <row r="20" spans="1:10" x14ac:dyDescent="0.25">
      <c r="A20" s="31">
        <f t="shared" si="1"/>
        <v>44629.17708333335</v>
      </c>
      <c r="B20" s="38">
        <f t="shared" si="2"/>
        <v>44629.17708333335</v>
      </c>
      <c r="C20" s="170">
        <v>5.2083333333333336E-2</v>
      </c>
      <c r="D20" s="116"/>
      <c r="E20" s="317">
        <f t="shared" si="0"/>
        <v>44629.229166666686</v>
      </c>
      <c r="F20" s="264" t="s">
        <v>554</v>
      </c>
      <c r="G20" s="178" t="s">
        <v>2538</v>
      </c>
      <c r="H20" s="773"/>
      <c r="I20" s="773"/>
      <c r="J20" s="773"/>
    </row>
    <row r="21" spans="1:10" hidden="1" x14ac:dyDescent="0.25">
      <c r="A21" s="185">
        <f t="shared" si="1"/>
        <v>44629.229166666686</v>
      </c>
      <c r="B21" s="467">
        <f t="shared" si="2"/>
        <v>44629.229166666686</v>
      </c>
      <c r="C21" s="510">
        <v>0.3125</v>
      </c>
      <c r="D21" s="508"/>
      <c r="E21" s="747">
        <f t="shared" si="0"/>
        <v>44629.541666666686</v>
      </c>
      <c r="F21" s="748" t="s">
        <v>2540</v>
      </c>
      <c r="G21" s="243" t="s">
        <v>535</v>
      </c>
      <c r="H21" s="266">
        <f>SUM(H11:H20)</f>
        <v>44.9</v>
      </c>
      <c r="I21" s="266">
        <f t="shared" ref="I21:J21" si="3">SUM(I11:I20)</f>
        <v>223.1</v>
      </c>
      <c r="J21" s="266">
        <f t="shared" si="3"/>
        <v>80.5</v>
      </c>
    </row>
    <row r="22" spans="1:10" ht="21" x14ac:dyDescent="0.55000000000000004">
      <c r="A22" s="34"/>
      <c r="B22" s="33" t="s">
        <v>534</v>
      </c>
      <c r="C22" s="32">
        <f>SUM(C11:C20)</f>
        <v>1.1458333333333333</v>
      </c>
      <c r="D22" s="32">
        <f>SUM(D11:D20)</f>
        <v>0</v>
      </c>
      <c r="G22" s="26"/>
      <c r="H22" s="26"/>
      <c r="I22" s="26"/>
      <c r="J22" s="26"/>
    </row>
    <row r="23" spans="1:10" x14ac:dyDescent="0.25">
      <c r="B23" s="31" t="s">
        <v>536</v>
      </c>
      <c r="C23" s="30">
        <f>(C22*60)/1440</f>
        <v>4.7743055555555552E-2</v>
      </c>
      <c r="D23" s="30">
        <f>(D22*60)/1440</f>
        <v>0</v>
      </c>
      <c r="G23" s="26"/>
      <c r="H23" s="26"/>
      <c r="I23" s="26"/>
      <c r="J23" s="26"/>
    </row>
    <row r="24" spans="1:10" x14ac:dyDescent="0.25">
      <c r="C24" s="774"/>
      <c r="G24" s="26"/>
      <c r="H24" s="26"/>
      <c r="I24" s="26"/>
      <c r="J24" s="26"/>
    </row>
    <row r="25" spans="1:10" hidden="1" x14ac:dyDescent="0.25">
      <c r="G25" s="26"/>
      <c r="H25" s="26"/>
      <c r="I25" s="26"/>
      <c r="J25" s="26"/>
    </row>
    <row r="26" spans="1:10" hidden="1" x14ac:dyDescent="0.25">
      <c r="A26" s="1053" t="s">
        <v>555</v>
      </c>
      <c r="B26" s="1054"/>
      <c r="G26" s="26"/>
      <c r="H26" s="26"/>
      <c r="I26" s="26"/>
      <c r="J26" s="26"/>
    </row>
    <row r="27" spans="1:10" hidden="1" x14ac:dyDescent="0.25">
      <c r="A27" s="781" t="s">
        <v>556</v>
      </c>
      <c r="B27" s="29" t="e">
        <f>MAX(A18,#REF!)</f>
        <v>#REF!</v>
      </c>
      <c r="G27" s="26"/>
      <c r="H27" s="26"/>
      <c r="I27" s="26"/>
      <c r="J27" s="26"/>
    </row>
    <row r="28" spans="1:10" hidden="1" x14ac:dyDescent="0.25">
      <c r="A28" s="781" t="s">
        <v>557</v>
      </c>
      <c r="B28" s="28" t="e">
        <f>MAX((#REF!+#REF!),(B18+C18))</f>
        <v>#REF!</v>
      </c>
      <c r="G28" s="26"/>
      <c r="H28" s="26"/>
      <c r="I28" s="26"/>
      <c r="J28" s="26"/>
    </row>
    <row r="29" spans="1:10" x14ac:dyDescent="0.25">
      <c r="G29" s="26"/>
      <c r="H29" s="26"/>
      <c r="I29" s="26"/>
      <c r="J29" s="26"/>
    </row>
    <row r="30" spans="1:10" x14ac:dyDescent="0.25">
      <c r="G30" s="26"/>
      <c r="H30" s="26"/>
      <c r="I30" s="26"/>
      <c r="J30" s="26"/>
    </row>
    <row r="31" spans="1:10" x14ac:dyDescent="0.25">
      <c r="G31" s="26"/>
      <c r="H31" s="26"/>
      <c r="I31" s="26"/>
      <c r="J31" s="26"/>
    </row>
    <row r="32" spans="1:10" x14ac:dyDescent="0.25">
      <c r="G32" s="26"/>
      <c r="H32" s="26"/>
      <c r="I32" s="26"/>
      <c r="J32" s="26"/>
    </row>
    <row r="33" spans="3:10" x14ac:dyDescent="0.25">
      <c r="C33" s="27"/>
      <c r="D33" s="27"/>
      <c r="G33" s="26"/>
      <c r="H33" s="26"/>
      <c r="I33" s="26"/>
      <c r="J33" s="26"/>
    </row>
    <row r="34" spans="3:10" x14ac:dyDescent="0.25">
      <c r="G34" s="26"/>
      <c r="H34" s="26"/>
      <c r="I34" s="26"/>
      <c r="J34" s="26"/>
    </row>
    <row r="35" spans="3:10" x14ac:dyDescent="0.25">
      <c r="G35" s="26"/>
      <c r="H35" s="26"/>
      <c r="I35" s="26"/>
      <c r="J35" s="26"/>
    </row>
    <row r="36" spans="3:10" x14ac:dyDescent="0.25">
      <c r="G36" s="26"/>
      <c r="H36" s="26"/>
      <c r="I36" s="26"/>
      <c r="J36" s="26"/>
    </row>
    <row r="37" spans="3:10" x14ac:dyDescent="0.25">
      <c r="G37" s="26"/>
      <c r="H37" s="26"/>
      <c r="I37" s="26"/>
      <c r="J37" s="26"/>
    </row>
    <row r="38" spans="3:10" x14ac:dyDescent="0.25">
      <c r="G38" s="26"/>
      <c r="H38" s="26"/>
      <c r="I38" s="26"/>
      <c r="J38" s="26"/>
    </row>
    <row r="39" spans="3:10" x14ac:dyDescent="0.25">
      <c r="G39" s="26"/>
      <c r="H39" s="26"/>
      <c r="I39" s="26"/>
      <c r="J39" s="26"/>
    </row>
    <row r="40" spans="3:10" x14ac:dyDescent="0.25">
      <c r="G40" s="26"/>
      <c r="H40" s="26"/>
      <c r="I40" s="26"/>
      <c r="J40" s="26"/>
    </row>
    <row r="41" spans="3:10" x14ac:dyDescent="0.25">
      <c r="G41" s="26"/>
      <c r="H41" s="26"/>
      <c r="I41" s="26"/>
      <c r="J41" s="26"/>
    </row>
    <row r="42" spans="3:10" x14ac:dyDescent="0.25">
      <c r="G42" s="26"/>
      <c r="H42" s="26"/>
      <c r="I42" s="26"/>
      <c r="J42" s="26"/>
    </row>
    <row r="44" spans="3:10" x14ac:dyDescent="0.25">
      <c r="F44" s="26"/>
    </row>
    <row r="45" spans="3:10" x14ac:dyDescent="0.25">
      <c r="F45" s="26"/>
    </row>
  </sheetData>
  <mergeCells count="3">
    <mergeCell ref="A1:B1"/>
    <mergeCell ref="A5:D5"/>
    <mergeCell ref="A26:B26"/>
  </mergeCells>
  <pageMargins left="0.75" right="0.75" top="1" bottom="1" header="0.5" footer="0.5"/>
  <pageSetup orientation="portrait" r:id="rId1"/>
  <headerFooter alignWithMargins="0">
    <oddFooter>&amp;R&amp;"Arial,Regular"&amp;08&amp;K7F7F7FAmgen Proprietary - Confidential   &amp;C&amp;"Arial,Regular"&amp;08&amp;K7F7F7FAmgen Proprietary - For Internal Use Only</oddFooter>
    <evenFooter>&amp;R&amp;"Arial,Regular"&amp;08&amp;K7F7F7FAmgen Proprietary - Confidential   &amp;C&amp;"Arial,Regular"&amp;08&amp;K7F7F7FAmgen Proprietary - For Internal Use Only</evenFooter>
    <firstFooter>&amp;R&amp;"Arial,Regular"&amp;08&amp;K7F7F7FAmgen Proprietary - Confidential   &amp;C&amp;"Arial,Regular"&amp;08&amp;K7F7F7FAmgen Proprietary - For Internal Use Only</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FB716-2ED3-4EA1-88EC-989795D1C4AA}">
  <sheetPr codeName="Sheet112">
    <pageSetUpPr autoPageBreaks="0"/>
  </sheetPr>
  <dimension ref="A1:J45"/>
  <sheetViews>
    <sheetView zoomScale="120" zoomScaleNormal="120" workbookViewId="0">
      <selection activeCell="A12" sqref="A12"/>
    </sheetView>
  </sheetViews>
  <sheetFormatPr defaultColWidth="23.453125" defaultRowHeight="11.5" x14ac:dyDescent="0.25"/>
  <cols>
    <col min="1" max="1" width="23.54296875" style="25" bestFit="1" customWidth="1"/>
    <col min="2" max="2" width="34.453125" style="25" customWidth="1"/>
    <col min="3" max="3" width="23.453125" style="25"/>
    <col min="4" max="4" width="22.453125" style="25" hidden="1" customWidth="1"/>
    <col min="5" max="5" width="23.453125" style="25"/>
    <col min="6" max="6" width="51.453125" style="25" customWidth="1"/>
    <col min="7" max="7" width="27.453125" style="25" customWidth="1"/>
    <col min="8" max="8" width="9" style="25" bestFit="1" customWidth="1"/>
    <col min="9" max="10" width="9" style="25" customWidth="1"/>
    <col min="11" max="16384" width="23.453125" style="25"/>
  </cols>
  <sheetData>
    <row r="1" spans="1:10" ht="12" thickBot="1" x14ac:dyDescent="0.3">
      <c r="A1" s="1053" t="s">
        <v>479</v>
      </c>
      <c r="B1" s="1054"/>
    </row>
    <row r="2" spans="1:10" x14ac:dyDescent="0.25">
      <c r="A2" s="43" t="s">
        <v>480</v>
      </c>
      <c r="B2" s="241">
        <f>A11</f>
        <v>44630.416666666664</v>
      </c>
    </row>
    <row r="3" spans="1:10" ht="12" thickBot="1" x14ac:dyDescent="0.3">
      <c r="A3" s="42" t="s">
        <v>482</v>
      </c>
      <c r="B3" s="239">
        <f>A11</f>
        <v>44630.416666666664</v>
      </c>
    </row>
    <row r="5" spans="1:10" x14ac:dyDescent="0.25">
      <c r="A5" s="1072" t="s">
        <v>484</v>
      </c>
      <c r="B5" s="1073"/>
      <c r="C5" s="1073"/>
      <c r="D5" s="1073"/>
    </row>
    <row r="6" spans="1:10" x14ac:dyDescent="0.25">
      <c r="A6" s="781" t="s">
        <v>2537</v>
      </c>
      <c r="B6" s="781" t="s">
        <v>486</v>
      </c>
      <c r="C6" s="781" t="s">
        <v>487</v>
      </c>
      <c r="D6" s="781" t="s">
        <v>488</v>
      </c>
    </row>
    <row r="7" spans="1:10" x14ac:dyDescent="0.25">
      <c r="A7" s="41" t="str">
        <f>F14</f>
        <v>IPC1.0: Reaction Conversion</v>
      </c>
      <c r="B7" s="40">
        <f>INDEX($A$11:$A$57,MATCH(A7,$F$11:$F$57,0))</f>
        <v>44630.708333333336</v>
      </c>
      <c r="C7" s="37">
        <f>B14</f>
        <v>44630.708333333336</v>
      </c>
      <c r="D7" s="297"/>
    </row>
    <row r="8" spans="1:10" x14ac:dyDescent="0.25">
      <c r="A8" s="41" t="str">
        <f>F19</f>
        <v>IPC2.0: LOD (Analyzed by MFG)</v>
      </c>
      <c r="B8" s="40">
        <f>INDEX($A$11:$A$60,MATCH(A8,$F$11:$F$57,0))</f>
        <v>44631.489583333343</v>
      </c>
      <c r="C8" s="37">
        <f>B19</f>
        <v>44631.489583333343</v>
      </c>
      <c r="D8" s="297"/>
    </row>
    <row r="10" spans="1:10" ht="23.5" thickBot="1" x14ac:dyDescent="0.3">
      <c r="A10" s="749" t="s">
        <v>492</v>
      </c>
      <c r="B10" s="749" t="s">
        <v>493</v>
      </c>
      <c r="C10" s="749" t="s">
        <v>494</v>
      </c>
      <c r="D10" s="86" t="s">
        <v>495</v>
      </c>
      <c r="E10" s="749" t="s">
        <v>540</v>
      </c>
      <c r="F10" s="749" t="s">
        <v>541</v>
      </c>
      <c r="G10" s="749" t="s">
        <v>498</v>
      </c>
      <c r="H10" s="184" t="s">
        <v>204</v>
      </c>
      <c r="I10" s="184" t="s">
        <v>668</v>
      </c>
      <c r="J10" s="184" t="s">
        <v>138</v>
      </c>
    </row>
    <row r="11" spans="1:10" x14ac:dyDescent="0.25">
      <c r="A11" s="31">
        <v>44630.416666666664</v>
      </c>
      <c r="B11" s="38">
        <f>A11</f>
        <v>44630.416666666664</v>
      </c>
      <c r="C11" s="705">
        <v>2.0833333333333332E-2</v>
      </c>
      <c r="D11" s="116"/>
      <c r="E11" s="317">
        <f>B11+C11</f>
        <v>44630.4375</v>
      </c>
      <c r="F11" s="264" t="s">
        <v>669</v>
      </c>
      <c r="G11" s="188" t="s">
        <v>2538</v>
      </c>
      <c r="H11" s="897"/>
      <c r="I11" s="180"/>
      <c r="J11" s="180"/>
    </row>
    <row r="12" spans="1:10" ht="12.75" customHeight="1" x14ac:dyDescent="0.25">
      <c r="A12" s="31">
        <f>IF(D11 = "",A11+C11,A11+D11)</f>
        <v>44630.4375</v>
      </c>
      <c r="B12" s="38">
        <f>IF(D11 = "",B11+C11,B11+D11)</f>
        <v>44630.4375</v>
      </c>
      <c r="C12" s="170">
        <v>6.25E-2</v>
      </c>
      <c r="D12" s="116"/>
      <c r="E12" s="317">
        <f t="shared" ref="E12:E21" si="0">B12+C12</f>
        <v>44630.5</v>
      </c>
      <c r="F12" s="264" t="s">
        <v>670</v>
      </c>
      <c r="G12" s="188" t="s">
        <v>2538</v>
      </c>
      <c r="H12" s="898"/>
      <c r="I12" s="181"/>
      <c r="J12" s="181"/>
    </row>
    <row r="13" spans="1:10" ht="12.75" customHeight="1" x14ac:dyDescent="0.25">
      <c r="A13" s="31">
        <f t="shared" ref="A13:A21" si="1">IF(D12 = "",A12+C12,A12+D12)</f>
        <v>44630.5</v>
      </c>
      <c r="B13" s="38">
        <f t="shared" ref="B13:B21" si="2">IF(D12 = "",B12+C12,B12+D12)</f>
        <v>44630.5</v>
      </c>
      <c r="C13" s="170">
        <v>0.20833333333333334</v>
      </c>
      <c r="D13" s="116"/>
      <c r="E13" s="317">
        <f t="shared" si="0"/>
        <v>44630.708333333336</v>
      </c>
      <c r="F13" s="264" t="s">
        <v>671</v>
      </c>
      <c r="G13" s="39"/>
      <c r="H13" s="899"/>
      <c r="I13" s="773"/>
      <c r="J13" s="773"/>
    </row>
    <row r="14" spans="1:10" ht="13.5" customHeight="1" x14ac:dyDescent="0.25">
      <c r="A14" s="31">
        <f t="shared" si="1"/>
        <v>44630.708333333336</v>
      </c>
      <c r="B14" s="38">
        <f t="shared" si="2"/>
        <v>44630.708333333336</v>
      </c>
      <c r="C14" s="170">
        <v>0.11458333333333333</v>
      </c>
      <c r="D14" s="116"/>
      <c r="E14" s="317">
        <f t="shared" si="0"/>
        <v>44630.822916666672</v>
      </c>
      <c r="F14" s="295" t="s">
        <v>546</v>
      </c>
      <c r="G14" s="35"/>
      <c r="H14" s="898"/>
      <c r="I14" s="181"/>
      <c r="J14" s="181"/>
    </row>
    <row r="15" spans="1:10" x14ac:dyDescent="0.25">
      <c r="A15" s="31">
        <f t="shared" si="1"/>
        <v>44630.822916666672</v>
      </c>
      <c r="B15" s="38">
        <f t="shared" si="2"/>
        <v>44630.822916666672</v>
      </c>
      <c r="C15" s="172">
        <v>0.1875</v>
      </c>
      <c r="D15" s="116"/>
      <c r="E15" s="317">
        <f t="shared" si="0"/>
        <v>44631.010416666672</v>
      </c>
      <c r="F15" s="264" t="s">
        <v>548</v>
      </c>
      <c r="G15" s="35"/>
      <c r="H15" s="898"/>
      <c r="I15" s="181"/>
      <c r="J15" s="181"/>
    </row>
    <row r="16" spans="1:10" ht="13.5" customHeight="1" x14ac:dyDescent="0.25">
      <c r="A16" s="31">
        <f t="shared" si="1"/>
        <v>44631.010416666672</v>
      </c>
      <c r="B16" s="38">
        <f t="shared" si="2"/>
        <v>44631.010416666672</v>
      </c>
      <c r="C16" s="172">
        <v>3.125E-2</v>
      </c>
      <c r="D16" s="116"/>
      <c r="E16" s="317">
        <f t="shared" si="0"/>
        <v>44631.041666666672</v>
      </c>
      <c r="F16" s="264" t="s">
        <v>549</v>
      </c>
      <c r="G16" s="35"/>
      <c r="H16" s="900">
        <v>44.9</v>
      </c>
      <c r="I16" s="265">
        <v>162.19999999999999</v>
      </c>
      <c r="J16" s="265">
        <v>80.5</v>
      </c>
    </row>
    <row r="17" spans="1:10" ht="12" customHeight="1" x14ac:dyDescent="0.25">
      <c r="A17" s="31">
        <f t="shared" si="1"/>
        <v>44631.041666666672</v>
      </c>
      <c r="B17" s="38">
        <f t="shared" si="2"/>
        <v>44631.041666666672</v>
      </c>
      <c r="C17" s="172">
        <v>8.3333333333333329E-2</v>
      </c>
      <c r="D17" s="116"/>
      <c r="E17" s="317">
        <f t="shared" si="0"/>
        <v>44631.125000000007</v>
      </c>
      <c r="F17" s="264" t="s">
        <v>672</v>
      </c>
      <c r="G17" s="39"/>
      <c r="H17" s="899"/>
      <c r="I17" s="773">
        <v>60.9</v>
      </c>
      <c r="J17" s="773"/>
    </row>
    <row r="18" spans="1:10" ht="12.75" customHeight="1" x14ac:dyDescent="0.25">
      <c r="A18" s="31">
        <f t="shared" si="1"/>
        <v>44631.125000000007</v>
      </c>
      <c r="B18" s="38">
        <f t="shared" si="2"/>
        <v>44631.125000000007</v>
      </c>
      <c r="C18" s="172">
        <v>0.36458333333333331</v>
      </c>
      <c r="D18" s="116"/>
      <c r="E18" s="317">
        <f t="shared" si="0"/>
        <v>44631.489583333343</v>
      </c>
      <c r="F18" s="240" t="s">
        <v>551</v>
      </c>
      <c r="G18" s="35"/>
      <c r="H18" s="899"/>
      <c r="I18" s="773"/>
      <c r="J18" s="773"/>
    </row>
    <row r="19" spans="1:10" x14ac:dyDescent="0.25">
      <c r="A19" s="31">
        <f t="shared" si="1"/>
        <v>44631.489583333343</v>
      </c>
      <c r="B19" s="38">
        <f t="shared" si="2"/>
        <v>44631.489583333343</v>
      </c>
      <c r="C19" s="170">
        <v>2.0833333333333332E-2</v>
      </c>
      <c r="D19" s="116"/>
      <c r="E19" s="317">
        <f t="shared" si="0"/>
        <v>44631.510416666679</v>
      </c>
      <c r="F19" s="295" t="s">
        <v>673</v>
      </c>
      <c r="G19" s="188" t="s">
        <v>2538</v>
      </c>
      <c r="H19" s="899"/>
      <c r="I19" s="773"/>
      <c r="J19" s="773"/>
    </row>
    <row r="20" spans="1:10" x14ac:dyDescent="0.25">
      <c r="A20" s="31">
        <f t="shared" si="1"/>
        <v>44631.510416666679</v>
      </c>
      <c r="B20" s="38">
        <f t="shared" si="2"/>
        <v>44631.510416666679</v>
      </c>
      <c r="C20" s="170">
        <v>5.2083333333333336E-2</v>
      </c>
      <c r="D20" s="116"/>
      <c r="E20" s="317">
        <f t="shared" si="0"/>
        <v>44631.562500000015</v>
      </c>
      <c r="F20" s="264" t="s">
        <v>554</v>
      </c>
      <c r="G20" s="188" t="s">
        <v>2538</v>
      </c>
      <c r="H20" s="899"/>
      <c r="I20" s="773"/>
      <c r="J20" s="773"/>
    </row>
    <row r="21" spans="1:10" hidden="1" x14ac:dyDescent="0.25">
      <c r="A21" s="185">
        <f t="shared" si="1"/>
        <v>44631.562500000015</v>
      </c>
      <c r="B21" s="467">
        <f t="shared" si="2"/>
        <v>44631.562500000015</v>
      </c>
      <c r="C21" s="510">
        <v>0.3125</v>
      </c>
      <c r="D21" s="508"/>
      <c r="E21" s="747">
        <f t="shared" si="0"/>
        <v>44631.875000000015</v>
      </c>
      <c r="F21" s="748" t="s">
        <v>2540</v>
      </c>
      <c r="G21" s="243" t="s">
        <v>535</v>
      </c>
      <c r="H21" s="266">
        <f>SUM(H11:H20)</f>
        <v>44.9</v>
      </c>
      <c r="I21" s="266">
        <f t="shared" ref="I21:J21" si="3">SUM(I11:I20)</f>
        <v>223.1</v>
      </c>
      <c r="J21" s="266">
        <f t="shared" si="3"/>
        <v>80.5</v>
      </c>
    </row>
    <row r="22" spans="1:10" ht="21" x14ac:dyDescent="0.55000000000000004">
      <c r="A22" s="34"/>
      <c r="B22" s="33" t="s">
        <v>534</v>
      </c>
      <c r="C22" s="32">
        <f>SUM(C11:C20)</f>
        <v>1.1458333333333333</v>
      </c>
      <c r="D22" s="32">
        <f>SUM(D11:D20)</f>
        <v>0</v>
      </c>
      <c r="G22" s="26"/>
      <c r="H22" s="26"/>
      <c r="I22" s="26"/>
      <c r="J22" s="26"/>
    </row>
    <row r="23" spans="1:10" x14ac:dyDescent="0.25">
      <c r="B23" s="31" t="s">
        <v>536</v>
      </c>
      <c r="C23" s="30">
        <f>(C22*60)/1440</f>
        <v>4.7743055555555552E-2</v>
      </c>
      <c r="D23" s="30">
        <f>(D22*60)/1440</f>
        <v>0</v>
      </c>
      <c r="G23" s="26"/>
      <c r="H23" s="26"/>
      <c r="I23" s="26"/>
      <c r="J23" s="26"/>
    </row>
    <row r="24" spans="1:10" x14ac:dyDescent="0.25">
      <c r="C24" s="774"/>
      <c r="G24" s="26"/>
      <c r="H24" s="26"/>
      <c r="I24" s="26"/>
      <c r="J24" s="26"/>
    </row>
    <row r="25" spans="1:10" hidden="1" x14ac:dyDescent="0.25">
      <c r="G25" s="26"/>
      <c r="H25" s="26"/>
      <c r="I25" s="26"/>
      <c r="J25" s="26"/>
    </row>
    <row r="26" spans="1:10" hidden="1" x14ac:dyDescent="0.25">
      <c r="A26" s="1053" t="s">
        <v>555</v>
      </c>
      <c r="B26" s="1054"/>
      <c r="G26" s="26"/>
      <c r="H26" s="26"/>
      <c r="I26" s="26"/>
      <c r="J26" s="26"/>
    </row>
    <row r="27" spans="1:10" hidden="1" x14ac:dyDescent="0.25">
      <c r="A27" s="781" t="s">
        <v>556</v>
      </c>
      <c r="B27" s="29" t="e">
        <f>MAX(A18,#REF!)</f>
        <v>#REF!</v>
      </c>
      <c r="G27" s="26"/>
      <c r="H27" s="26"/>
      <c r="I27" s="26"/>
      <c r="J27" s="26"/>
    </row>
    <row r="28" spans="1:10" hidden="1" x14ac:dyDescent="0.25">
      <c r="A28" s="781" t="s">
        <v>557</v>
      </c>
      <c r="B28" s="28" t="e">
        <f>MAX((#REF!+#REF!),(B18+C18))</f>
        <v>#REF!</v>
      </c>
      <c r="G28" s="26"/>
      <c r="H28" s="26"/>
      <c r="I28" s="26"/>
      <c r="J28" s="26"/>
    </row>
    <row r="29" spans="1:10" x14ac:dyDescent="0.25">
      <c r="G29" s="26"/>
      <c r="H29" s="26"/>
      <c r="I29" s="26"/>
      <c r="J29" s="26"/>
    </row>
    <row r="30" spans="1:10" x14ac:dyDescent="0.25">
      <c r="A30" s="25" t="s">
        <v>2541</v>
      </c>
      <c r="G30" s="26"/>
      <c r="H30" s="26"/>
      <c r="I30" s="26"/>
      <c r="J30" s="26"/>
    </row>
    <row r="31" spans="1:10" x14ac:dyDescent="0.25">
      <c r="G31" s="26"/>
      <c r="H31" s="26"/>
      <c r="I31" s="26"/>
      <c r="J31" s="26"/>
    </row>
    <row r="32" spans="1:10" x14ac:dyDescent="0.25">
      <c r="G32" s="26"/>
      <c r="H32" s="26"/>
      <c r="I32" s="26"/>
      <c r="J32" s="26"/>
    </row>
    <row r="33" spans="3:10" x14ac:dyDescent="0.25">
      <c r="C33" s="27"/>
      <c r="D33" s="27"/>
      <c r="G33" s="26"/>
      <c r="H33" s="26"/>
      <c r="I33" s="26"/>
      <c r="J33" s="26"/>
    </row>
    <row r="34" spans="3:10" x14ac:dyDescent="0.25">
      <c r="G34" s="26"/>
      <c r="H34" s="26"/>
      <c r="I34" s="26"/>
      <c r="J34" s="26"/>
    </row>
    <row r="35" spans="3:10" x14ac:dyDescent="0.25">
      <c r="G35" s="26"/>
      <c r="H35" s="26"/>
      <c r="I35" s="26"/>
      <c r="J35" s="26"/>
    </row>
    <row r="36" spans="3:10" x14ac:dyDescent="0.25">
      <c r="G36" s="26"/>
      <c r="H36" s="26"/>
      <c r="I36" s="26"/>
      <c r="J36" s="26"/>
    </row>
    <row r="37" spans="3:10" x14ac:dyDescent="0.25">
      <c r="G37" s="26"/>
      <c r="H37" s="26"/>
      <c r="I37" s="26"/>
      <c r="J37" s="26"/>
    </row>
    <row r="38" spans="3:10" x14ac:dyDescent="0.25">
      <c r="G38" s="26"/>
      <c r="H38" s="26"/>
      <c r="I38" s="26"/>
      <c r="J38" s="26"/>
    </row>
    <row r="39" spans="3:10" x14ac:dyDescent="0.25">
      <c r="G39" s="26"/>
      <c r="H39" s="26"/>
      <c r="I39" s="26"/>
      <c r="J39" s="26"/>
    </row>
    <row r="40" spans="3:10" x14ac:dyDescent="0.25">
      <c r="G40" s="26"/>
      <c r="H40" s="26"/>
      <c r="I40" s="26"/>
      <c r="J40" s="26"/>
    </row>
    <row r="41" spans="3:10" x14ac:dyDescent="0.25">
      <c r="G41" s="26"/>
      <c r="H41" s="26"/>
      <c r="I41" s="26"/>
      <c r="J41" s="26"/>
    </row>
    <row r="42" spans="3:10" x14ac:dyDescent="0.25">
      <c r="G42" s="26"/>
      <c r="H42" s="26"/>
      <c r="I42" s="26"/>
      <c r="J42" s="26"/>
    </row>
    <row r="44" spans="3:10" x14ac:dyDescent="0.25">
      <c r="F44" s="26"/>
    </row>
    <row r="45" spans="3:10" x14ac:dyDescent="0.25">
      <c r="F45" s="26"/>
    </row>
  </sheetData>
  <mergeCells count="3">
    <mergeCell ref="A1:B1"/>
    <mergeCell ref="A5:D5"/>
    <mergeCell ref="A26:B26"/>
  </mergeCells>
  <pageMargins left="0.75" right="0.75" top="1" bottom="1" header="0.5" footer="0.5"/>
  <pageSetup orientation="portrait" r:id="rId1"/>
  <headerFooter alignWithMargins="0">
    <oddFooter>&amp;R&amp;"Arial,Regular"&amp;08&amp;K7F7F7FAmgen Proprietary - Confidential   &amp;C&amp;"Arial,Regular"&amp;08&amp;K7F7F7FAmgen Proprietary - For Internal Use Only</oddFooter>
    <evenFooter>&amp;R&amp;"Arial,Regular"&amp;08&amp;K7F7F7FAmgen Proprietary - Confidential   &amp;C&amp;"Arial,Regular"&amp;08&amp;K7F7F7FAmgen Proprietary - For Internal Use Only</evenFooter>
    <firstFooter>&amp;R&amp;"Arial,Regular"&amp;08&amp;K7F7F7FAmgen Proprietary - Confidential   &amp;C&amp;"Arial,Regular"&amp;08&amp;K7F7F7FAmgen Proprietary - For Internal Use Only</firstFooter>
  </headerFooter>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395117-B45D-46A0-8769-96B67F820B7F}">
  <sheetPr codeName="Sheet66">
    <pageSetUpPr autoPageBreaks="0"/>
  </sheetPr>
  <dimension ref="A1:O98"/>
  <sheetViews>
    <sheetView topLeftCell="A3" zoomScale="110" zoomScaleNormal="110" workbookViewId="0">
      <selection activeCell="B2" sqref="B2"/>
    </sheetView>
  </sheetViews>
  <sheetFormatPr defaultColWidth="23.453125" defaultRowHeight="11.5" x14ac:dyDescent="0.25"/>
  <cols>
    <col min="1" max="1" width="47.453125" style="25" bestFit="1" customWidth="1"/>
    <col min="2" max="2" width="35" style="25" customWidth="1"/>
    <col min="3" max="3" width="14" style="25" customWidth="1"/>
    <col min="4" max="4" width="18.453125" style="25" hidden="1" customWidth="1"/>
    <col min="5" max="5" width="15.453125" style="25" bestFit="1" customWidth="1"/>
    <col min="6" max="6" width="93.54296875" style="25" customWidth="1"/>
    <col min="7" max="8" width="5.453125" style="25" bestFit="1" customWidth="1"/>
    <col min="9" max="9" width="7.453125" style="25" bestFit="1" customWidth="1"/>
    <col min="10" max="11" width="5.54296875" style="25" bestFit="1" customWidth="1"/>
    <col min="12" max="12" width="7" style="25" bestFit="1" customWidth="1"/>
    <col min="13" max="13" width="7.54296875" style="25" bestFit="1" customWidth="1"/>
    <col min="14" max="14" width="17.453125" style="25" bestFit="1" customWidth="1"/>
    <col min="15" max="15" width="5.54296875" style="25" bestFit="1" customWidth="1"/>
    <col min="16" max="16384" width="23.453125" style="25"/>
  </cols>
  <sheetData>
    <row r="1" spans="1:15" ht="12" thickBot="1" x14ac:dyDescent="0.3">
      <c r="A1" s="1064" t="s">
        <v>479</v>
      </c>
      <c r="B1" s="1065"/>
    </row>
    <row r="2" spans="1:15" x14ac:dyDescent="0.25">
      <c r="A2" s="43" t="s">
        <v>480</v>
      </c>
      <c r="B2" s="289">
        <v>44264.354166666664</v>
      </c>
    </row>
    <row r="3" spans="1:15" ht="12" thickBot="1" x14ac:dyDescent="0.3">
      <c r="A3" s="42" t="s">
        <v>482</v>
      </c>
      <c r="B3" s="290">
        <f>B2</f>
        <v>44264.354166666664</v>
      </c>
    </row>
    <row r="5" spans="1:15" x14ac:dyDescent="0.25">
      <c r="A5" s="328" t="s">
        <v>484</v>
      </c>
      <c r="B5" s="328"/>
      <c r="C5" s="328"/>
      <c r="D5" s="328"/>
    </row>
    <row r="6" spans="1:15" ht="23" x14ac:dyDescent="0.25">
      <c r="A6" s="781" t="s">
        <v>485</v>
      </c>
      <c r="B6" s="781" t="s">
        <v>486</v>
      </c>
      <c r="C6" s="781" t="s">
        <v>487</v>
      </c>
      <c r="D6" s="781" t="s">
        <v>488</v>
      </c>
    </row>
    <row r="7" spans="1:15" x14ac:dyDescent="0.25">
      <c r="A7" s="41" t="str">
        <f>F35</f>
        <v xml:space="preserve">   Sample for drug substance analysis (PR-024 in Methanol)</v>
      </c>
      <c r="B7" s="40">
        <f>INDEX($A$14:$A$87,MATCH(A7,$F$14:$F$87,0))</f>
        <v>44266.072916666672</v>
      </c>
      <c r="C7" s="37">
        <f>INDEX($B$14:$B$87,MATCH(A7,$F$14:$F$87,0))</f>
        <v>44266.072916666672</v>
      </c>
      <c r="D7" s="297"/>
    </row>
    <row r="8" spans="1:15" x14ac:dyDescent="0.25">
      <c r="A8" s="41" t="str">
        <f>F47</f>
        <v xml:space="preserve">   Sample for Residual Solvent Methanol (Ethyl Acetate)</v>
      </c>
      <c r="B8" s="40">
        <f>INDEX($A$14:$A$87,MATCH(A8,$F$14:$F$87,0))</f>
        <v>44266.763888888905</v>
      </c>
      <c r="C8" s="37">
        <f>INDEX($B$14:$B$87,MATCH(A8,$F$14:$F$87,0))</f>
        <v>44266.763888888905</v>
      </c>
      <c r="D8" s="297"/>
    </row>
    <row r="9" spans="1:15" x14ac:dyDescent="0.25">
      <c r="A9" s="41" t="str">
        <f>F65</f>
        <v xml:space="preserve">   FD Sample for drug substance analysis (PR-024 in Methanol)</v>
      </c>
      <c r="B9" s="40">
        <f>INDEX($A$14:$A$87,MATCH(A9,$F$14:$F$87,0))</f>
        <v>44267.729166666693</v>
      </c>
      <c r="C9" s="37">
        <f>INDEX($B$14:$B$87,MATCH(A9,$F$14:$F$87,0))</f>
        <v>44267.729166666693</v>
      </c>
      <c r="D9" s="371"/>
    </row>
    <row r="10" spans="1:15" x14ac:dyDescent="0.25">
      <c r="A10" s="41" t="str">
        <f>F74</f>
        <v xml:space="preserve">   Sampling of Residual Solvent (Acetone in  Ethyl Acetate)</v>
      </c>
      <c r="B10" s="40">
        <f>E74</f>
        <v>44268.152777777796</v>
      </c>
      <c r="C10" s="37">
        <f>E74</f>
        <v>44268.152777777796</v>
      </c>
      <c r="D10" s="371"/>
    </row>
    <row r="12" spans="1:15" ht="30.65" customHeight="1" x14ac:dyDescent="0.25">
      <c r="A12" s="749" t="s">
        <v>492</v>
      </c>
      <c r="B12" s="749" t="s">
        <v>576</v>
      </c>
      <c r="C12" s="749" t="s">
        <v>494</v>
      </c>
      <c r="D12" s="749" t="s">
        <v>495</v>
      </c>
      <c r="E12" s="749" t="s">
        <v>560</v>
      </c>
      <c r="F12" s="749" t="s">
        <v>541</v>
      </c>
      <c r="G12" s="749" t="s">
        <v>498</v>
      </c>
      <c r="H12" s="781" t="s">
        <v>92</v>
      </c>
      <c r="I12" s="781" t="s">
        <v>96</v>
      </c>
      <c r="J12" s="781" t="s">
        <v>577</v>
      </c>
      <c r="K12" s="781" t="s">
        <v>500</v>
      </c>
      <c r="L12" s="278" t="s">
        <v>108</v>
      </c>
      <c r="M12" s="278" t="s">
        <v>114</v>
      </c>
    </row>
    <row r="13" spans="1:15" x14ac:dyDescent="0.25">
      <c r="A13" s="279" t="s">
        <v>578</v>
      </c>
      <c r="B13" s="279"/>
      <c r="C13" s="279"/>
      <c r="D13" s="279"/>
      <c r="E13" s="279"/>
      <c r="F13" s="279"/>
      <c r="G13" s="279"/>
      <c r="H13" s="777"/>
      <c r="I13" s="777"/>
      <c r="J13" s="777"/>
      <c r="K13" s="777"/>
      <c r="L13" s="777"/>
      <c r="M13" s="777"/>
    </row>
    <row r="14" spans="1:15" x14ac:dyDescent="0.25">
      <c r="A14" s="31">
        <f>B2</f>
        <v>44264.354166666664</v>
      </c>
      <c r="B14" s="332">
        <f>B2</f>
        <v>44264.354166666664</v>
      </c>
      <c r="C14" s="170">
        <v>2.4305555555555556E-2</v>
      </c>
      <c r="D14" s="327" t="str">
        <f t="shared" ref="D14:D73" si="0">IF(_xlfn.ISFORMULA(E14)=TRUE,"",E14-B14)</f>
        <v/>
      </c>
      <c r="E14" s="37">
        <f>B14+C14</f>
        <v>44264.378472222219</v>
      </c>
      <c r="F14" s="584" t="s">
        <v>608</v>
      </c>
      <c r="G14" s="477"/>
      <c r="H14" s="585"/>
      <c r="I14" s="585"/>
      <c r="J14" s="585"/>
      <c r="K14" s="478">
        <v>126.26262626262626</v>
      </c>
      <c r="L14" s="479">
        <f>SUM(H14:K14)</f>
        <v>126.26262626262626</v>
      </c>
      <c r="M14" s="478"/>
      <c r="N14" s="1096"/>
      <c r="O14" s="1096"/>
    </row>
    <row r="15" spans="1:15" ht="12.75" customHeight="1" x14ac:dyDescent="0.25">
      <c r="A15" s="31">
        <f t="shared" ref="A15:A50" si="1">IF(D14 = "",A14+C14,A14+D14)</f>
        <v>44264.378472222219</v>
      </c>
      <c r="B15" s="37">
        <f t="shared" ref="B15:B49" si="2">IF(D14 = "",B14+C14,B14+D14)</f>
        <v>44264.378472222219</v>
      </c>
      <c r="C15" s="170">
        <v>1.7361111111111112E-2</v>
      </c>
      <c r="D15" s="327" t="str">
        <f t="shared" si="0"/>
        <v/>
      </c>
      <c r="E15" s="37">
        <f t="shared" ref="E15:E50" si="3">B15+C15</f>
        <v>44264.395833333328</v>
      </c>
      <c r="F15" s="584" t="s">
        <v>610</v>
      </c>
      <c r="G15" s="480"/>
      <c r="H15" s="481"/>
      <c r="I15" s="481"/>
      <c r="J15" s="481">
        <v>110.86474501108647</v>
      </c>
      <c r="K15" s="481"/>
      <c r="L15" s="479">
        <f t="shared" ref="L15:L70" si="4">SUM(H15:K15)</f>
        <v>110.86474501108647</v>
      </c>
      <c r="M15" s="478"/>
      <c r="N15" s="586"/>
      <c r="O15" s="587"/>
    </row>
    <row r="16" spans="1:15" ht="12.75" customHeight="1" x14ac:dyDescent="0.25">
      <c r="A16" s="31">
        <f t="shared" si="1"/>
        <v>44264.395833333328</v>
      </c>
      <c r="B16" s="37">
        <f t="shared" si="2"/>
        <v>44264.395833333328</v>
      </c>
      <c r="C16" s="170">
        <v>4.1666666666666664E-2</v>
      </c>
      <c r="D16" s="327"/>
      <c r="E16" s="37">
        <f t="shared" si="3"/>
        <v>44264.437499999993</v>
      </c>
      <c r="F16" s="584" t="s">
        <v>612</v>
      </c>
      <c r="G16" s="480"/>
      <c r="H16" s="481"/>
      <c r="I16" s="481"/>
      <c r="J16" s="481">
        <v>150</v>
      </c>
      <c r="K16" s="481"/>
      <c r="L16" s="479">
        <f t="shared" si="4"/>
        <v>150</v>
      </c>
      <c r="M16" s="478"/>
      <c r="N16" s="586"/>
      <c r="O16" s="587"/>
    </row>
    <row r="17" spans="1:15" ht="12.75" customHeight="1" x14ac:dyDescent="0.25">
      <c r="A17" s="31">
        <f t="shared" si="1"/>
        <v>44264.437499999993</v>
      </c>
      <c r="B17" s="37">
        <f t="shared" si="2"/>
        <v>44264.437499999993</v>
      </c>
      <c r="C17" s="170">
        <v>5.2083333333333336E-2</v>
      </c>
      <c r="D17" s="327" t="str">
        <f t="shared" si="0"/>
        <v/>
      </c>
      <c r="E17" s="37">
        <f t="shared" si="3"/>
        <v>44264.489583333328</v>
      </c>
      <c r="F17" s="584" t="s">
        <v>2542</v>
      </c>
      <c r="G17" s="480"/>
      <c r="H17" s="481">
        <v>60</v>
      </c>
      <c r="I17" s="481"/>
      <c r="J17" s="481"/>
      <c r="K17" s="481"/>
      <c r="L17" s="479"/>
      <c r="M17" s="481">
        <v>60</v>
      </c>
      <c r="N17" s="586"/>
      <c r="O17" s="587"/>
    </row>
    <row r="18" spans="1:15" ht="13.5" customHeight="1" x14ac:dyDescent="0.25">
      <c r="A18" s="31">
        <f t="shared" si="1"/>
        <v>44264.489583333328</v>
      </c>
      <c r="B18" s="37">
        <f t="shared" si="2"/>
        <v>44264.489583333328</v>
      </c>
      <c r="C18" s="170">
        <v>2.0833333333333332E-2</v>
      </c>
      <c r="D18" s="327" t="str">
        <f t="shared" si="0"/>
        <v/>
      </c>
      <c r="E18" s="37">
        <f t="shared" si="3"/>
        <v>44264.510416666664</v>
      </c>
      <c r="F18" s="584" t="s">
        <v>616</v>
      </c>
      <c r="G18" s="480"/>
      <c r="H18" s="481"/>
      <c r="I18" s="481">
        <v>30</v>
      </c>
      <c r="J18" s="481"/>
      <c r="K18" s="481"/>
      <c r="L18" s="479">
        <f t="shared" si="4"/>
        <v>30</v>
      </c>
      <c r="M18" s="478"/>
      <c r="N18" s="586"/>
      <c r="O18" s="587"/>
    </row>
    <row r="19" spans="1:15" x14ac:dyDescent="0.25">
      <c r="A19" s="31">
        <f t="shared" si="1"/>
        <v>44264.510416666664</v>
      </c>
      <c r="B19" s="37">
        <f t="shared" si="2"/>
        <v>44264.510416666664</v>
      </c>
      <c r="C19" s="170">
        <v>5.2083333333333336E-2</v>
      </c>
      <c r="D19" s="327" t="str">
        <f t="shared" si="0"/>
        <v/>
      </c>
      <c r="E19" s="37">
        <f t="shared" si="3"/>
        <v>44264.5625</v>
      </c>
      <c r="F19" s="584" t="s">
        <v>618</v>
      </c>
      <c r="G19" s="480"/>
      <c r="H19" s="481"/>
      <c r="I19" s="481"/>
      <c r="J19" s="481">
        <v>30</v>
      </c>
      <c r="K19" s="481"/>
      <c r="L19" s="479">
        <f t="shared" si="4"/>
        <v>30</v>
      </c>
      <c r="M19" s="478"/>
    </row>
    <row r="20" spans="1:15" x14ac:dyDescent="0.25">
      <c r="A20" s="31">
        <f t="shared" si="1"/>
        <v>44264.5625</v>
      </c>
      <c r="B20" s="37">
        <f t="shared" si="2"/>
        <v>44264.5625</v>
      </c>
      <c r="C20" s="170">
        <v>1.3888888888888888E-2</v>
      </c>
      <c r="D20" s="327" t="str">
        <f t="shared" si="0"/>
        <v/>
      </c>
      <c r="E20" s="37">
        <f t="shared" si="3"/>
        <v>44264.576388888891</v>
      </c>
      <c r="F20" s="584" t="s">
        <v>619</v>
      </c>
      <c r="G20" s="480"/>
      <c r="H20" s="481"/>
      <c r="I20" s="481"/>
      <c r="J20" s="481"/>
      <c r="K20" s="481">
        <v>54.229797979797979</v>
      </c>
      <c r="L20" s="479">
        <f t="shared" si="4"/>
        <v>54.229797979797979</v>
      </c>
      <c r="M20" s="478"/>
    </row>
    <row r="21" spans="1:15" ht="13.5" customHeight="1" x14ac:dyDescent="0.25">
      <c r="A21" s="31">
        <f t="shared" si="1"/>
        <v>44264.576388888891</v>
      </c>
      <c r="B21" s="37">
        <f t="shared" si="2"/>
        <v>44264.576388888891</v>
      </c>
      <c r="C21" s="170">
        <v>3.125E-2</v>
      </c>
      <c r="D21" s="327" t="str">
        <f t="shared" si="0"/>
        <v/>
      </c>
      <c r="E21" s="37">
        <f t="shared" si="3"/>
        <v>44264.607638888891</v>
      </c>
      <c r="F21" s="584" t="s">
        <v>620</v>
      </c>
      <c r="G21" s="480"/>
      <c r="H21" s="481"/>
      <c r="I21" s="481">
        <v>501.63599783163266</v>
      </c>
      <c r="J21" s="481"/>
      <c r="K21" s="481"/>
      <c r="L21" s="479">
        <f t="shared" si="4"/>
        <v>501.63599783163266</v>
      </c>
      <c r="M21" s="478"/>
      <c r="N21" s="586"/>
      <c r="O21" s="587"/>
    </row>
    <row r="22" spans="1:15" ht="13.5" hidden="1" customHeight="1" x14ac:dyDescent="0.25">
      <c r="A22" s="604">
        <f t="shared" ref="A22:A23" si="5">IF(D21 = "",A21+C21,A21+D21)</f>
        <v>44264.607638888891</v>
      </c>
      <c r="B22" s="605">
        <f t="shared" ref="B22:B23" si="6">IF(D21 = "",B21+C21,B21+D21)</f>
        <v>44264.607638888891</v>
      </c>
      <c r="C22" s="562">
        <v>0</v>
      </c>
      <c r="D22" s="562"/>
      <c r="E22" s="605">
        <f t="shared" ref="E22" si="7">B22+C22</f>
        <v>44264.607638888891</v>
      </c>
      <c r="F22" s="606" t="s">
        <v>693</v>
      </c>
      <c r="G22" s="480"/>
      <c r="H22" s="481"/>
      <c r="I22" s="481"/>
      <c r="J22" s="481"/>
      <c r="K22" s="481"/>
      <c r="L22" s="588"/>
      <c r="M22" s="481"/>
    </row>
    <row r="23" spans="1:15" ht="13.5" customHeight="1" x14ac:dyDescent="0.25">
      <c r="A23" s="31">
        <f t="shared" si="5"/>
        <v>44264.607638888891</v>
      </c>
      <c r="B23" s="37">
        <f t="shared" si="6"/>
        <v>44264.607638888891</v>
      </c>
      <c r="C23" s="170">
        <v>0.4375</v>
      </c>
      <c r="D23" s="327"/>
      <c r="E23" s="37">
        <f t="shared" si="3"/>
        <v>44265.045138888891</v>
      </c>
      <c r="F23" s="584" t="s">
        <v>621</v>
      </c>
      <c r="G23" s="480"/>
      <c r="H23" s="481">
        <v>450</v>
      </c>
      <c r="I23" s="481"/>
      <c r="J23" s="481"/>
      <c r="K23" s="481"/>
      <c r="L23" s="588"/>
      <c r="M23" s="481">
        <v>450</v>
      </c>
    </row>
    <row r="24" spans="1:15" ht="13.5" hidden="1" customHeight="1" x14ac:dyDescent="0.25">
      <c r="A24" s="604">
        <f t="shared" si="1"/>
        <v>44265.045138888891</v>
      </c>
      <c r="B24" s="605">
        <f t="shared" si="2"/>
        <v>44265.045138888891</v>
      </c>
      <c r="C24" s="562">
        <v>0</v>
      </c>
      <c r="D24" s="562"/>
      <c r="E24" s="605">
        <f t="shared" si="3"/>
        <v>44265.045138888891</v>
      </c>
      <c r="F24" s="606" t="s">
        <v>693</v>
      </c>
      <c r="G24" s="480"/>
      <c r="H24" s="481"/>
      <c r="I24" s="481"/>
      <c r="J24" s="481"/>
      <c r="K24" s="481"/>
      <c r="L24" s="588"/>
      <c r="M24" s="481"/>
    </row>
    <row r="25" spans="1:15" x14ac:dyDescent="0.25">
      <c r="A25" s="31">
        <f t="shared" si="1"/>
        <v>44265.045138888891</v>
      </c>
      <c r="B25" s="37">
        <f t="shared" si="2"/>
        <v>44265.045138888891</v>
      </c>
      <c r="C25" s="170">
        <v>0.2638888888888889</v>
      </c>
      <c r="D25" s="327" t="str">
        <f t="shared" si="0"/>
        <v/>
      </c>
      <c r="E25" s="37">
        <f t="shared" si="3"/>
        <v>44265.309027777781</v>
      </c>
      <c r="F25" s="584" t="s">
        <v>622</v>
      </c>
      <c r="G25" s="589"/>
      <c r="H25" s="481"/>
      <c r="I25" s="481">
        <v>270</v>
      </c>
      <c r="J25" s="481"/>
      <c r="K25" s="481"/>
      <c r="L25" s="479">
        <f t="shared" si="4"/>
        <v>270</v>
      </c>
      <c r="M25" s="478"/>
    </row>
    <row r="26" spans="1:15" ht="12" hidden="1" thickBot="1" x14ac:dyDescent="0.3">
      <c r="A26" s="31">
        <f t="shared" si="1"/>
        <v>44265.309027777781</v>
      </c>
      <c r="B26" s="37">
        <f t="shared" si="2"/>
        <v>44265.309027777781</v>
      </c>
      <c r="C26" s="520">
        <v>0</v>
      </c>
      <c r="D26" s="520" t="str">
        <f t="shared" si="0"/>
        <v/>
      </c>
      <c r="E26" s="37">
        <f t="shared" si="3"/>
        <v>44265.309027777781</v>
      </c>
      <c r="F26" s="590" t="s">
        <v>2543</v>
      </c>
      <c r="G26" s="591"/>
      <c r="H26" s="592"/>
      <c r="I26" s="592"/>
      <c r="J26" s="592"/>
      <c r="K26" s="592"/>
      <c r="L26" s="593"/>
      <c r="M26" s="594"/>
    </row>
    <row r="27" spans="1:15" ht="12.75" customHeight="1" x14ac:dyDescent="0.25">
      <c r="A27" s="31">
        <f t="shared" si="1"/>
        <v>44265.309027777781</v>
      </c>
      <c r="B27" s="37">
        <f t="shared" si="2"/>
        <v>44265.309027777781</v>
      </c>
      <c r="C27" s="354">
        <v>0.2638888888888889</v>
      </c>
      <c r="D27" s="470" t="str">
        <f t="shared" si="0"/>
        <v/>
      </c>
      <c r="E27" s="37">
        <f t="shared" si="3"/>
        <v>44265.572916666672</v>
      </c>
      <c r="F27" s="595" t="s">
        <v>623</v>
      </c>
      <c r="G27" s="596"/>
      <c r="H27" s="597"/>
      <c r="I27" s="597">
        <v>270</v>
      </c>
      <c r="J27" s="597"/>
      <c r="K27" s="597"/>
      <c r="L27" s="598">
        <f t="shared" si="4"/>
        <v>270</v>
      </c>
      <c r="M27" s="599"/>
      <c r="N27" s="1096"/>
      <c r="O27" s="1096"/>
    </row>
    <row r="28" spans="1:15" ht="12.75" customHeight="1" x14ac:dyDescent="0.25">
      <c r="A28" s="31">
        <f t="shared" si="1"/>
        <v>44265.572916666672</v>
      </c>
      <c r="B28" s="37">
        <f>IF(D27 = "",B27+C27,B27+D27)</f>
        <v>44265.572916666672</v>
      </c>
      <c r="C28" s="170">
        <v>0.25694444444444448</v>
      </c>
      <c r="D28" s="327" t="str">
        <f t="shared" si="0"/>
        <v/>
      </c>
      <c r="E28" s="37">
        <f t="shared" si="3"/>
        <v>44265.829861111117</v>
      </c>
      <c r="F28" s="584" t="s">
        <v>625</v>
      </c>
      <c r="G28" s="589"/>
      <c r="H28" s="481"/>
      <c r="I28" s="481"/>
      <c r="J28" s="481"/>
      <c r="K28" s="481">
        <v>450</v>
      </c>
      <c r="L28" s="479">
        <f t="shared" si="4"/>
        <v>450</v>
      </c>
      <c r="M28" s="478"/>
      <c r="N28" s="586"/>
      <c r="O28" s="587"/>
    </row>
    <row r="29" spans="1:15" ht="12.75" customHeight="1" x14ac:dyDescent="0.25">
      <c r="A29" s="31">
        <f t="shared" si="1"/>
        <v>44265.829861111117</v>
      </c>
      <c r="B29" s="37">
        <f t="shared" si="2"/>
        <v>44265.829861111117</v>
      </c>
      <c r="C29" s="170">
        <v>6.25E-2</v>
      </c>
      <c r="D29" s="327" t="str">
        <f t="shared" si="0"/>
        <v/>
      </c>
      <c r="E29" s="37">
        <f t="shared" si="3"/>
        <v>44265.892361111117</v>
      </c>
      <c r="F29" s="584" t="s">
        <v>589</v>
      </c>
      <c r="G29" s="589"/>
      <c r="H29" s="481"/>
      <c r="I29" s="481"/>
      <c r="J29" s="481"/>
      <c r="K29" s="481"/>
      <c r="L29" s="479"/>
      <c r="M29" s="478"/>
      <c r="N29" s="586"/>
      <c r="O29" s="587"/>
    </row>
    <row r="30" spans="1:15" ht="12.75" hidden="1" customHeight="1" x14ac:dyDescent="0.25">
      <c r="A30" s="604">
        <f t="shared" si="1"/>
        <v>44265.892361111117</v>
      </c>
      <c r="B30" s="605">
        <f t="shared" si="2"/>
        <v>44265.892361111117</v>
      </c>
      <c r="C30" s="562">
        <v>0</v>
      </c>
      <c r="D30" s="562"/>
      <c r="E30" s="605">
        <f t="shared" si="3"/>
        <v>44265.892361111117</v>
      </c>
      <c r="F30" s="606" t="s">
        <v>2544</v>
      </c>
      <c r="G30" s="480"/>
      <c r="H30" s="481"/>
      <c r="I30" s="481"/>
      <c r="J30" s="481"/>
      <c r="K30" s="481"/>
      <c r="L30" s="479"/>
      <c r="M30" s="478"/>
      <c r="N30" s="586"/>
      <c r="O30" s="587"/>
    </row>
    <row r="31" spans="1:15" x14ac:dyDescent="0.25">
      <c r="A31" s="31">
        <f t="shared" si="1"/>
        <v>44265.892361111117</v>
      </c>
      <c r="B31" s="37">
        <f t="shared" si="2"/>
        <v>44265.892361111117</v>
      </c>
      <c r="C31" s="170">
        <v>4.1666666666666664E-2</v>
      </c>
      <c r="D31" s="327" t="str">
        <f t="shared" si="0"/>
        <v/>
      </c>
      <c r="E31" s="37">
        <f t="shared" si="3"/>
        <v>44265.934027777781</v>
      </c>
      <c r="F31" s="584" t="s">
        <v>627</v>
      </c>
      <c r="G31" s="480"/>
      <c r="H31" s="481"/>
      <c r="I31" s="481"/>
      <c r="J31" s="481"/>
      <c r="K31" s="481">
        <v>461.78450126262624</v>
      </c>
      <c r="L31" s="479">
        <f t="shared" si="4"/>
        <v>461.78450126262624</v>
      </c>
      <c r="M31" s="478"/>
    </row>
    <row r="32" spans="1:15" x14ac:dyDescent="0.25">
      <c r="A32" s="31">
        <f t="shared" si="1"/>
        <v>44265.934027777781</v>
      </c>
      <c r="B32" s="37">
        <f t="shared" si="2"/>
        <v>44265.934027777781</v>
      </c>
      <c r="C32" s="170">
        <v>8.3333333333333329E-2</v>
      </c>
      <c r="D32" s="327"/>
      <c r="E32" s="37">
        <f t="shared" si="3"/>
        <v>44266.017361111117</v>
      </c>
      <c r="F32" s="584" t="s">
        <v>589</v>
      </c>
      <c r="G32" s="480"/>
      <c r="H32" s="481"/>
      <c r="I32" s="481"/>
      <c r="J32" s="481"/>
      <c r="K32" s="481"/>
      <c r="L32" s="479"/>
      <c r="M32" s="478"/>
      <c r="N32" s="1096"/>
      <c r="O32" s="1096"/>
    </row>
    <row r="33" spans="1:15" x14ac:dyDescent="0.25">
      <c r="A33" s="31">
        <f t="shared" si="1"/>
        <v>44266.017361111117</v>
      </c>
      <c r="B33" s="37">
        <f t="shared" si="2"/>
        <v>44266.017361111117</v>
      </c>
      <c r="C33" s="170">
        <v>2.0833333333333332E-2</v>
      </c>
      <c r="D33" s="327"/>
      <c r="E33" s="37">
        <f t="shared" si="3"/>
        <v>44266.038194444453</v>
      </c>
      <c r="F33" s="584" t="s">
        <v>628</v>
      </c>
      <c r="G33" s="480"/>
      <c r="H33" s="481"/>
      <c r="I33" s="481"/>
      <c r="J33" s="481"/>
      <c r="K33" s="481"/>
      <c r="L33" s="479"/>
      <c r="M33" s="478"/>
      <c r="N33" s="586"/>
      <c r="O33" s="587"/>
    </row>
    <row r="34" spans="1:15" x14ac:dyDescent="0.25">
      <c r="A34" s="31">
        <f t="shared" si="1"/>
        <v>44266.038194444453</v>
      </c>
      <c r="B34" s="37">
        <f t="shared" si="2"/>
        <v>44266.038194444453</v>
      </c>
      <c r="C34" s="170">
        <v>3.4722222222222224E-2</v>
      </c>
      <c r="D34" s="327" t="str">
        <f t="shared" si="0"/>
        <v/>
      </c>
      <c r="E34" s="37">
        <f t="shared" si="3"/>
        <v>44266.072916666672</v>
      </c>
      <c r="F34" s="584" t="s">
        <v>2463</v>
      </c>
      <c r="G34" s="480"/>
      <c r="H34" s="481"/>
      <c r="I34" s="481"/>
      <c r="J34" s="481"/>
      <c r="K34" s="481">
        <v>48.729924242424239</v>
      </c>
      <c r="L34" s="479">
        <f t="shared" si="4"/>
        <v>48.729924242424239</v>
      </c>
      <c r="M34" s="478"/>
      <c r="N34" s="586"/>
      <c r="O34" s="587"/>
    </row>
    <row r="35" spans="1:15" x14ac:dyDescent="0.25">
      <c r="A35" s="31">
        <f t="shared" si="1"/>
        <v>44266.072916666672</v>
      </c>
      <c r="B35" s="37">
        <f t="shared" si="2"/>
        <v>44266.072916666672</v>
      </c>
      <c r="C35" s="170">
        <v>0</v>
      </c>
      <c r="D35" s="327"/>
      <c r="E35" s="37">
        <f t="shared" si="3"/>
        <v>44266.072916666672</v>
      </c>
      <c r="F35" s="600" t="s">
        <v>631</v>
      </c>
      <c r="G35" s="480"/>
      <c r="H35" s="481"/>
      <c r="I35" s="481"/>
      <c r="J35" s="481"/>
      <c r="K35" s="481"/>
      <c r="L35" s="479"/>
      <c r="M35" s="478"/>
      <c r="N35" s="586"/>
      <c r="O35" s="587"/>
    </row>
    <row r="36" spans="1:15" x14ac:dyDescent="0.25">
      <c r="A36" s="31">
        <f t="shared" si="1"/>
        <v>44266.072916666672</v>
      </c>
      <c r="B36" s="37">
        <f t="shared" si="2"/>
        <v>44266.072916666672</v>
      </c>
      <c r="C36" s="170">
        <v>1.3888888888888888E-2</v>
      </c>
      <c r="D36" s="327"/>
      <c r="E36" s="37">
        <f t="shared" si="3"/>
        <v>44266.086805555562</v>
      </c>
      <c r="F36" s="584" t="s">
        <v>2545</v>
      </c>
      <c r="G36" s="480"/>
      <c r="H36" s="481"/>
      <c r="I36" s="481"/>
      <c r="J36" s="481"/>
      <c r="K36" s="481"/>
      <c r="L36" s="479"/>
      <c r="M36" s="478"/>
      <c r="N36" s="586"/>
      <c r="O36" s="587"/>
    </row>
    <row r="37" spans="1:15" x14ac:dyDescent="0.25">
      <c r="A37" s="31">
        <f t="shared" si="1"/>
        <v>44266.086805555562</v>
      </c>
      <c r="B37" s="37">
        <f t="shared" si="2"/>
        <v>44266.086805555562</v>
      </c>
      <c r="C37" s="170">
        <v>1.3888888888888888E-2</v>
      </c>
      <c r="D37" s="327"/>
      <c r="E37" s="37">
        <f t="shared" si="3"/>
        <v>44266.100694444453</v>
      </c>
      <c r="F37" s="584" t="s">
        <v>2463</v>
      </c>
      <c r="G37" s="480"/>
      <c r="H37" s="481"/>
      <c r="I37" s="481"/>
      <c r="J37" s="481"/>
      <c r="K37" s="481"/>
      <c r="L37" s="479"/>
      <c r="M37" s="478"/>
      <c r="N37" s="586"/>
      <c r="O37" s="587"/>
    </row>
    <row r="38" spans="1:15" x14ac:dyDescent="0.25">
      <c r="A38" s="31">
        <f t="shared" si="1"/>
        <v>44266.100694444453</v>
      </c>
      <c r="B38" s="37">
        <f t="shared" si="2"/>
        <v>44266.100694444453</v>
      </c>
      <c r="C38" s="170">
        <v>1.3888888888888888E-2</v>
      </c>
      <c r="D38" s="327"/>
      <c r="E38" s="37">
        <f t="shared" si="3"/>
        <v>44266.114583333343</v>
      </c>
      <c r="F38" s="600" t="s">
        <v>2546</v>
      </c>
      <c r="G38" s="480"/>
      <c r="H38" s="481"/>
      <c r="I38" s="481"/>
      <c r="J38" s="481"/>
      <c r="K38" s="481"/>
      <c r="L38" s="479"/>
      <c r="M38" s="478"/>
      <c r="N38" s="586"/>
      <c r="O38" s="587"/>
    </row>
    <row r="39" spans="1:15" x14ac:dyDescent="0.25">
      <c r="A39" s="31">
        <f t="shared" si="1"/>
        <v>44266.114583333343</v>
      </c>
      <c r="B39" s="37">
        <f t="shared" si="2"/>
        <v>44266.114583333343</v>
      </c>
      <c r="C39" s="170">
        <v>0.11458333333333333</v>
      </c>
      <c r="D39" s="327"/>
      <c r="E39" s="37">
        <f t="shared" si="3"/>
        <v>44266.229166666679</v>
      </c>
      <c r="F39" s="601" t="s">
        <v>589</v>
      </c>
      <c r="G39" s="480"/>
      <c r="H39" s="481"/>
      <c r="I39" s="481"/>
      <c r="J39" s="481"/>
      <c r="K39" s="481"/>
      <c r="L39" s="479"/>
      <c r="M39" s="478"/>
    </row>
    <row r="40" spans="1:15" s="267" customFormat="1" ht="14.9" hidden="1" customHeight="1" x14ac:dyDescent="0.25">
      <c r="A40" s="31">
        <f t="shared" si="1"/>
        <v>44266.229166666679</v>
      </c>
      <c r="B40" s="37">
        <f t="shared" si="2"/>
        <v>44266.229166666679</v>
      </c>
      <c r="C40" s="280"/>
      <c r="D40" s="280"/>
      <c r="E40" s="37">
        <f t="shared" si="3"/>
        <v>44266.229166666679</v>
      </c>
      <c r="F40" s="280"/>
      <c r="G40" s="280"/>
      <c r="H40" s="284"/>
      <c r="I40" s="284"/>
      <c r="J40" s="284"/>
      <c r="K40" s="284"/>
      <c r="L40" s="285"/>
      <c r="M40" s="341"/>
    </row>
    <row r="41" spans="1:15" x14ac:dyDescent="0.25">
      <c r="A41" s="31">
        <f t="shared" si="1"/>
        <v>44266.229166666679</v>
      </c>
      <c r="B41" s="37">
        <f t="shared" si="2"/>
        <v>44266.229166666679</v>
      </c>
      <c r="C41" s="170">
        <v>1.3888888888888888E-2</v>
      </c>
      <c r="D41" s="327"/>
      <c r="E41" s="37">
        <f t="shared" si="3"/>
        <v>44266.243055555569</v>
      </c>
      <c r="F41" s="482" t="s">
        <v>632</v>
      </c>
      <c r="G41" s="480"/>
      <c r="H41" s="481"/>
      <c r="I41" s="481"/>
      <c r="J41" s="481">
        <v>53.22811529933481</v>
      </c>
      <c r="K41" s="481"/>
      <c r="L41" s="479">
        <f t="shared" si="4"/>
        <v>53.22811529933481</v>
      </c>
      <c r="M41" s="478"/>
    </row>
    <row r="42" spans="1:15" x14ac:dyDescent="0.25">
      <c r="A42" s="31">
        <f t="shared" si="1"/>
        <v>44266.243055555569</v>
      </c>
      <c r="B42" s="37">
        <f t="shared" si="2"/>
        <v>44266.243055555569</v>
      </c>
      <c r="C42" s="170">
        <v>0.125</v>
      </c>
      <c r="D42" s="327"/>
      <c r="E42" s="37">
        <f t="shared" si="3"/>
        <v>44266.368055555569</v>
      </c>
      <c r="F42" s="482" t="s">
        <v>633</v>
      </c>
      <c r="G42" s="480"/>
      <c r="H42" s="481"/>
      <c r="I42" s="481"/>
      <c r="J42" s="481">
        <v>402.40454545454548</v>
      </c>
      <c r="K42" s="481"/>
      <c r="L42" s="479">
        <f t="shared" si="4"/>
        <v>402.40454545454548</v>
      </c>
      <c r="M42" s="478"/>
    </row>
    <row r="43" spans="1:15" x14ac:dyDescent="0.25">
      <c r="A43" s="31">
        <f t="shared" si="1"/>
        <v>44266.368055555569</v>
      </c>
      <c r="B43" s="37">
        <f t="shared" si="2"/>
        <v>44266.368055555569</v>
      </c>
      <c r="C43" s="170">
        <v>0.125</v>
      </c>
      <c r="D43" s="327"/>
      <c r="E43" s="37">
        <f t="shared" si="3"/>
        <v>44266.493055555569</v>
      </c>
      <c r="F43" s="482" t="s">
        <v>634</v>
      </c>
      <c r="G43" s="480"/>
      <c r="H43" s="481"/>
      <c r="I43" s="481"/>
      <c r="J43" s="481">
        <v>401.28492239467846</v>
      </c>
      <c r="K43" s="481"/>
      <c r="L43" s="479">
        <f t="shared" si="4"/>
        <v>401.28492239467846</v>
      </c>
      <c r="M43" s="478"/>
    </row>
    <row r="44" spans="1:15" x14ac:dyDescent="0.25">
      <c r="A44" s="31">
        <f t="shared" si="1"/>
        <v>44266.493055555569</v>
      </c>
      <c r="B44" s="37">
        <f t="shared" si="2"/>
        <v>44266.493055555569</v>
      </c>
      <c r="C44" s="170">
        <v>0.125</v>
      </c>
      <c r="D44" s="327"/>
      <c r="E44" s="37">
        <f t="shared" si="3"/>
        <v>44266.618055555569</v>
      </c>
      <c r="F44" s="482" t="s">
        <v>635</v>
      </c>
      <c r="G44" s="480"/>
      <c r="H44" s="481"/>
      <c r="I44" s="481"/>
      <c r="J44" s="481">
        <v>401.58048780487803</v>
      </c>
      <c r="K44" s="481"/>
      <c r="L44" s="479">
        <f t="shared" si="4"/>
        <v>401.58048780487803</v>
      </c>
      <c r="M44" s="478"/>
    </row>
    <row r="45" spans="1:15" x14ac:dyDescent="0.25">
      <c r="A45" s="31">
        <f t="shared" si="1"/>
        <v>44266.618055555569</v>
      </c>
      <c r="B45" s="37">
        <f t="shared" si="2"/>
        <v>44266.618055555569</v>
      </c>
      <c r="C45" s="170">
        <v>0.125</v>
      </c>
      <c r="D45" s="327"/>
      <c r="E45" s="37">
        <f t="shared" si="3"/>
        <v>44266.743055555569</v>
      </c>
      <c r="F45" s="482" t="s">
        <v>636</v>
      </c>
      <c r="G45" s="480"/>
      <c r="H45" s="481"/>
      <c r="I45" s="481"/>
      <c r="J45" s="481">
        <v>302.87261640798226</v>
      </c>
      <c r="K45" s="481"/>
      <c r="L45" s="479">
        <f t="shared" si="4"/>
        <v>302.87261640798226</v>
      </c>
      <c r="M45" s="478"/>
      <c r="N45" s="586"/>
      <c r="O45" s="587"/>
    </row>
    <row r="46" spans="1:15" x14ac:dyDescent="0.25">
      <c r="A46" s="31">
        <f t="shared" si="1"/>
        <v>44266.743055555569</v>
      </c>
      <c r="B46" s="37">
        <f t="shared" si="2"/>
        <v>44266.743055555569</v>
      </c>
      <c r="C46" s="170">
        <v>2.0833333333333332E-2</v>
      </c>
      <c r="D46" s="327" t="str">
        <f t="shared" si="0"/>
        <v/>
      </c>
      <c r="E46" s="37">
        <f t="shared" si="3"/>
        <v>44266.763888888905</v>
      </c>
      <c r="F46" s="482" t="s">
        <v>2463</v>
      </c>
      <c r="G46" s="480"/>
      <c r="H46" s="481"/>
      <c r="I46" s="481"/>
      <c r="J46" s="481"/>
      <c r="K46" s="481"/>
      <c r="L46" s="479"/>
      <c r="M46" s="478"/>
      <c r="N46" s="1096"/>
      <c r="O46" s="1096"/>
    </row>
    <row r="47" spans="1:15" x14ac:dyDescent="0.25">
      <c r="A47" s="31">
        <f t="shared" si="1"/>
        <v>44266.763888888905</v>
      </c>
      <c r="B47" s="37">
        <f t="shared" si="2"/>
        <v>44266.763888888905</v>
      </c>
      <c r="C47" s="170">
        <v>0</v>
      </c>
      <c r="D47" s="683"/>
      <c r="E47" s="37">
        <f t="shared" si="3"/>
        <v>44266.763888888905</v>
      </c>
      <c r="F47" s="710" t="s">
        <v>638</v>
      </c>
      <c r="G47" s="480"/>
      <c r="H47" s="481"/>
      <c r="I47" s="481"/>
      <c r="J47" s="481"/>
      <c r="K47" s="481"/>
      <c r="L47" s="479"/>
      <c r="M47" s="478"/>
      <c r="N47" s="586"/>
      <c r="O47" s="587"/>
    </row>
    <row r="48" spans="1:15" x14ac:dyDescent="0.25">
      <c r="A48" s="31">
        <f t="shared" si="1"/>
        <v>44266.763888888905</v>
      </c>
      <c r="B48" s="37">
        <f t="shared" si="2"/>
        <v>44266.763888888905</v>
      </c>
      <c r="C48" s="170">
        <v>6.5972222222222224E-2</v>
      </c>
      <c r="D48" s="327" t="str">
        <f t="shared" si="0"/>
        <v/>
      </c>
      <c r="E48" s="37">
        <f t="shared" si="3"/>
        <v>44266.829861111124</v>
      </c>
      <c r="F48" s="482" t="s">
        <v>639</v>
      </c>
      <c r="G48" s="480"/>
      <c r="H48" s="481"/>
      <c r="I48" s="481"/>
      <c r="J48" s="481"/>
      <c r="K48" s="481"/>
      <c r="L48" s="479"/>
      <c r="M48" s="478"/>
      <c r="N48" s="586"/>
      <c r="O48" s="587"/>
    </row>
    <row r="49" spans="1:15" x14ac:dyDescent="0.25">
      <c r="A49" s="31">
        <f t="shared" si="1"/>
        <v>44266.829861111124</v>
      </c>
      <c r="B49" s="37">
        <f t="shared" si="2"/>
        <v>44266.829861111124</v>
      </c>
      <c r="C49" s="170">
        <v>1.3888888888888888E-2</v>
      </c>
      <c r="D49" s="327"/>
      <c r="E49" s="37">
        <f t="shared" si="3"/>
        <v>44266.843750000015</v>
      </c>
      <c r="F49" s="570" t="s">
        <v>2547</v>
      </c>
      <c r="G49" s="480"/>
      <c r="H49" s="481"/>
      <c r="I49" s="481"/>
      <c r="J49" s="481"/>
      <c r="K49" s="481"/>
      <c r="L49" s="479"/>
      <c r="M49" s="478"/>
      <c r="N49" s="586"/>
      <c r="O49" s="587"/>
    </row>
    <row r="50" spans="1:15" x14ac:dyDescent="0.25">
      <c r="A50" s="31">
        <f t="shared" si="1"/>
        <v>44266.843750000015</v>
      </c>
      <c r="B50" s="37">
        <f>IF(D49 = "",B49+C49,B49+D49)</f>
        <v>44266.843750000015</v>
      </c>
      <c r="C50" s="170">
        <v>1.3888888888888888E-2</v>
      </c>
      <c r="D50" s="327"/>
      <c r="E50" s="37">
        <f t="shared" si="3"/>
        <v>44266.857638888905</v>
      </c>
      <c r="F50" s="570" t="s">
        <v>2548</v>
      </c>
      <c r="G50" s="480"/>
      <c r="H50" s="481"/>
      <c r="I50" s="481"/>
      <c r="J50" s="481"/>
      <c r="K50" s="481"/>
      <c r="L50" s="479"/>
      <c r="M50" s="478"/>
      <c r="N50" s="586"/>
      <c r="O50" s="587"/>
    </row>
    <row r="51" spans="1:15" x14ac:dyDescent="0.25">
      <c r="A51" s="1070" t="s">
        <v>640</v>
      </c>
      <c r="B51" s="1070"/>
      <c r="C51" s="1070"/>
      <c r="D51" s="1070"/>
      <c r="E51" s="1070"/>
      <c r="F51" s="1070"/>
      <c r="G51" s="1071"/>
      <c r="H51" s="286"/>
      <c r="I51" s="286"/>
      <c r="J51" s="286"/>
      <c r="K51" s="286"/>
      <c r="L51" s="339"/>
      <c r="M51" s="286"/>
    </row>
    <row r="52" spans="1:15" x14ac:dyDescent="0.25">
      <c r="A52" s="31">
        <f>IF(D50 = "",A50+C50,A50+D50)</f>
        <v>44266.857638888905</v>
      </c>
      <c r="B52" s="37">
        <f>IF(D50 = "",B50+C50,B50+D50)</f>
        <v>44266.857638888905</v>
      </c>
      <c r="C52" s="170">
        <v>0</v>
      </c>
      <c r="D52" s="327"/>
      <c r="E52" s="37">
        <f>B52+C52</f>
        <v>44266.857638888905</v>
      </c>
      <c r="F52" s="570" t="s">
        <v>2547</v>
      </c>
      <c r="G52" s="480"/>
      <c r="H52" s="481"/>
      <c r="I52" s="481"/>
      <c r="J52" s="481"/>
      <c r="K52" s="481"/>
      <c r="L52" s="479"/>
      <c r="M52" s="478"/>
      <c r="N52" s="586"/>
      <c r="O52" s="587"/>
    </row>
    <row r="53" spans="1:15" x14ac:dyDescent="0.25">
      <c r="A53" s="31">
        <f>IF(D52 = "",A52+C52,A52+D52)</f>
        <v>44266.857638888905</v>
      </c>
      <c r="B53" s="37">
        <f>IF(D52 = "",B52+C52,B52+D52)</f>
        <v>44266.857638888905</v>
      </c>
      <c r="C53" s="170">
        <v>0</v>
      </c>
      <c r="D53" s="327"/>
      <c r="E53" s="37">
        <f t="shared" ref="E53:E71" si="8">B53+C53</f>
        <v>44266.857638888905</v>
      </c>
      <c r="F53" s="570" t="s">
        <v>2548</v>
      </c>
      <c r="G53" s="480"/>
      <c r="H53" s="481"/>
      <c r="I53" s="481"/>
      <c r="J53" s="481"/>
      <c r="K53" s="481"/>
      <c r="L53" s="479"/>
      <c r="M53" s="478"/>
      <c r="N53" s="586"/>
      <c r="O53" s="587"/>
    </row>
    <row r="54" spans="1:15" x14ac:dyDescent="0.25">
      <c r="A54" s="31">
        <f t="shared" ref="A54:A71" si="9">IF(D53 = "",A53+C53,A53+D53)</f>
        <v>44266.857638888905</v>
      </c>
      <c r="B54" s="37">
        <f t="shared" ref="B54:B70" si="10">IF(D53 = "",B53+C53,B53+D53)</f>
        <v>44266.857638888905</v>
      </c>
      <c r="C54" s="170">
        <v>1.0416666666666666E-2</v>
      </c>
      <c r="D54" s="327" t="str">
        <f t="shared" si="0"/>
        <v/>
      </c>
      <c r="E54" s="37">
        <f t="shared" si="8"/>
        <v>44266.868055555569</v>
      </c>
      <c r="F54" s="491" t="s">
        <v>2549</v>
      </c>
      <c r="G54" s="480"/>
      <c r="H54" s="481"/>
      <c r="I54" s="481"/>
      <c r="J54" s="481"/>
      <c r="K54" s="481">
        <v>133.60631313131313</v>
      </c>
      <c r="L54" s="479">
        <f t="shared" si="4"/>
        <v>133.60631313131313</v>
      </c>
      <c r="M54" s="478"/>
    </row>
    <row r="55" spans="1:15" x14ac:dyDescent="0.25">
      <c r="A55" s="31">
        <f t="shared" si="9"/>
        <v>44266.868055555569</v>
      </c>
      <c r="B55" s="37">
        <f t="shared" si="10"/>
        <v>44266.868055555569</v>
      </c>
      <c r="C55" s="170">
        <v>9.375E-2</v>
      </c>
      <c r="D55" s="327" t="str">
        <f t="shared" si="0"/>
        <v/>
      </c>
      <c r="E55" s="37">
        <f t="shared" si="8"/>
        <v>44266.961805555569</v>
      </c>
      <c r="F55" s="601" t="s">
        <v>642</v>
      </c>
      <c r="G55" s="480"/>
      <c r="H55" s="481"/>
      <c r="I55" s="481"/>
      <c r="J55" s="481"/>
      <c r="K55" s="481">
        <v>1621.7</v>
      </c>
      <c r="L55" s="479">
        <f t="shared" si="4"/>
        <v>1621.7</v>
      </c>
      <c r="M55" s="478"/>
    </row>
    <row r="56" spans="1:15" x14ac:dyDescent="0.25">
      <c r="A56" s="31">
        <f t="shared" si="9"/>
        <v>44266.961805555569</v>
      </c>
      <c r="B56" s="37">
        <f t="shared" si="10"/>
        <v>44266.961805555569</v>
      </c>
      <c r="C56" s="170">
        <v>0.1388888888888889</v>
      </c>
      <c r="D56" s="327"/>
      <c r="E56" s="37">
        <f t="shared" si="8"/>
        <v>44267.10069444446</v>
      </c>
      <c r="F56" s="601" t="s">
        <v>643</v>
      </c>
      <c r="G56" s="480"/>
      <c r="H56" s="481"/>
      <c r="I56" s="481"/>
      <c r="J56" s="481"/>
      <c r="K56" s="481">
        <v>260</v>
      </c>
      <c r="L56" s="479">
        <f t="shared" si="4"/>
        <v>260</v>
      </c>
      <c r="M56" s="478"/>
    </row>
    <row r="57" spans="1:15" x14ac:dyDescent="0.25">
      <c r="A57" s="31">
        <f t="shared" si="9"/>
        <v>44267.10069444446</v>
      </c>
      <c r="B57" s="37">
        <f t="shared" si="10"/>
        <v>44267.10069444446</v>
      </c>
      <c r="C57" s="170">
        <v>0.1388888888888889</v>
      </c>
      <c r="D57" s="327" t="str">
        <f t="shared" si="0"/>
        <v/>
      </c>
      <c r="E57" s="37">
        <f t="shared" si="8"/>
        <v>44267.23958333335</v>
      </c>
      <c r="F57" s="601" t="s">
        <v>645</v>
      </c>
      <c r="G57" s="480"/>
      <c r="H57" s="481"/>
      <c r="I57" s="481"/>
      <c r="J57" s="481"/>
      <c r="K57" s="481">
        <v>260</v>
      </c>
      <c r="L57" s="479">
        <f t="shared" si="4"/>
        <v>260</v>
      </c>
      <c r="M57" s="478"/>
    </row>
    <row r="58" spans="1:15" x14ac:dyDescent="0.25">
      <c r="A58" s="31">
        <f t="shared" si="9"/>
        <v>44267.23958333335</v>
      </c>
      <c r="B58" s="37">
        <f t="shared" si="10"/>
        <v>44267.23958333335</v>
      </c>
      <c r="C58" s="170">
        <v>0.1388888888888889</v>
      </c>
      <c r="D58" s="327" t="str">
        <f t="shared" si="0"/>
        <v/>
      </c>
      <c r="E58" s="37">
        <f t="shared" si="8"/>
        <v>44267.378472222241</v>
      </c>
      <c r="F58" s="601" t="s">
        <v>646</v>
      </c>
      <c r="G58" s="480"/>
      <c r="H58" s="481"/>
      <c r="I58" s="481"/>
      <c r="J58" s="481"/>
      <c r="K58" s="481">
        <v>260</v>
      </c>
      <c r="L58" s="479">
        <f t="shared" si="4"/>
        <v>260</v>
      </c>
      <c r="M58" s="478"/>
    </row>
    <row r="59" spans="1:15" x14ac:dyDescent="0.25">
      <c r="A59" s="31">
        <f t="shared" si="9"/>
        <v>44267.378472222241</v>
      </c>
      <c r="B59" s="37">
        <f t="shared" si="10"/>
        <v>44267.378472222241</v>
      </c>
      <c r="C59" s="271">
        <v>8.3333333333333329E-2</v>
      </c>
      <c r="D59" s="327" t="str">
        <f t="shared" si="0"/>
        <v/>
      </c>
      <c r="E59" s="37">
        <f t="shared" si="8"/>
        <v>44267.461805555577</v>
      </c>
      <c r="F59" s="601" t="s">
        <v>647</v>
      </c>
      <c r="G59" s="480"/>
      <c r="H59" s="481"/>
      <c r="I59" s="481"/>
      <c r="J59" s="481"/>
      <c r="K59" s="481"/>
      <c r="L59" s="479"/>
      <c r="M59" s="478"/>
    </row>
    <row r="60" spans="1:15" x14ac:dyDescent="0.25">
      <c r="A60" s="31">
        <f t="shared" si="9"/>
        <v>44267.461805555577</v>
      </c>
      <c r="B60" s="37">
        <f t="shared" si="10"/>
        <v>44267.461805555577</v>
      </c>
      <c r="C60" s="271">
        <v>8.3333333333333329E-2</v>
      </c>
      <c r="D60" s="327"/>
      <c r="E60" s="37">
        <f t="shared" si="8"/>
        <v>44267.545138888912</v>
      </c>
      <c r="F60" s="601" t="s">
        <v>597</v>
      </c>
      <c r="G60" s="480"/>
      <c r="H60" s="481"/>
      <c r="I60" s="481"/>
      <c r="J60" s="481"/>
      <c r="K60" s="481"/>
      <c r="L60" s="479"/>
      <c r="M60" s="478"/>
    </row>
    <row r="61" spans="1:15" x14ac:dyDescent="0.25">
      <c r="A61" s="31">
        <f t="shared" si="9"/>
        <v>44267.545138888912</v>
      </c>
      <c r="B61" s="37">
        <f t="shared" si="10"/>
        <v>44267.545138888912</v>
      </c>
      <c r="C61" s="271">
        <v>3.125E-2</v>
      </c>
      <c r="D61" s="327" t="str">
        <f t="shared" si="0"/>
        <v/>
      </c>
      <c r="E61" s="37">
        <f t="shared" si="8"/>
        <v>44267.576388888912</v>
      </c>
      <c r="F61" s="601" t="s">
        <v>642</v>
      </c>
      <c r="G61" s="480"/>
      <c r="H61" s="481"/>
      <c r="I61" s="481"/>
      <c r="J61" s="481"/>
      <c r="K61" s="481">
        <v>1206.9000000000001</v>
      </c>
      <c r="L61" s="479">
        <f t="shared" si="4"/>
        <v>1206.9000000000001</v>
      </c>
      <c r="M61" s="478"/>
    </row>
    <row r="62" spans="1:15" x14ac:dyDescent="0.25">
      <c r="A62" s="31">
        <f t="shared" si="9"/>
        <v>44267.576388888912</v>
      </c>
      <c r="B62" s="37">
        <f t="shared" si="10"/>
        <v>44267.576388888912</v>
      </c>
      <c r="C62" s="170">
        <v>6.25E-2</v>
      </c>
      <c r="D62" s="327" t="str">
        <f t="shared" si="0"/>
        <v/>
      </c>
      <c r="E62" s="37">
        <f t="shared" si="8"/>
        <v>44267.638888888912</v>
      </c>
      <c r="F62" s="601" t="s">
        <v>647</v>
      </c>
      <c r="G62" s="480"/>
      <c r="H62" s="481"/>
      <c r="I62" s="481"/>
      <c r="J62" s="481"/>
      <c r="K62" s="481"/>
      <c r="L62" s="479"/>
      <c r="M62" s="478"/>
    </row>
    <row r="63" spans="1:15" x14ac:dyDescent="0.25">
      <c r="A63" s="31">
        <f t="shared" si="9"/>
        <v>44267.638888888912</v>
      </c>
      <c r="B63" s="37">
        <f t="shared" si="10"/>
        <v>44267.638888888912</v>
      </c>
      <c r="C63" s="170">
        <v>6.9444444444444434E-2</v>
      </c>
      <c r="D63" s="327" t="str">
        <f t="shared" si="0"/>
        <v/>
      </c>
      <c r="E63" s="37">
        <f t="shared" si="8"/>
        <v>44267.708333333358</v>
      </c>
      <c r="F63" s="601" t="s">
        <v>2550</v>
      </c>
      <c r="G63" s="480"/>
      <c r="H63" s="481"/>
      <c r="I63" s="481"/>
      <c r="J63" s="481"/>
      <c r="K63" s="481"/>
      <c r="L63" s="479"/>
      <c r="M63" s="478"/>
    </row>
    <row r="64" spans="1:15" s="267" customFormat="1" x14ac:dyDescent="0.25">
      <c r="A64" s="31">
        <f t="shared" si="9"/>
        <v>44267.708333333358</v>
      </c>
      <c r="B64" s="37">
        <f t="shared" si="10"/>
        <v>44267.708333333358</v>
      </c>
      <c r="C64" s="170">
        <v>2.0833333333333332E-2</v>
      </c>
      <c r="D64" s="327" t="str">
        <f t="shared" si="0"/>
        <v/>
      </c>
      <c r="E64" s="37">
        <f t="shared" si="8"/>
        <v>44267.729166666693</v>
      </c>
      <c r="F64" s="491" t="s">
        <v>649</v>
      </c>
      <c r="G64" s="483"/>
      <c r="H64" s="481"/>
      <c r="I64" s="481"/>
      <c r="J64" s="481"/>
      <c r="K64" s="481">
        <v>36.920694444444443</v>
      </c>
      <c r="L64" s="479">
        <f>SUM(H64:K64)</f>
        <v>36.920694444444443</v>
      </c>
      <c r="M64" s="478"/>
      <c r="N64" s="1096"/>
      <c r="O64" s="1096"/>
    </row>
    <row r="65" spans="1:15" x14ac:dyDescent="0.25">
      <c r="A65" s="31">
        <f t="shared" si="9"/>
        <v>44267.729166666693</v>
      </c>
      <c r="B65" s="37">
        <f t="shared" si="10"/>
        <v>44267.729166666693</v>
      </c>
      <c r="C65" s="170">
        <v>0</v>
      </c>
      <c r="D65" s="327"/>
      <c r="E65" s="37">
        <f t="shared" si="8"/>
        <v>44267.729166666693</v>
      </c>
      <c r="F65" s="602" t="s">
        <v>650</v>
      </c>
      <c r="G65" s="480"/>
      <c r="H65" s="481"/>
      <c r="I65" s="481"/>
      <c r="J65" s="481"/>
      <c r="K65" s="481"/>
      <c r="L65" s="479"/>
      <c r="M65" s="478"/>
      <c r="N65" s="586"/>
      <c r="O65" s="587"/>
    </row>
    <row r="66" spans="1:15" x14ac:dyDescent="0.25">
      <c r="A66" s="31">
        <f t="shared" si="9"/>
        <v>44267.729166666693</v>
      </c>
      <c r="B66" s="37">
        <f t="shared" si="10"/>
        <v>44267.729166666693</v>
      </c>
      <c r="C66" s="170">
        <v>0.10416666666666667</v>
      </c>
      <c r="D66" s="327" t="str">
        <f t="shared" si="0"/>
        <v/>
      </c>
      <c r="E66" s="37">
        <f t="shared" si="8"/>
        <v>44267.833333333358</v>
      </c>
      <c r="F66" s="601" t="s">
        <v>647</v>
      </c>
      <c r="G66" s="480"/>
      <c r="H66" s="481"/>
      <c r="I66" s="481"/>
      <c r="J66" s="481"/>
      <c r="K66" s="481"/>
      <c r="L66" s="479"/>
      <c r="M66" s="478"/>
      <c r="N66" s="586"/>
      <c r="O66" s="587"/>
    </row>
    <row r="67" spans="1:15" x14ac:dyDescent="0.25">
      <c r="A67" s="31">
        <f t="shared" si="9"/>
        <v>44267.833333333358</v>
      </c>
      <c r="B67" s="37">
        <f t="shared" si="10"/>
        <v>44267.833333333358</v>
      </c>
      <c r="C67" s="170">
        <v>2.0833333333333332E-2</v>
      </c>
      <c r="D67" s="327" t="str">
        <f t="shared" si="0"/>
        <v/>
      </c>
      <c r="E67" s="37">
        <f t="shared" si="8"/>
        <v>44267.854166666693</v>
      </c>
      <c r="F67" s="601" t="s">
        <v>651</v>
      </c>
      <c r="G67" s="480"/>
      <c r="H67" s="481"/>
      <c r="I67" s="481"/>
      <c r="J67" s="481"/>
      <c r="K67" s="481">
        <v>100</v>
      </c>
      <c r="L67" s="479">
        <f t="shared" si="4"/>
        <v>100</v>
      </c>
      <c r="M67" s="478"/>
      <c r="N67" s="586"/>
      <c r="O67" s="587"/>
    </row>
    <row r="68" spans="1:15" x14ac:dyDescent="0.25">
      <c r="A68" s="31">
        <f t="shared" si="9"/>
        <v>44267.854166666693</v>
      </c>
      <c r="B68" s="37">
        <f t="shared" si="10"/>
        <v>44267.854166666693</v>
      </c>
      <c r="C68" s="170">
        <v>3.4722222222222224E-2</v>
      </c>
      <c r="D68" s="327" t="str">
        <f t="shared" si="0"/>
        <v/>
      </c>
      <c r="E68" s="37">
        <f t="shared" si="8"/>
        <v>44267.888888888912</v>
      </c>
      <c r="F68" s="584" t="s">
        <v>2551</v>
      </c>
      <c r="G68" s="480"/>
      <c r="H68" s="481"/>
      <c r="I68" s="481"/>
      <c r="J68" s="481"/>
      <c r="K68" s="481">
        <v>133.60631313131313</v>
      </c>
      <c r="L68" s="479">
        <f t="shared" si="4"/>
        <v>133.60631313131313</v>
      </c>
      <c r="M68" s="478"/>
    </row>
    <row r="69" spans="1:15" x14ac:dyDescent="0.25">
      <c r="A69" s="31">
        <f t="shared" si="9"/>
        <v>44267.888888888912</v>
      </c>
      <c r="B69" s="37">
        <f t="shared" si="10"/>
        <v>44267.888888888912</v>
      </c>
      <c r="C69" s="170">
        <v>0</v>
      </c>
      <c r="D69" s="327"/>
      <c r="E69" s="37">
        <f t="shared" si="8"/>
        <v>44267.888888888912</v>
      </c>
      <c r="F69" s="602" t="s">
        <v>2552</v>
      </c>
      <c r="G69" s="480"/>
      <c r="H69" s="481"/>
      <c r="I69" s="481"/>
      <c r="J69" s="481"/>
      <c r="K69" s="481"/>
      <c r="L69" s="479"/>
      <c r="M69" s="478"/>
    </row>
    <row r="70" spans="1:15" x14ac:dyDescent="0.25">
      <c r="A70" s="31">
        <f t="shared" si="9"/>
        <v>44267.888888888912</v>
      </c>
      <c r="B70" s="37">
        <f t="shared" si="10"/>
        <v>44267.888888888912</v>
      </c>
      <c r="C70" s="170">
        <v>3.4722222222222224E-2</v>
      </c>
      <c r="D70" s="327" t="str">
        <f t="shared" si="0"/>
        <v/>
      </c>
      <c r="E70" s="37">
        <f t="shared" si="8"/>
        <v>44267.923611111131</v>
      </c>
      <c r="F70" s="584" t="s">
        <v>2553</v>
      </c>
      <c r="G70" s="480"/>
      <c r="H70" s="481"/>
      <c r="I70" s="481"/>
      <c r="J70" s="481">
        <v>118.09456762749446</v>
      </c>
      <c r="K70" s="481"/>
      <c r="L70" s="479">
        <f t="shared" si="4"/>
        <v>118.09456762749446</v>
      </c>
      <c r="M70" s="478"/>
    </row>
    <row r="71" spans="1:15" x14ac:dyDescent="0.25">
      <c r="A71" s="31">
        <f t="shared" si="9"/>
        <v>44267.923611111131</v>
      </c>
      <c r="B71" s="37">
        <f>IF(D70 = "",B70+C70,B70+D70)</f>
        <v>44267.923611111131</v>
      </c>
      <c r="C71" s="170">
        <v>0.10416666666666667</v>
      </c>
      <c r="D71" s="327" t="str">
        <f t="shared" si="0"/>
        <v/>
      </c>
      <c r="E71" s="37">
        <f t="shared" si="8"/>
        <v>44268.027777777796</v>
      </c>
      <c r="F71" s="601" t="s">
        <v>656</v>
      </c>
      <c r="G71" s="480"/>
      <c r="H71" s="481"/>
      <c r="I71" s="481"/>
      <c r="J71" s="481"/>
      <c r="K71" s="481"/>
      <c r="L71" s="479"/>
      <c r="M71" s="478"/>
      <c r="O71" s="530"/>
    </row>
    <row r="72" spans="1:15" s="267" customFormat="1" ht="11.9" customHeight="1" x14ac:dyDescent="0.25">
      <c r="A72" s="280" t="s">
        <v>664</v>
      </c>
      <c r="B72" s="280"/>
      <c r="C72" s="280"/>
      <c r="D72" s="280"/>
      <c r="E72" s="280"/>
      <c r="F72" s="280"/>
      <c r="G72" s="775"/>
      <c r="H72" s="776"/>
      <c r="I72" s="776"/>
      <c r="J72" s="776"/>
      <c r="K72" s="776"/>
      <c r="L72" s="776"/>
      <c r="M72" s="342"/>
    </row>
    <row r="73" spans="1:15" s="267" customFormat="1" hidden="1" x14ac:dyDescent="0.25">
      <c r="A73" s="31">
        <f>E70</f>
        <v>44267.923611111131</v>
      </c>
      <c r="B73" s="37">
        <f>A73</f>
        <v>44267.923611111131</v>
      </c>
      <c r="C73" s="354">
        <v>0</v>
      </c>
      <c r="D73" s="327" t="str">
        <f t="shared" si="0"/>
        <v/>
      </c>
      <c r="E73" s="37">
        <f t="shared" ref="E73" si="11">B73+C73</f>
        <v>44267.923611111131</v>
      </c>
      <c r="F73" s="491" t="s">
        <v>665</v>
      </c>
      <c r="G73" s="476"/>
      <c r="H73" s="476"/>
      <c r="I73" s="476"/>
      <c r="J73" s="476"/>
      <c r="K73" s="476"/>
      <c r="L73" s="476"/>
      <c r="M73" s="476"/>
      <c r="N73" s="25"/>
      <c r="O73" s="25"/>
    </row>
    <row r="74" spans="1:15" s="712" customFormat="1" x14ac:dyDescent="0.25">
      <c r="A74" s="31">
        <f>A71</f>
        <v>44267.923611111131</v>
      </c>
      <c r="B74" s="37">
        <f>IF(D71 = "",B71+C71,B71+D71)</f>
        <v>44268.027777777796</v>
      </c>
      <c r="C74" s="683">
        <v>0.125</v>
      </c>
      <c r="D74" s="683" t="s">
        <v>99</v>
      </c>
      <c r="E74" s="37">
        <f>B74+C74</f>
        <v>44268.152777777796</v>
      </c>
      <c r="F74" s="569" t="s">
        <v>666</v>
      </c>
      <c r="G74" s="568"/>
      <c r="H74" s="568"/>
      <c r="I74" s="568"/>
      <c r="J74" s="568"/>
      <c r="K74" s="568"/>
      <c r="L74" s="568"/>
      <c r="M74" s="568"/>
      <c r="N74" s="711"/>
      <c r="O74" s="711"/>
    </row>
    <row r="75" spans="1:15" x14ac:dyDescent="0.25">
      <c r="A75" s="485"/>
      <c r="B75" s="33" t="s">
        <v>534</v>
      </c>
      <c r="C75" s="32">
        <f>SUM(C54:C71,C14:C39,C41:C48)</f>
        <v>3.6458333333333344</v>
      </c>
      <c r="D75" s="32">
        <f>SUM(D54:D71,D14:D39,D41:D48,D73:D74)</f>
        <v>0</v>
      </c>
      <c r="G75" s="274" t="s">
        <v>607</v>
      </c>
      <c r="H75" s="287">
        <f t="shared" ref="H75:M75" si="12">SUM(H54:H71,H41:H48,H14:H39)</f>
        <v>510</v>
      </c>
      <c r="I75" s="287">
        <f t="shared" si="12"/>
        <v>1071.6359978316327</v>
      </c>
      <c r="J75" s="287">
        <f t="shared" si="12"/>
        <v>1970.3299999999997</v>
      </c>
      <c r="K75" s="287">
        <f t="shared" si="12"/>
        <v>5153.7401704545455</v>
      </c>
      <c r="L75" s="287">
        <f t="shared" si="12"/>
        <v>8195.7061682861786</v>
      </c>
      <c r="M75" s="527">
        <f t="shared" si="12"/>
        <v>510</v>
      </c>
    </row>
    <row r="76" spans="1:15" x14ac:dyDescent="0.25">
      <c r="B76" s="31" t="s">
        <v>536</v>
      </c>
      <c r="C76" s="112">
        <f>(C75/24)</f>
        <v>0.15190972222222227</v>
      </c>
      <c r="D76" s="112">
        <f>(D75/24)</f>
        <v>0</v>
      </c>
      <c r="G76" s="26"/>
      <c r="H76" s="26"/>
      <c r="I76" s="26"/>
      <c r="J76" s="26"/>
    </row>
    <row r="77" spans="1:15" x14ac:dyDescent="0.25">
      <c r="C77" s="262"/>
      <c r="D77" s="262"/>
      <c r="G77" s="26"/>
      <c r="H77" s="26"/>
      <c r="I77" s="26"/>
      <c r="J77" s="26"/>
    </row>
    <row r="78" spans="1:15" x14ac:dyDescent="0.25">
      <c r="G78" s="26"/>
      <c r="H78" s="26"/>
      <c r="I78" s="26"/>
      <c r="J78" s="26"/>
    </row>
    <row r="79" spans="1:15" x14ac:dyDescent="0.25">
      <c r="G79" s="26"/>
      <c r="H79" s="26"/>
      <c r="I79" s="26"/>
      <c r="J79" s="26"/>
    </row>
    <row r="80" spans="1:15" x14ac:dyDescent="0.25">
      <c r="G80" s="26"/>
      <c r="H80" s="26"/>
      <c r="I80" s="26"/>
      <c r="J80" s="26"/>
    </row>
    <row r="81" spans="7:10" x14ac:dyDescent="0.25">
      <c r="G81" s="26"/>
      <c r="H81" s="26"/>
      <c r="I81" s="26"/>
      <c r="J81" s="26"/>
    </row>
    <row r="82" spans="7:10" x14ac:dyDescent="0.25">
      <c r="G82" s="26"/>
      <c r="H82" s="26"/>
      <c r="I82" s="26"/>
      <c r="J82" s="26"/>
    </row>
    <row r="83" spans="7:10" x14ac:dyDescent="0.25">
      <c r="G83" s="26"/>
      <c r="H83" s="26"/>
      <c r="I83" s="26"/>
      <c r="J83" s="26"/>
    </row>
    <row r="84" spans="7:10" x14ac:dyDescent="0.25">
      <c r="G84" s="26"/>
      <c r="H84" s="26"/>
      <c r="I84" s="26"/>
      <c r="J84" s="26"/>
    </row>
    <row r="85" spans="7:10" x14ac:dyDescent="0.25">
      <c r="G85" s="26"/>
      <c r="H85" s="26"/>
      <c r="I85" s="26"/>
      <c r="J85" s="26"/>
    </row>
    <row r="86" spans="7:10" x14ac:dyDescent="0.25">
      <c r="G86" s="26"/>
      <c r="H86" s="26"/>
      <c r="I86" s="26"/>
      <c r="J86" s="26"/>
    </row>
    <row r="87" spans="7:10" x14ac:dyDescent="0.25">
      <c r="G87" s="26"/>
      <c r="H87" s="26"/>
      <c r="I87" s="26"/>
      <c r="J87" s="26"/>
    </row>
    <row r="88" spans="7:10" x14ac:dyDescent="0.25">
      <c r="G88" s="26"/>
      <c r="H88" s="26"/>
      <c r="I88" s="26"/>
      <c r="J88" s="26"/>
    </row>
    <row r="89" spans="7:10" x14ac:dyDescent="0.25">
      <c r="G89" s="26"/>
      <c r="H89" s="26"/>
      <c r="I89" s="26"/>
      <c r="J89" s="26"/>
    </row>
    <row r="90" spans="7:10" x14ac:dyDescent="0.25">
      <c r="G90" s="26"/>
      <c r="H90" s="26"/>
      <c r="I90" s="26"/>
      <c r="J90" s="26"/>
    </row>
    <row r="91" spans="7:10" x14ac:dyDescent="0.25">
      <c r="G91" s="26"/>
      <c r="H91" s="26"/>
      <c r="I91" s="26"/>
      <c r="J91" s="26"/>
    </row>
    <row r="92" spans="7:10" x14ac:dyDescent="0.25">
      <c r="G92" s="26"/>
      <c r="H92" s="26"/>
      <c r="I92" s="26"/>
      <c r="J92" s="26"/>
    </row>
    <row r="93" spans="7:10" x14ac:dyDescent="0.25">
      <c r="G93" s="26"/>
      <c r="H93" s="26"/>
      <c r="I93" s="26"/>
      <c r="J93" s="26"/>
    </row>
    <row r="94" spans="7:10" x14ac:dyDescent="0.25">
      <c r="G94" s="26"/>
      <c r="H94" s="26"/>
      <c r="I94" s="26"/>
      <c r="J94" s="26"/>
    </row>
    <row r="95" spans="7:10" x14ac:dyDescent="0.25">
      <c r="G95" s="26"/>
      <c r="H95" s="26"/>
      <c r="I95" s="26"/>
      <c r="J95" s="26"/>
    </row>
    <row r="96" spans="7:10" x14ac:dyDescent="0.25">
      <c r="G96" s="26"/>
      <c r="H96" s="26"/>
      <c r="I96" s="26"/>
      <c r="J96" s="26"/>
    </row>
    <row r="97" spans="6:6" x14ac:dyDescent="0.25">
      <c r="F97" s="26"/>
    </row>
    <row r="98" spans="6:6" x14ac:dyDescent="0.25">
      <c r="F98" s="26"/>
    </row>
  </sheetData>
  <mergeCells count="7">
    <mergeCell ref="N64:O64"/>
    <mergeCell ref="A1:B1"/>
    <mergeCell ref="N14:O14"/>
    <mergeCell ref="N27:O27"/>
    <mergeCell ref="N32:O32"/>
    <mergeCell ref="N46:O46"/>
    <mergeCell ref="A51:G51"/>
  </mergeCells>
  <pageMargins left="0.75" right="0.75" top="1" bottom="1" header="0.5" footer="0.5"/>
  <pageSetup orientation="portrait" r:id="rId1"/>
  <headerFooter alignWithMargins="0">
    <oddFooter>&amp;R&amp;"Arial,Regular"&amp;08&amp;K7F7F7FAmgen Proprietary - Confidential   &amp;C&amp;"Calibri"&amp;11&amp;K000000&amp;"Arial,Regular"&amp;08&amp;K7F7F7FAmgen Proprietary - For Internal Use Only_x000D_&amp;1#&amp;"Calibri"&amp;10&amp;K000000 Non-Amgen</oddFooter>
    <evenFooter>&amp;R&amp;"Arial,Regular"&amp;08&amp;K7F7F7FAmgen Proprietary - Confidential   &amp;C&amp;"Arial,Regular"&amp;08&amp;K7F7F7FAmgen Proprietary - For Internal Use Only</evenFooter>
    <firstFooter>&amp;R&amp;"Arial,Regular"&amp;08&amp;K7F7F7FAmgen Proprietary - Confidential   &amp;C&amp;"Arial,Regular"&amp;08&amp;K7F7F7FAmgen Proprietary - For Internal Use Only</firstFooter>
  </headerFooter>
  <legacy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3C56B4-4B90-42E6-AAB4-60905A8DEDE8}">
  <sheetPr codeName="Sheet48">
    <pageSetUpPr autoPageBreaks="0"/>
  </sheetPr>
  <dimension ref="A1:O59"/>
  <sheetViews>
    <sheetView zoomScale="120" zoomScaleNormal="120" workbookViewId="0">
      <selection activeCell="C23" sqref="C23"/>
    </sheetView>
  </sheetViews>
  <sheetFormatPr defaultColWidth="23.453125" defaultRowHeight="11.5" x14ac:dyDescent="0.25"/>
  <cols>
    <col min="1" max="1" width="24.54296875" style="25" customWidth="1"/>
    <col min="2" max="2" width="28.453125" style="25" customWidth="1"/>
    <col min="3" max="3" width="25" style="25" customWidth="1"/>
    <col min="4" max="4" width="17.54296875" style="25" customWidth="1"/>
    <col min="5" max="5" width="23.453125" style="25" customWidth="1"/>
    <col min="6" max="6" width="67.54296875" style="25" bestFit="1" customWidth="1"/>
    <col min="7" max="7" width="41.453125" style="25" bestFit="1" customWidth="1"/>
    <col min="8" max="8" width="16.54296875" style="25" customWidth="1"/>
    <col min="9" max="9" width="14.453125" style="25" customWidth="1"/>
    <col min="10" max="10" width="11.54296875" style="25" customWidth="1"/>
    <col min="11" max="11" width="12.453125" style="25" customWidth="1"/>
    <col min="12" max="12" width="13.54296875" style="25" customWidth="1"/>
    <col min="13" max="13" width="13.453125" style="25" customWidth="1"/>
    <col min="14" max="16384" width="23.453125" style="25"/>
  </cols>
  <sheetData>
    <row r="1" spans="1:15" x14ac:dyDescent="0.25">
      <c r="A1" s="1100" t="s">
        <v>479</v>
      </c>
      <c r="B1" s="1100"/>
    </row>
    <row r="2" spans="1:15" x14ac:dyDescent="0.25">
      <c r="A2" s="781" t="s">
        <v>480</v>
      </c>
      <c r="B2" s="31">
        <f>A11</f>
        <v>44270.895833333336</v>
      </c>
    </row>
    <row r="3" spans="1:15" x14ac:dyDescent="0.25">
      <c r="A3" s="781" t="s">
        <v>482</v>
      </c>
      <c r="B3" s="541">
        <f>A11</f>
        <v>44270.895833333336</v>
      </c>
    </row>
    <row r="5" spans="1:15" x14ac:dyDescent="0.25">
      <c r="A5" s="1100" t="s">
        <v>484</v>
      </c>
      <c r="B5" s="1100"/>
      <c r="C5" s="1100"/>
      <c r="D5" s="1100"/>
    </row>
    <row r="6" spans="1:15" x14ac:dyDescent="0.25">
      <c r="A6" s="781" t="s">
        <v>485</v>
      </c>
      <c r="B6" s="781" t="s">
        <v>486</v>
      </c>
      <c r="C6" s="781" t="s">
        <v>487</v>
      </c>
      <c r="D6" s="781" t="s">
        <v>488</v>
      </c>
    </row>
    <row r="7" spans="1:15" x14ac:dyDescent="0.25">
      <c r="A7" s="324" t="str">
        <f>F13</f>
        <v>IPC: Reaction Conversion</v>
      </c>
      <c r="B7" s="325">
        <f>INDEX($E$11:$E$66,MATCH(A7,$F$11:$F$66,0))</f>
        <v>44271.510416666664</v>
      </c>
      <c r="C7" s="272">
        <f>INDEX($B$11:$B$66,MATCH(A7,$F$11:$F$66,0))</f>
        <v>44271.375</v>
      </c>
      <c r="D7" s="405"/>
    </row>
    <row r="8" spans="1:15" x14ac:dyDescent="0.25">
      <c r="A8" s="324" t="str">
        <f>F34</f>
        <v>IPC: GC, LC, KF</v>
      </c>
      <c r="B8" s="325">
        <f>A34</f>
        <v>44279.000000000007</v>
      </c>
      <c r="C8" s="272">
        <f>INDEX($B$11:$B$66,MATCH(A8,$F$11:$F$66,0))</f>
        <v>44279.000000000007</v>
      </c>
      <c r="D8" s="405"/>
      <c r="E8" s="399"/>
    </row>
    <row r="10" spans="1:15" ht="23" x14ac:dyDescent="0.25">
      <c r="A10" s="749" t="s">
        <v>492</v>
      </c>
      <c r="B10" s="749" t="s">
        <v>493</v>
      </c>
      <c r="C10" s="749" t="s">
        <v>494</v>
      </c>
      <c r="D10" s="86" t="s">
        <v>495</v>
      </c>
      <c r="E10" s="749" t="s">
        <v>540</v>
      </c>
      <c r="F10" s="749" t="s">
        <v>541</v>
      </c>
      <c r="G10" s="749" t="s">
        <v>498</v>
      </c>
      <c r="H10" s="184" t="s">
        <v>92</v>
      </c>
      <c r="I10" s="184" t="s">
        <v>248</v>
      </c>
      <c r="J10" s="184" t="s">
        <v>267</v>
      </c>
      <c r="K10" s="184" t="s">
        <v>677</v>
      </c>
      <c r="L10" s="184" t="s">
        <v>678</v>
      </c>
      <c r="M10" s="184" t="s">
        <v>501</v>
      </c>
    </row>
    <row r="11" spans="1:15" ht="12" customHeight="1" x14ac:dyDescent="0.25">
      <c r="A11" s="31">
        <v>44270.895833333336</v>
      </c>
      <c r="B11" s="38">
        <f>A11</f>
        <v>44270.895833333336</v>
      </c>
      <c r="C11" s="170">
        <v>0.22916666666666666</v>
      </c>
      <c r="D11" s="327" t="str">
        <f>IF(_xlfn.ISFORMULA(E11)=TRUE,"",E11-B11)</f>
        <v/>
      </c>
      <c r="E11" s="37">
        <f>B11+C11</f>
        <v>44271.125</v>
      </c>
      <c r="F11" s="264" t="s">
        <v>679</v>
      </c>
      <c r="G11" s="78"/>
      <c r="H11" s="352"/>
      <c r="I11" s="352"/>
      <c r="J11" s="352"/>
      <c r="K11" s="352"/>
      <c r="L11" s="352"/>
      <c r="M11" s="352"/>
      <c r="N11" s="1066" t="s">
        <v>609</v>
      </c>
      <c r="O11" s="1067"/>
    </row>
    <row r="12" spans="1:15" ht="12" customHeight="1" x14ac:dyDescent="0.25">
      <c r="A12" s="31">
        <f t="shared" ref="A12:A13" si="0">IF(D11 = "",A11+C11,A11+D11)</f>
        <v>44271.125</v>
      </c>
      <c r="B12" s="37">
        <f t="shared" ref="B12:B21" si="1">IF(D11 = "",B11+C11,B11+D11)</f>
        <v>44271.125</v>
      </c>
      <c r="C12" s="170">
        <v>0.25</v>
      </c>
      <c r="D12" s="327" t="str">
        <f t="shared" ref="D12:D35" si="2">IF(_xlfn.ISFORMULA(E12)=TRUE,"",E12-B12)</f>
        <v/>
      </c>
      <c r="E12" s="37">
        <f t="shared" ref="E12:E14" si="3">B12+C12</f>
        <v>44271.375</v>
      </c>
      <c r="F12" s="264" t="s">
        <v>680</v>
      </c>
      <c r="G12" s="35"/>
      <c r="H12" s="778"/>
      <c r="I12" s="778"/>
      <c r="J12" s="778"/>
      <c r="K12" s="778"/>
      <c r="L12" s="778"/>
      <c r="M12" s="778"/>
      <c r="N12" s="268" t="s">
        <v>681</v>
      </c>
      <c r="O12" s="343">
        <f>SUM(L11:L14)</f>
        <v>606.29999999999995</v>
      </c>
    </row>
    <row r="13" spans="1:15" ht="12" customHeight="1" x14ac:dyDescent="0.25">
      <c r="A13" s="31">
        <f t="shared" si="0"/>
        <v>44271.375</v>
      </c>
      <c r="B13" s="37">
        <f t="shared" si="1"/>
        <v>44271.375</v>
      </c>
      <c r="C13" s="170">
        <v>0.13541666666666666</v>
      </c>
      <c r="D13" s="327" t="str">
        <f t="shared" si="2"/>
        <v/>
      </c>
      <c r="E13" s="37">
        <f t="shared" si="3"/>
        <v>44271.510416666664</v>
      </c>
      <c r="F13" s="320" t="s">
        <v>567</v>
      </c>
      <c r="G13" s="39"/>
      <c r="H13" s="778"/>
      <c r="I13" s="778"/>
      <c r="J13" s="778"/>
      <c r="K13" s="778"/>
      <c r="L13" s="778"/>
      <c r="M13" s="778"/>
      <c r="N13" s="268" t="s">
        <v>682</v>
      </c>
      <c r="O13" s="343">
        <f>SUM(M11:M14)</f>
        <v>0</v>
      </c>
    </row>
    <row r="14" spans="1:15" ht="12" customHeight="1" x14ac:dyDescent="0.25">
      <c r="A14" s="31">
        <f>IF(D13 = "",A13+C13,A13+D13)</f>
        <v>44271.510416666664</v>
      </c>
      <c r="B14" s="37">
        <f t="shared" si="1"/>
        <v>44271.510416666664</v>
      </c>
      <c r="C14" s="170">
        <v>0.39583333333333331</v>
      </c>
      <c r="D14" s="327" t="str">
        <f t="shared" si="2"/>
        <v/>
      </c>
      <c r="E14" s="37">
        <f t="shared" si="3"/>
        <v>44271.90625</v>
      </c>
      <c r="F14" s="321" t="s">
        <v>683</v>
      </c>
      <c r="G14" s="35"/>
      <c r="H14" s="778">
        <v>511.4</v>
      </c>
      <c r="I14" s="778"/>
      <c r="J14" s="778">
        <v>94.9</v>
      </c>
      <c r="K14" s="778"/>
      <c r="L14" s="778">
        <f>H14+J14</f>
        <v>606.29999999999995</v>
      </c>
      <c r="M14" s="778"/>
    </row>
    <row r="15" spans="1:15" ht="12" customHeight="1" x14ac:dyDescent="0.25">
      <c r="A15" s="1097" t="s">
        <v>2554</v>
      </c>
      <c r="B15" s="1098"/>
      <c r="C15" s="1098"/>
      <c r="D15" s="1098"/>
      <c r="E15" s="1098"/>
      <c r="F15" s="1098"/>
      <c r="G15" s="1098"/>
      <c r="H15" s="1098"/>
      <c r="I15" s="1098"/>
      <c r="J15" s="1098"/>
      <c r="K15" s="1098"/>
      <c r="L15" s="1098"/>
      <c r="M15" s="1099"/>
    </row>
    <row r="16" spans="1:15" ht="12" customHeight="1" x14ac:dyDescent="0.25">
      <c r="A16" s="706">
        <f>IF(D14 = "",A14+C14,A14+D14)</f>
        <v>44271.90625</v>
      </c>
      <c r="B16" s="685">
        <f>A14+"1:00"</f>
        <v>44271.552083333328</v>
      </c>
      <c r="C16" s="707">
        <v>2.0833333333333332E-2</v>
      </c>
      <c r="D16" s="327" t="str">
        <f t="shared" si="2"/>
        <v/>
      </c>
      <c r="E16" s="685">
        <f>B16+C16</f>
        <v>44271.572916666664</v>
      </c>
      <c r="F16" s="708" t="s">
        <v>684</v>
      </c>
      <c r="G16" s="1101" t="s">
        <v>685</v>
      </c>
      <c r="H16" s="709"/>
      <c r="I16" s="709">
        <v>50</v>
      </c>
      <c r="J16" s="709"/>
      <c r="K16" s="709"/>
      <c r="L16" s="709"/>
      <c r="M16" s="709">
        <f>I16</f>
        <v>50</v>
      </c>
      <c r="N16" s="1066" t="s">
        <v>624</v>
      </c>
      <c r="O16" s="1067"/>
    </row>
    <row r="17" spans="1:15" ht="12" customHeight="1" x14ac:dyDescent="0.25">
      <c r="A17" s="706">
        <f t="shared" ref="A17:A21" si="4">IF(D16 = "",A16+C16,A16+D16)</f>
        <v>44271.927083333336</v>
      </c>
      <c r="B17" s="685">
        <f t="shared" si="1"/>
        <v>44271.572916666664</v>
      </c>
      <c r="C17" s="707">
        <v>1.0416666666666666E-2</v>
      </c>
      <c r="D17" s="327" t="str">
        <f t="shared" si="2"/>
        <v/>
      </c>
      <c r="E17" s="685">
        <f t="shared" ref="E17:E35" si="5">B17+C17</f>
        <v>44271.583333333328</v>
      </c>
      <c r="F17" s="708" t="s">
        <v>2555</v>
      </c>
      <c r="G17" s="1102"/>
      <c r="H17" s="709">
        <v>150</v>
      </c>
      <c r="I17" s="709"/>
      <c r="J17" s="709"/>
      <c r="K17" s="709"/>
      <c r="L17" s="709">
        <f>H17</f>
        <v>150</v>
      </c>
      <c r="M17" s="709"/>
      <c r="N17" s="268" t="s">
        <v>681</v>
      </c>
      <c r="O17" s="343">
        <f>SUM(L16:L23)</f>
        <v>250</v>
      </c>
    </row>
    <row r="18" spans="1:15" ht="12" customHeight="1" x14ac:dyDescent="0.25">
      <c r="A18" s="706">
        <f t="shared" si="4"/>
        <v>44271.9375</v>
      </c>
      <c r="B18" s="685">
        <f t="shared" si="1"/>
        <v>44271.583333333328</v>
      </c>
      <c r="C18" s="707">
        <v>4.1666666666666664E-2</v>
      </c>
      <c r="D18" s="327" t="str">
        <f t="shared" si="2"/>
        <v/>
      </c>
      <c r="E18" s="685">
        <f t="shared" si="5"/>
        <v>44271.624999999993</v>
      </c>
      <c r="F18" s="708" t="s">
        <v>2556</v>
      </c>
      <c r="G18" s="1102"/>
      <c r="H18" s="709">
        <v>100</v>
      </c>
      <c r="I18" s="709"/>
      <c r="J18" s="709"/>
      <c r="K18" s="709"/>
      <c r="L18" s="709">
        <v>100</v>
      </c>
      <c r="M18" s="709"/>
      <c r="N18" s="268" t="s">
        <v>682</v>
      </c>
      <c r="O18" s="343">
        <f>SUM(M16:M23)</f>
        <v>400</v>
      </c>
    </row>
    <row r="19" spans="1:15" ht="12" customHeight="1" x14ac:dyDescent="0.25">
      <c r="A19" s="706">
        <f t="shared" si="4"/>
        <v>44271.979166666664</v>
      </c>
      <c r="B19" s="685">
        <f t="shared" si="1"/>
        <v>44271.624999999993</v>
      </c>
      <c r="C19" s="707">
        <v>1.0416666666666666E-2</v>
      </c>
      <c r="D19" s="327" t="str">
        <f t="shared" si="2"/>
        <v/>
      </c>
      <c r="E19" s="685">
        <f t="shared" si="5"/>
        <v>44271.635416666657</v>
      </c>
      <c r="F19" s="708" t="s">
        <v>2557</v>
      </c>
      <c r="G19" s="1102"/>
      <c r="H19" s="709"/>
      <c r="I19" s="709"/>
      <c r="J19" s="709"/>
      <c r="K19" s="709">
        <v>150</v>
      </c>
      <c r="L19" s="709"/>
      <c r="M19" s="709">
        <v>150</v>
      </c>
    </row>
    <row r="20" spans="1:15" ht="12" customHeight="1" x14ac:dyDescent="0.25">
      <c r="A20" s="706">
        <f t="shared" si="4"/>
        <v>44271.989583333328</v>
      </c>
      <c r="B20" s="685">
        <f t="shared" si="1"/>
        <v>44271.635416666657</v>
      </c>
      <c r="C20" s="707">
        <v>4.1666666666666664E-2</v>
      </c>
      <c r="D20" s="327"/>
      <c r="E20" s="685">
        <f t="shared" si="5"/>
        <v>44271.677083333321</v>
      </c>
      <c r="F20" s="708" t="s">
        <v>688</v>
      </c>
      <c r="G20" s="1102"/>
      <c r="H20" s="709"/>
      <c r="I20" s="709"/>
      <c r="J20" s="709"/>
      <c r="K20" s="709">
        <v>100</v>
      </c>
      <c r="L20" s="709"/>
      <c r="M20" s="709">
        <f>K20</f>
        <v>100</v>
      </c>
    </row>
    <row r="21" spans="1:15" ht="12" customHeight="1" x14ac:dyDescent="0.25">
      <c r="A21" s="706">
        <f t="shared" si="4"/>
        <v>44272.031249999993</v>
      </c>
      <c r="B21" s="685">
        <f t="shared" si="1"/>
        <v>44271.677083333321</v>
      </c>
      <c r="C21" s="707">
        <v>4.1666666666666664E-2</v>
      </c>
      <c r="D21" s="327"/>
      <c r="E21" s="685">
        <f t="shared" si="5"/>
        <v>44271.718749999985</v>
      </c>
      <c r="F21" s="708" t="s">
        <v>689</v>
      </c>
      <c r="G21" s="1102"/>
      <c r="H21" s="709"/>
      <c r="I21" s="709"/>
      <c r="J21" s="709"/>
      <c r="K21" s="709">
        <v>100</v>
      </c>
      <c r="L21" s="709"/>
      <c r="M21" s="709">
        <v>100</v>
      </c>
    </row>
    <row r="22" spans="1:15" ht="12" customHeight="1" x14ac:dyDescent="0.25">
      <c r="A22" s="31">
        <f>IF(D14 = "",A14+C14,A14+D14)</f>
        <v>44271.90625</v>
      </c>
      <c r="B22" s="37">
        <f>IF(D14 = "",B14+C14,B14+D14)</f>
        <v>44271.90625</v>
      </c>
      <c r="C22" s="172">
        <v>3.125E-2</v>
      </c>
      <c r="D22" s="327" t="str">
        <f t="shared" si="2"/>
        <v/>
      </c>
      <c r="E22" s="37">
        <f t="shared" si="5"/>
        <v>44271.9375</v>
      </c>
      <c r="F22" s="264" t="s">
        <v>690</v>
      </c>
      <c r="G22" s="35"/>
      <c r="H22" s="393"/>
      <c r="I22" s="393"/>
      <c r="J22" s="393"/>
      <c r="K22" s="393"/>
      <c r="L22" s="393"/>
      <c r="M22" s="393"/>
    </row>
    <row r="23" spans="1:15" ht="12" customHeight="1" x14ac:dyDescent="0.25">
      <c r="A23" s="31">
        <f t="shared" ref="A23:A27" si="6">IF(D22 = "",A22+C22,A22+D22)</f>
        <v>44271.9375</v>
      </c>
      <c r="B23" s="37">
        <f t="shared" ref="B23:B35" si="7">IF(D22 = "",B22+C22,B22+D22)</f>
        <v>44271.9375</v>
      </c>
      <c r="C23" s="172">
        <v>0.89583333333333337</v>
      </c>
      <c r="D23" s="327" t="str">
        <f t="shared" si="2"/>
        <v/>
      </c>
      <c r="E23" s="37">
        <f t="shared" si="5"/>
        <v>44272.833333333336</v>
      </c>
      <c r="F23" s="264" t="s">
        <v>691</v>
      </c>
      <c r="G23" s="39"/>
      <c r="H23" s="778"/>
      <c r="I23" s="778"/>
      <c r="J23" s="778"/>
      <c r="K23" s="1074">
        <v>300</v>
      </c>
      <c r="L23" s="778"/>
      <c r="M23" s="778"/>
    </row>
    <row r="24" spans="1:15" ht="12" customHeight="1" x14ac:dyDescent="0.25">
      <c r="A24" s="31">
        <f t="shared" si="6"/>
        <v>44272.833333333336</v>
      </c>
      <c r="B24" s="37">
        <f t="shared" si="7"/>
        <v>44272.833333333336</v>
      </c>
      <c r="C24" s="170">
        <v>0.41666666666666669</v>
      </c>
      <c r="D24" s="327" t="str">
        <f t="shared" si="2"/>
        <v/>
      </c>
      <c r="E24" s="37">
        <f t="shared" si="5"/>
        <v>44273.25</v>
      </c>
      <c r="F24" s="264" t="s">
        <v>548</v>
      </c>
      <c r="G24" s="35"/>
      <c r="H24" s="778"/>
      <c r="I24" s="778"/>
      <c r="J24" s="778"/>
      <c r="K24" s="1074"/>
      <c r="L24" s="778"/>
      <c r="M24" s="778"/>
      <c r="N24" s="1066" t="s">
        <v>630</v>
      </c>
      <c r="O24" s="1067"/>
    </row>
    <row r="25" spans="1:15" ht="12" customHeight="1" x14ac:dyDescent="0.25">
      <c r="A25" s="31">
        <f t="shared" si="6"/>
        <v>44273.25</v>
      </c>
      <c r="B25" s="37">
        <f t="shared" si="7"/>
        <v>44273.25</v>
      </c>
      <c r="C25" s="170">
        <v>0.1875</v>
      </c>
      <c r="D25" s="327" t="str">
        <f t="shared" si="2"/>
        <v/>
      </c>
      <c r="E25" s="37">
        <f t="shared" si="5"/>
        <v>44273.4375</v>
      </c>
      <c r="F25" s="264" t="s">
        <v>549</v>
      </c>
      <c r="G25" s="35"/>
      <c r="H25" s="778"/>
      <c r="I25" s="1075">
        <v>467.03699999999998</v>
      </c>
      <c r="J25" s="778"/>
      <c r="K25" s="1074"/>
      <c r="L25" s="778"/>
      <c r="M25" s="778"/>
      <c r="N25" s="268" t="s">
        <v>682</v>
      </c>
      <c r="O25" s="343">
        <f>SUM(M24:M26)</f>
        <v>767.03700000000003</v>
      </c>
    </row>
    <row r="26" spans="1:15" ht="12" customHeight="1" x14ac:dyDescent="0.25">
      <c r="A26" s="31">
        <f t="shared" si="6"/>
        <v>44273.4375</v>
      </c>
      <c r="B26" s="37">
        <f t="shared" si="7"/>
        <v>44273.4375</v>
      </c>
      <c r="C26" s="170">
        <v>0.85416666666666663</v>
      </c>
      <c r="D26" s="327">
        <v>1.0208333333333333</v>
      </c>
      <c r="E26" s="37">
        <f t="shared" si="5"/>
        <v>44274.291666666664</v>
      </c>
      <c r="F26" s="264" t="s">
        <v>692</v>
      </c>
      <c r="G26" s="35"/>
      <c r="H26" s="778"/>
      <c r="I26" s="1076"/>
      <c r="J26" s="778"/>
      <c r="K26" s="1074"/>
      <c r="L26" s="778"/>
      <c r="M26" s="778">
        <f>I25+K23</f>
        <v>767.03700000000003</v>
      </c>
      <c r="N26" s="268" t="s">
        <v>682</v>
      </c>
      <c r="O26" s="343">
        <f>SUM(M24:M26)</f>
        <v>767.03700000000003</v>
      </c>
    </row>
    <row r="27" spans="1:15" ht="12" customHeight="1" x14ac:dyDescent="0.25">
      <c r="A27" s="410">
        <f t="shared" si="6"/>
        <v>44274.458333333336</v>
      </c>
      <c r="B27" s="329">
        <f>IF(D26 = "",B26+C26,B26+D26)</f>
        <v>44274.458333333336</v>
      </c>
      <c r="C27" s="173">
        <v>0.89583333333333337</v>
      </c>
      <c r="D27" s="468" t="str">
        <f t="shared" si="2"/>
        <v/>
      </c>
      <c r="E27" s="329">
        <f t="shared" si="5"/>
        <v>44275.354166666672</v>
      </c>
      <c r="F27" s="353" t="s">
        <v>551</v>
      </c>
      <c r="G27" s="178"/>
      <c r="H27" s="779"/>
      <c r="I27" s="394"/>
      <c r="J27" s="779"/>
      <c r="K27" s="779"/>
      <c r="L27" s="779"/>
      <c r="M27" s="779"/>
    </row>
    <row r="28" spans="1:15" ht="12" hidden="1" customHeight="1" x14ac:dyDescent="0.25">
      <c r="A28" s="322">
        <f>A27</f>
        <v>44274.458333333336</v>
      </c>
      <c r="B28" s="323">
        <f>B27</f>
        <v>44274.458333333336</v>
      </c>
      <c r="C28" s="400">
        <v>1.0416666666666666E-2</v>
      </c>
      <c r="D28" s="400" t="str">
        <f t="shared" si="2"/>
        <v/>
      </c>
      <c r="E28" s="323">
        <f t="shared" si="5"/>
        <v>44274.46875</v>
      </c>
      <c r="F28" s="531" t="s">
        <v>2558</v>
      </c>
      <c r="G28" s="533"/>
      <c r="H28" s="392"/>
      <c r="I28" s="392"/>
      <c r="J28" s="392"/>
      <c r="K28" s="392"/>
      <c r="L28" s="392"/>
      <c r="M28" s="392"/>
    </row>
    <row r="29" spans="1:15" ht="12" hidden="1" customHeight="1" x14ac:dyDescent="0.25">
      <c r="A29" s="322">
        <f>A28+C28</f>
        <v>44274.46875</v>
      </c>
      <c r="B29" s="323">
        <f>B28+C28</f>
        <v>44274.46875</v>
      </c>
      <c r="C29" s="400">
        <v>2.0833333333333332E-2</v>
      </c>
      <c r="D29" s="400" t="str">
        <f t="shared" si="2"/>
        <v/>
      </c>
      <c r="E29" s="323">
        <f t="shared" si="5"/>
        <v>44274.489583333336</v>
      </c>
      <c r="F29" s="531" t="s">
        <v>2559</v>
      </c>
      <c r="G29" s="533"/>
      <c r="H29" s="392"/>
      <c r="I29" s="392"/>
      <c r="J29" s="392"/>
      <c r="K29" s="392"/>
      <c r="L29" s="392"/>
      <c r="M29" s="392"/>
    </row>
    <row r="30" spans="1:15" ht="12" hidden="1" customHeight="1" x14ac:dyDescent="0.25">
      <c r="A30" s="322">
        <f t="shared" ref="A30:A31" si="8">A29+C29</f>
        <v>44274.489583333336</v>
      </c>
      <c r="B30" s="323">
        <f>B29+C29</f>
        <v>44274.489583333336</v>
      </c>
      <c r="C30" s="400">
        <v>0.1875</v>
      </c>
      <c r="D30" s="400"/>
      <c r="E30" s="323">
        <f t="shared" si="5"/>
        <v>44274.677083333336</v>
      </c>
      <c r="F30" s="531" t="s">
        <v>2560</v>
      </c>
      <c r="G30" s="533"/>
      <c r="H30" s="392"/>
      <c r="I30" s="392"/>
      <c r="J30" s="392"/>
      <c r="K30" s="392"/>
      <c r="L30" s="392"/>
      <c r="M30" s="392"/>
    </row>
    <row r="31" spans="1:15" ht="12" hidden="1" customHeight="1" x14ac:dyDescent="0.25">
      <c r="A31" s="322">
        <f t="shared" si="8"/>
        <v>44274.677083333336</v>
      </c>
      <c r="B31" s="323">
        <f>B30+C30</f>
        <v>44274.677083333336</v>
      </c>
      <c r="C31" s="400">
        <v>6.25E-2</v>
      </c>
      <c r="D31" s="400"/>
      <c r="E31" s="323">
        <f t="shared" si="5"/>
        <v>44274.739583333336</v>
      </c>
      <c r="F31" s="531" t="s">
        <v>520</v>
      </c>
      <c r="G31" s="533"/>
      <c r="H31" s="392"/>
      <c r="I31" s="392"/>
      <c r="J31" s="392"/>
      <c r="K31" s="392"/>
      <c r="L31" s="392"/>
      <c r="M31" s="392"/>
    </row>
    <row r="32" spans="1:15" ht="12" customHeight="1" x14ac:dyDescent="0.25">
      <c r="A32" s="534">
        <f t="shared" ref="A32" si="9">A27+C27</f>
        <v>44275.354166666672</v>
      </c>
      <c r="B32" s="535">
        <f>IF(D27 = "",B27+C27,B27+D27)</f>
        <v>44275.354166666672</v>
      </c>
      <c r="C32" s="536">
        <v>2</v>
      </c>
      <c r="D32" s="537"/>
      <c r="E32" s="535">
        <f t="shared" si="5"/>
        <v>44277.354166666672</v>
      </c>
      <c r="F32" s="538" t="s">
        <v>693</v>
      </c>
      <c r="G32" s="539"/>
      <c r="H32" s="540"/>
      <c r="I32" s="540"/>
      <c r="J32" s="540"/>
      <c r="K32" s="540"/>
      <c r="L32" s="540"/>
      <c r="M32" s="540"/>
    </row>
    <row r="33" spans="1:13" ht="12" customHeight="1" x14ac:dyDescent="0.25">
      <c r="A33" s="330">
        <f t="shared" ref="A33:A35" si="10">IF(D32 = "",A32+C32,A32+D32)</f>
        <v>44277.354166666672</v>
      </c>
      <c r="B33" s="331">
        <f t="shared" si="7"/>
        <v>44277.354166666672</v>
      </c>
      <c r="C33" s="354">
        <v>1.6458333333333333</v>
      </c>
      <c r="D33" s="470" t="str">
        <f t="shared" si="2"/>
        <v/>
      </c>
      <c r="E33" s="331">
        <f t="shared" si="5"/>
        <v>44279.000000000007</v>
      </c>
      <c r="F33" s="355" t="s">
        <v>551</v>
      </c>
      <c r="G33" s="356"/>
      <c r="H33" s="780"/>
      <c r="I33" s="780"/>
      <c r="J33" s="780"/>
      <c r="K33" s="780"/>
      <c r="L33" s="780"/>
      <c r="M33" s="780"/>
    </row>
    <row r="34" spans="1:13" ht="12" customHeight="1" x14ac:dyDescent="0.25">
      <c r="A34" s="31">
        <f t="shared" si="10"/>
        <v>44279.000000000007</v>
      </c>
      <c r="B34" s="37">
        <f t="shared" si="7"/>
        <v>44279.000000000007</v>
      </c>
      <c r="C34" s="170">
        <v>1.5</v>
      </c>
      <c r="D34" s="327" t="str">
        <f t="shared" si="2"/>
        <v/>
      </c>
      <c r="E34" s="37">
        <f t="shared" si="5"/>
        <v>44280.500000000007</v>
      </c>
      <c r="F34" s="320" t="s">
        <v>694</v>
      </c>
      <c r="G34" s="35"/>
      <c r="H34" s="778"/>
      <c r="I34" s="778"/>
      <c r="J34" s="778"/>
      <c r="K34" s="778"/>
      <c r="L34" s="778"/>
      <c r="M34" s="778"/>
    </row>
    <row r="35" spans="1:13" ht="12" customHeight="1" x14ac:dyDescent="0.25">
      <c r="A35" s="31">
        <f t="shared" si="10"/>
        <v>44280.500000000007</v>
      </c>
      <c r="B35" s="37">
        <f t="shared" si="7"/>
        <v>44280.500000000007</v>
      </c>
      <c r="C35" s="170">
        <v>0.125</v>
      </c>
      <c r="D35" s="327" t="str">
        <f t="shared" si="2"/>
        <v/>
      </c>
      <c r="E35" s="37">
        <f t="shared" si="5"/>
        <v>44280.625000000007</v>
      </c>
      <c r="F35" s="264" t="s">
        <v>554</v>
      </c>
      <c r="G35" s="35"/>
      <c r="H35" s="397"/>
      <c r="I35" s="397"/>
      <c r="J35" s="397"/>
      <c r="K35" s="397"/>
      <c r="L35" s="397"/>
      <c r="M35" s="397"/>
    </row>
    <row r="36" spans="1:13" ht="21" x14ac:dyDescent="0.55000000000000004">
      <c r="A36" s="34"/>
      <c r="B36" s="33" t="s">
        <v>534</v>
      </c>
      <c r="C36" s="32">
        <f>SUM(C11:C14,C22:C27,C33:C35)</f>
        <v>7.5624999999999991</v>
      </c>
      <c r="D36" s="32">
        <f>SUM(D11:D14,D22:D27,D33:D35)</f>
        <v>1.0208333333333333</v>
      </c>
      <c r="G36" s="243" t="s">
        <v>535</v>
      </c>
      <c r="H36" s="350">
        <f>SUM(H11:H26)</f>
        <v>761.4</v>
      </c>
      <c r="I36" s="350">
        <f>SUM(I11:I26)</f>
        <v>517.03700000000003</v>
      </c>
      <c r="J36" s="350">
        <f>SUM(J11:J26)</f>
        <v>94.9</v>
      </c>
      <c r="K36" s="351">
        <f>SUM(K11:K35)</f>
        <v>650</v>
      </c>
      <c r="L36" s="351">
        <f>SUM(L11:L35)</f>
        <v>856.3</v>
      </c>
      <c r="M36" s="351">
        <f>SUM(M11:M35)</f>
        <v>1167.037</v>
      </c>
    </row>
    <row r="37" spans="1:13" x14ac:dyDescent="0.25">
      <c r="B37" s="31" t="s">
        <v>536</v>
      </c>
      <c r="C37" s="30">
        <f>(C36*60)/1440</f>
        <v>0.31510416666666663</v>
      </c>
      <c r="D37" s="30">
        <f>(D36*60)/1440</f>
        <v>4.2534722222222217E-2</v>
      </c>
      <c r="G37" s="26"/>
      <c r="H37" s="26"/>
      <c r="I37" s="26"/>
      <c r="J37" s="26"/>
      <c r="K37" s="26"/>
      <c r="L37" s="26"/>
      <c r="M37" s="26"/>
    </row>
    <row r="38" spans="1:13" x14ac:dyDescent="0.25">
      <c r="F38" s="26"/>
      <c r="G38" s="26"/>
      <c r="H38" s="26"/>
      <c r="I38" s="26"/>
      <c r="J38" s="26"/>
      <c r="K38" s="26"/>
      <c r="L38" s="26"/>
    </row>
    <row r="39" spans="1:13" x14ac:dyDescent="0.25">
      <c r="F39" s="26"/>
      <c r="G39" s="26"/>
      <c r="H39" s="26"/>
      <c r="I39" s="26"/>
      <c r="J39" s="26"/>
      <c r="K39" s="26"/>
      <c r="L39" s="26"/>
    </row>
    <row r="40" spans="1:13" ht="11.9" hidden="1" customHeight="1" x14ac:dyDescent="0.25">
      <c r="A40" s="1072" t="s">
        <v>555</v>
      </c>
      <c r="B40" s="1073"/>
      <c r="F40" s="26"/>
      <c r="G40" s="26"/>
      <c r="H40" s="26"/>
      <c r="I40" s="26"/>
      <c r="J40" s="26"/>
      <c r="K40" s="26"/>
      <c r="L40" s="26"/>
    </row>
    <row r="41" spans="1:13" hidden="1" x14ac:dyDescent="0.25">
      <c r="A41" s="781" t="s">
        <v>556</v>
      </c>
      <c r="B41" s="29" t="e">
        <f>MAX(A24,#REF!)</f>
        <v>#REF!</v>
      </c>
      <c r="F41" s="26"/>
      <c r="G41" s="26"/>
      <c r="H41" s="26"/>
      <c r="I41" s="26"/>
      <c r="J41" s="26"/>
      <c r="K41" s="26"/>
      <c r="L41" s="26"/>
    </row>
    <row r="42" spans="1:13" hidden="1" x14ac:dyDescent="0.25">
      <c r="A42" s="781" t="s">
        <v>557</v>
      </c>
      <c r="B42" s="28" t="e">
        <f>MAX((#REF!+#REF!),(B24+C24))</f>
        <v>#REF!</v>
      </c>
      <c r="F42" s="26"/>
      <c r="G42" s="26"/>
      <c r="H42" s="26"/>
      <c r="I42" s="26"/>
      <c r="J42" s="26"/>
      <c r="K42" s="26"/>
      <c r="L42" s="26"/>
    </row>
    <row r="43" spans="1:13" x14ac:dyDescent="0.25">
      <c r="F43" s="26"/>
      <c r="G43" s="26"/>
      <c r="H43" s="26"/>
      <c r="I43" s="26"/>
      <c r="J43" s="26"/>
      <c r="K43" s="26"/>
      <c r="L43" s="26"/>
    </row>
    <row r="44" spans="1:13" x14ac:dyDescent="0.25">
      <c r="F44" s="26"/>
      <c r="G44" s="26"/>
      <c r="H44" s="26"/>
      <c r="I44" s="26"/>
      <c r="J44" s="26"/>
      <c r="K44" s="26"/>
      <c r="L44" s="26"/>
    </row>
    <row r="45" spans="1:13" x14ac:dyDescent="0.25">
      <c r="F45" s="26"/>
      <c r="G45" s="26"/>
      <c r="H45" s="26"/>
      <c r="I45" s="26"/>
      <c r="J45" s="26"/>
      <c r="K45" s="26"/>
      <c r="L45" s="26"/>
    </row>
    <row r="46" spans="1:13" x14ac:dyDescent="0.25">
      <c r="F46" s="26"/>
      <c r="G46" s="26"/>
      <c r="H46" s="26"/>
      <c r="I46" s="26"/>
      <c r="J46" s="26"/>
      <c r="K46" s="26"/>
      <c r="L46" s="26"/>
    </row>
    <row r="47" spans="1:13" x14ac:dyDescent="0.25">
      <c r="C47" s="27"/>
      <c r="F47" s="26"/>
      <c r="G47" s="26"/>
      <c r="H47" s="26"/>
      <c r="I47" s="26"/>
      <c r="J47" s="26"/>
      <c r="K47" s="26"/>
      <c r="L47" s="26"/>
    </row>
    <row r="48" spans="1:13" x14ac:dyDescent="0.25">
      <c r="F48" s="26"/>
      <c r="G48" s="26"/>
      <c r="H48" s="26"/>
      <c r="I48" s="26"/>
      <c r="J48" s="26"/>
      <c r="K48" s="26"/>
      <c r="L48" s="26"/>
    </row>
    <row r="49" spans="5:12" x14ac:dyDescent="0.25">
      <c r="F49" s="26"/>
      <c r="G49" s="26"/>
      <c r="H49" s="26"/>
      <c r="I49" s="26"/>
      <c r="J49" s="26"/>
      <c r="K49" s="26"/>
      <c r="L49" s="26"/>
    </row>
    <row r="50" spans="5:12" x14ac:dyDescent="0.25">
      <c r="F50" s="26"/>
      <c r="G50" s="26"/>
      <c r="H50" s="26"/>
      <c r="I50" s="26"/>
      <c r="J50" s="26"/>
      <c r="K50" s="26"/>
      <c r="L50" s="26"/>
    </row>
    <row r="51" spans="5:12" x14ac:dyDescent="0.25">
      <c r="F51" s="26"/>
      <c r="G51" s="26"/>
      <c r="H51" s="26"/>
      <c r="I51" s="26"/>
      <c r="J51" s="26"/>
      <c r="K51" s="26"/>
      <c r="L51" s="26"/>
    </row>
    <row r="52" spans="5:12" x14ac:dyDescent="0.25">
      <c r="F52" s="26"/>
      <c r="G52" s="26"/>
      <c r="H52" s="26"/>
      <c r="I52" s="26"/>
      <c r="J52" s="26"/>
      <c r="K52" s="26"/>
      <c r="L52" s="26"/>
    </row>
    <row r="53" spans="5:12" x14ac:dyDescent="0.25">
      <c r="F53" s="26"/>
      <c r="G53" s="26"/>
      <c r="H53" s="26"/>
      <c r="I53" s="26"/>
      <c r="J53" s="26"/>
      <c r="K53" s="26"/>
      <c r="L53" s="26"/>
    </row>
    <row r="54" spans="5:12" x14ac:dyDescent="0.25">
      <c r="F54" s="26"/>
      <c r="G54" s="26"/>
      <c r="H54" s="26"/>
      <c r="I54" s="26"/>
      <c r="J54" s="26"/>
      <c r="K54" s="26"/>
      <c r="L54" s="26"/>
    </row>
    <row r="55" spans="5:12" x14ac:dyDescent="0.25">
      <c r="F55" s="26"/>
      <c r="G55" s="26"/>
      <c r="H55" s="26"/>
      <c r="I55" s="26"/>
      <c r="J55" s="26"/>
      <c r="K55" s="26"/>
      <c r="L55" s="26"/>
    </row>
    <row r="56" spans="5:12" x14ac:dyDescent="0.25">
      <c r="F56" s="26"/>
      <c r="G56" s="26"/>
      <c r="H56" s="26"/>
      <c r="I56" s="26"/>
      <c r="J56" s="26"/>
      <c r="K56" s="26"/>
      <c r="L56" s="26"/>
    </row>
    <row r="57" spans="5:12" x14ac:dyDescent="0.25">
      <c r="F57" s="26"/>
      <c r="G57" s="26"/>
      <c r="H57" s="26"/>
      <c r="I57" s="26"/>
      <c r="J57" s="26"/>
      <c r="K57" s="26"/>
      <c r="L57" s="26"/>
    </row>
    <row r="58" spans="5:12" x14ac:dyDescent="0.25">
      <c r="E58" s="26"/>
    </row>
    <row r="59" spans="5:12" x14ac:dyDescent="0.25">
      <c r="E59" s="26"/>
    </row>
  </sheetData>
  <mergeCells count="10">
    <mergeCell ref="A40:B40"/>
    <mergeCell ref="A15:M15"/>
    <mergeCell ref="A1:B1"/>
    <mergeCell ref="A5:D5"/>
    <mergeCell ref="N11:O11"/>
    <mergeCell ref="G16:G21"/>
    <mergeCell ref="N16:O16"/>
    <mergeCell ref="K23:K26"/>
    <mergeCell ref="N24:O24"/>
    <mergeCell ref="I25:I26"/>
  </mergeCells>
  <pageMargins left="0.75" right="0.75" top="1" bottom="1" header="0.5" footer="0.5"/>
  <pageSetup orientation="portrait" r:id="rId1"/>
  <headerFooter alignWithMargins="0">
    <oddFooter>&amp;R&amp;"Arial,Regular"&amp;08&amp;K7F7F7FAmgen Proprietary - Confidential   &amp;C&amp;"Calibri"&amp;11&amp;K000000&amp;"Arial,Regular"&amp;08&amp;K7F7F7FAmgen Proprietary - For Internal Use Only_x000D_&amp;1#&amp;"Calibri"&amp;10&amp;K000000 Non-Amgen</oddFooter>
    <evenFooter>&amp;R&amp;"Arial,Regular"&amp;08&amp;K7F7F7FAmgen Proprietary - Confidential   &amp;C&amp;"Arial,Regular"&amp;08&amp;K7F7F7FAmgen Proprietary - For Internal Use Only</evenFooter>
    <firstFooter>&amp;R&amp;"Arial,Regular"&amp;08&amp;K7F7F7FAmgen Proprietary - Confidential   &amp;C&amp;"Arial,Regular"&amp;08&amp;K7F7F7FAmgen Proprietary - For Internal Use Only</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A5A953-9804-4744-AC86-983AF2AF5CBF}">
  <sheetPr codeName="Sheet73">
    <pageSetUpPr autoPageBreaks="0"/>
  </sheetPr>
  <dimension ref="A1:G44"/>
  <sheetViews>
    <sheetView topLeftCell="A4" zoomScale="120" zoomScaleNormal="120" workbookViewId="0">
      <selection activeCell="F20" sqref="F20"/>
    </sheetView>
  </sheetViews>
  <sheetFormatPr defaultColWidth="23.453125" defaultRowHeight="11.5" x14ac:dyDescent="0.25"/>
  <cols>
    <col min="1" max="2" width="27.453125" style="25" bestFit="1" customWidth="1"/>
    <col min="3" max="3" width="23.453125" style="25"/>
    <col min="4" max="4" width="23.453125" style="25" hidden="1" customWidth="1"/>
    <col min="5" max="5" width="23.453125" style="25"/>
    <col min="6" max="6" width="47.453125" style="25" bestFit="1" customWidth="1"/>
    <col min="7" max="7" width="27.453125" style="25" customWidth="1"/>
    <col min="8" max="8" width="15.453125" style="25" customWidth="1"/>
    <col min="9" max="9" width="14.54296875" style="25" customWidth="1"/>
    <col min="10" max="10" width="13.453125" style="25" customWidth="1"/>
    <col min="11" max="16384" width="23.453125" style="25"/>
  </cols>
  <sheetData>
    <row r="1" spans="1:7" ht="12" thickBot="1" x14ac:dyDescent="0.3">
      <c r="A1" s="1053" t="s">
        <v>479</v>
      </c>
      <c r="B1" s="1054"/>
    </row>
    <row r="2" spans="1:7" x14ac:dyDescent="0.25">
      <c r="A2" s="43" t="s">
        <v>480</v>
      </c>
      <c r="B2" s="44">
        <f>A11</f>
        <v>44294.354166666664</v>
      </c>
    </row>
    <row r="3" spans="1:7" ht="12" thickBot="1" x14ac:dyDescent="0.3">
      <c r="A3" s="42" t="s">
        <v>482</v>
      </c>
      <c r="B3" s="45">
        <f>A11</f>
        <v>44294.354166666664</v>
      </c>
    </row>
    <row r="5" spans="1:7" x14ac:dyDescent="0.25">
      <c r="A5" s="1049" t="s">
        <v>484</v>
      </c>
      <c r="B5" s="1050"/>
      <c r="C5" s="1050"/>
      <c r="D5" s="1051"/>
    </row>
    <row r="6" spans="1:7" x14ac:dyDescent="0.25">
      <c r="A6" s="781" t="s">
        <v>485</v>
      </c>
      <c r="B6" s="781" t="s">
        <v>486</v>
      </c>
      <c r="C6" s="781" t="s">
        <v>487</v>
      </c>
      <c r="D6" s="781" t="s">
        <v>488</v>
      </c>
    </row>
    <row r="7" spans="1:7" x14ac:dyDescent="0.25">
      <c r="A7" s="41" t="str">
        <f>F13</f>
        <v xml:space="preserve">IPC: LC for reaction conversion </v>
      </c>
      <c r="B7" s="40">
        <f>INDEX($A$11:$A$59,MATCH(A7,$F$11:$F$56,0))</f>
        <v>44294.645833333328</v>
      </c>
      <c r="C7" s="37">
        <f>INDEX($A$11:$A$59,MATCH(A7,$F$11:$F$59,0))</f>
        <v>44294.645833333328</v>
      </c>
      <c r="D7" s="37"/>
    </row>
    <row r="8" spans="1:7" x14ac:dyDescent="0.25">
      <c r="A8" s="41" t="str">
        <f>F17</f>
        <v xml:space="preserve">IPC: LOD </v>
      </c>
      <c r="B8" s="40">
        <f>INDEX($A$11:$A$59,MATCH(A8,$F$11:$F$56,0))</f>
        <v>44295.708333333328</v>
      </c>
      <c r="C8" s="37">
        <f>INDEX($A$11:$A$59,MATCH(A8,$F$11:$F$59,0))</f>
        <v>44295.708333333328</v>
      </c>
      <c r="D8" s="37"/>
    </row>
    <row r="9" spans="1:7" ht="12" thickBot="1" x14ac:dyDescent="0.3"/>
    <row r="10" spans="1:7" ht="23.5" thickBot="1" x14ac:dyDescent="0.3">
      <c r="A10" s="749" t="s">
        <v>492</v>
      </c>
      <c r="B10" s="749" t="s">
        <v>493</v>
      </c>
      <c r="C10" s="651" t="s">
        <v>494</v>
      </c>
      <c r="D10" s="654" t="s">
        <v>495</v>
      </c>
      <c r="E10" s="749" t="s">
        <v>540</v>
      </c>
      <c r="F10" s="749" t="s">
        <v>541</v>
      </c>
      <c r="G10" s="749" t="s">
        <v>498</v>
      </c>
    </row>
    <row r="11" spans="1:7" x14ac:dyDescent="0.25">
      <c r="A11" s="31">
        <v>44294.354166666664</v>
      </c>
      <c r="B11" s="38">
        <f>A11</f>
        <v>44294.354166666664</v>
      </c>
      <c r="C11" s="228">
        <v>0.10416666666666667</v>
      </c>
      <c r="D11" s="72"/>
      <c r="E11" s="653">
        <f t="shared" ref="E11:E20" si="0">B11+C11</f>
        <v>44294.458333333328</v>
      </c>
      <c r="F11" s="35" t="s">
        <v>2439</v>
      </c>
      <c r="G11" s="35"/>
    </row>
    <row r="12" spans="1:7" ht="12.75" customHeight="1" x14ac:dyDescent="0.25">
      <c r="A12" s="31">
        <f>IF(D11 = "",A11+C11,A11+D11)</f>
        <v>44294.458333333328</v>
      </c>
      <c r="B12" s="38">
        <f>IF(D11 = "",B11+C11,B11+D11)</f>
        <v>44294.458333333328</v>
      </c>
      <c r="C12" s="229">
        <v>0.1875</v>
      </c>
      <c r="D12" s="73"/>
      <c r="E12" s="317">
        <f t="shared" si="0"/>
        <v>44294.645833333328</v>
      </c>
      <c r="F12" s="35" t="s">
        <v>2440</v>
      </c>
      <c r="G12" s="35"/>
    </row>
    <row r="13" spans="1:7" x14ac:dyDescent="0.25">
      <c r="A13" s="31">
        <f t="shared" ref="A13:A20" si="1">IF(D12 = "",A12+C12,A12+D12)</f>
        <v>44294.645833333328</v>
      </c>
      <c r="B13" s="38">
        <f t="shared" ref="B13:B20" si="2">IF(D12 = "",B12+C12,B12+D12)</f>
        <v>44294.645833333328</v>
      </c>
      <c r="C13" s="229">
        <v>0.16666666666666666</v>
      </c>
      <c r="D13" s="73"/>
      <c r="E13" s="317">
        <f t="shared" si="0"/>
        <v>44294.812499999993</v>
      </c>
      <c r="F13" s="39" t="s">
        <v>2441</v>
      </c>
      <c r="G13" s="79"/>
    </row>
    <row r="14" spans="1:7" ht="13.5" customHeight="1" x14ac:dyDescent="0.25">
      <c r="A14" s="31">
        <f t="shared" si="1"/>
        <v>44294.812499999993</v>
      </c>
      <c r="B14" s="38">
        <f t="shared" si="2"/>
        <v>44294.812499999993</v>
      </c>
      <c r="C14" s="230">
        <v>8.3333333333333329E-2</v>
      </c>
      <c r="D14" s="74"/>
      <c r="E14" s="318">
        <f t="shared" si="0"/>
        <v>44294.895833333328</v>
      </c>
      <c r="F14" s="35" t="s">
        <v>548</v>
      </c>
      <c r="G14" s="35"/>
    </row>
    <row r="15" spans="1:7" x14ac:dyDescent="0.25">
      <c r="A15" s="31">
        <f t="shared" si="1"/>
        <v>44294.895833333328</v>
      </c>
      <c r="B15" s="38">
        <f t="shared" si="2"/>
        <v>44294.895833333328</v>
      </c>
      <c r="C15" s="230">
        <v>0.4375</v>
      </c>
      <c r="D15" s="74"/>
      <c r="E15" s="318">
        <f t="shared" si="0"/>
        <v>44295.333333333328</v>
      </c>
      <c r="F15" s="35" t="s">
        <v>2442</v>
      </c>
      <c r="G15" s="35"/>
    </row>
    <row r="16" spans="1:7" ht="13.5" customHeight="1" x14ac:dyDescent="0.25">
      <c r="A16" s="31">
        <f t="shared" si="1"/>
        <v>44295.333333333328</v>
      </c>
      <c r="B16" s="38">
        <f t="shared" si="2"/>
        <v>44295.333333333328</v>
      </c>
      <c r="C16" s="230">
        <v>0.375</v>
      </c>
      <c r="D16" s="74"/>
      <c r="E16" s="318">
        <f t="shared" si="0"/>
        <v>44295.708333333328</v>
      </c>
      <c r="F16" s="35" t="s">
        <v>551</v>
      </c>
      <c r="G16" s="35"/>
    </row>
    <row r="17" spans="1:7" ht="12" customHeight="1" x14ac:dyDescent="0.25">
      <c r="A17" s="31">
        <f t="shared" si="1"/>
        <v>44295.708333333328</v>
      </c>
      <c r="B17" s="38">
        <f t="shared" si="2"/>
        <v>44295.708333333328</v>
      </c>
      <c r="C17" s="229">
        <v>4.1666666666666664E-2</v>
      </c>
      <c r="D17" s="73"/>
      <c r="E17" s="317">
        <f t="shared" si="0"/>
        <v>44295.749999999993</v>
      </c>
      <c r="F17" s="39" t="s">
        <v>2443</v>
      </c>
      <c r="G17" s="39" t="s">
        <v>2444</v>
      </c>
    </row>
    <row r="18" spans="1:7" ht="12.75" customHeight="1" thickBot="1" x14ac:dyDescent="0.3">
      <c r="A18" s="31">
        <f t="shared" si="1"/>
        <v>44295.749999999993</v>
      </c>
      <c r="B18" s="38">
        <f t="shared" si="2"/>
        <v>44295.749999999993</v>
      </c>
      <c r="C18" s="229">
        <v>0.10416666666666667</v>
      </c>
      <c r="D18" s="655"/>
      <c r="E18" s="317">
        <f t="shared" si="0"/>
        <v>44295.854166666657</v>
      </c>
      <c r="F18" s="35" t="s">
        <v>554</v>
      </c>
      <c r="G18" s="35"/>
    </row>
    <row r="19" spans="1:7" x14ac:dyDescent="0.25">
      <c r="A19" s="31">
        <f t="shared" si="1"/>
        <v>44295.854166666657</v>
      </c>
      <c r="B19" s="38">
        <f t="shared" si="2"/>
        <v>44295.854166666657</v>
      </c>
      <c r="C19" s="229">
        <v>2.0833333333333332E-2</v>
      </c>
      <c r="D19" s="186">
        <v>2.0833333333333332E-2</v>
      </c>
      <c r="E19" s="76">
        <f t="shared" si="0"/>
        <v>44295.874999999993</v>
      </c>
      <c r="F19" s="720" t="s">
        <v>2561</v>
      </c>
      <c r="G19" s="35"/>
    </row>
    <row r="20" spans="1:7" x14ac:dyDescent="0.25">
      <c r="A20" s="31">
        <f t="shared" si="1"/>
        <v>44295.874999999993</v>
      </c>
      <c r="B20" s="38">
        <f t="shared" si="2"/>
        <v>44295.874999999993</v>
      </c>
      <c r="C20" s="229">
        <v>0.22916666666666666</v>
      </c>
      <c r="D20" s="186">
        <v>0.22916666666666666</v>
      </c>
      <c r="E20" s="76">
        <f t="shared" si="0"/>
        <v>44296.104166666657</v>
      </c>
      <c r="F20" s="720" t="s">
        <v>2562</v>
      </c>
      <c r="G20" s="35"/>
    </row>
    <row r="21" spans="1:7" ht="21" x14ac:dyDescent="0.55000000000000004">
      <c r="A21" s="34"/>
      <c r="B21" s="33" t="s">
        <v>534</v>
      </c>
      <c r="C21" s="32">
        <f>SUM(C11:C18)</f>
        <v>1.5000000000000002</v>
      </c>
      <c r="D21" s="32">
        <f>SUM(D11:D18)</f>
        <v>0</v>
      </c>
      <c r="G21" s="26"/>
    </row>
    <row r="22" spans="1:7" x14ac:dyDescent="0.25">
      <c r="B22" s="31" t="s">
        <v>536</v>
      </c>
      <c r="C22" s="30">
        <f>(C21*60)/1440</f>
        <v>6.2500000000000014E-2</v>
      </c>
      <c r="D22" s="30">
        <f>(D21*60)/1440</f>
        <v>0</v>
      </c>
      <c r="G22" s="26"/>
    </row>
    <row r="23" spans="1:7" hidden="1" x14ac:dyDescent="0.25">
      <c r="G23" s="26"/>
    </row>
    <row r="24" spans="1:7" hidden="1" x14ac:dyDescent="0.25">
      <c r="G24" s="26"/>
    </row>
    <row r="25" spans="1:7" hidden="1" x14ac:dyDescent="0.25">
      <c r="A25" s="1053" t="s">
        <v>555</v>
      </c>
      <c r="B25" s="1054"/>
      <c r="G25" s="26"/>
    </row>
    <row r="26" spans="1:7" hidden="1" x14ac:dyDescent="0.25">
      <c r="A26" s="781" t="s">
        <v>556</v>
      </c>
      <c r="B26" s="29" t="e">
        <f>MAX(A18,#REF!)</f>
        <v>#REF!</v>
      </c>
      <c r="G26" s="26"/>
    </row>
    <row r="27" spans="1:7" hidden="1" x14ac:dyDescent="0.25">
      <c r="A27" s="781" t="s">
        <v>557</v>
      </c>
      <c r="B27" s="28" t="e">
        <f>MAX((#REF!+#REF!),(B18+C18))</f>
        <v>#REF!</v>
      </c>
      <c r="G27" s="26"/>
    </row>
    <row r="28" spans="1:7" x14ac:dyDescent="0.25">
      <c r="G28" s="26"/>
    </row>
    <row r="29" spans="1:7" x14ac:dyDescent="0.25">
      <c r="G29" s="26"/>
    </row>
    <row r="30" spans="1:7" x14ac:dyDescent="0.25">
      <c r="G30" s="26"/>
    </row>
    <row r="31" spans="1:7" x14ac:dyDescent="0.25">
      <c r="G31" s="26"/>
    </row>
    <row r="32" spans="1:7" x14ac:dyDescent="0.25">
      <c r="C32" s="27"/>
      <c r="D32" s="27"/>
      <c r="G32" s="26"/>
    </row>
    <row r="33" spans="6:7" x14ac:dyDescent="0.25">
      <c r="G33" s="26"/>
    </row>
    <row r="34" spans="6:7" x14ac:dyDescent="0.25">
      <c r="G34" s="26"/>
    </row>
    <row r="35" spans="6:7" x14ac:dyDescent="0.25">
      <c r="G35" s="26"/>
    </row>
    <row r="36" spans="6:7" x14ac:dyDescent="0.25">
      <c r="G36" s="26"/>
    </row>
    <row r="37" spans="6:7" x14ac:dyDescent="0.25">
      <c r="G37" s="26"/>
    </row>
    <row r="38" spans="6:7" x14ac:dyDescent="0.25">
      <c r="G38" s="26"/>
    </row>
    <row r="39" spans="6:7" x14ac:dyDescent="0.25">
      <c r="G39" s="26"/>
    </row>
    <row r="40" spans="6:7" x14ac:dyDescent="0.25">
      <c r="G40" s="26"/>
    </row>
    <row r="43" spans="6:7" x14ac:dyDescent="0.25">
      <c r="F43" s="26"/>
    </row>
    <row r="44" spans="6:7" x14ac:dyDescent="0.25">
      <c r="F44" s="26"/>
    </row>
  </sheetData>
  <mergeCells count="3">
    <mergeCell ref="A1:B1"/>
    <mergeCell ref="A5:D5"/>
    <mergeCell ref="A25:B25"/>
  </mergeCells>
  <pageMargins left="0.75" right="0.75" top="1" bottom="1" header="0.5" footer="0.5"/>
  <pageSetup orientation="portrait" r:id="rId1"/>
  <headerFooter alignWithMargins="0">
    <oddFooter>&amp;R&amp;"Arial,Regular"&amp;08&amp;K7F7F7FAmgen Proprietary - Confidential   &amp;C&amp;"Calibri"&amp;11&amp;K000000&amp;"Arial,Regular"&amp;08&amp;K7F7F7FAmgen Proprietary - For Internal Use Only_x000D_&amp;1#&amp;"Calibri"&amp;10&amp;K000000 Non-Amgen</oddFooter>
    <evenFooter>&amp;R&amp;"Arial,Regular"&amp;08&amp;K7F7F7FAmgen Proprietary - Confidential   &amp;C&amp;"Arial,Regular"&amp;08&amp;K7F7F7FAmgen Proprietary - For Internal Use Only</evenFooter>
    <firstFooter>&amp;R&amp;"Arial,Regular"&amp;08&amp;K7F7F7FAmgen Proprietary - Confidential   &amp;C&amp;"Arial,Regular"&amp;08&amp;K7F7F7FAmgen Proprietary - For Internal Use Only</firstFooter>
  </headerFooter>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C9CBEF-E2A3-441A-AC92-42D6DF03A49F}">
  <sheetPr codeName="Sheet75">
    <pageSetUpPr autoPageBreaks="0"/>
  </sheetPr>
  <dimension ref="A1:G44"/>
  <sheetViews>
    <sheetView zoomScale="160" zoomScaleNormal="160" workbookViewId="0">
      <selection activeCell="A6" sqref="A6:C7"/>
    </sheetView>
  </sheetViews>
  <sheetFormatPr defaultColWidth="23.453125" defaultRowHeight="11.5" x14ac:dyDescent="0.25"/>
  <cols>
    <col min="1" max="2" width="27.453125" style="25" bestFit="1" customWidth="1"/>
    <col min="3" max="3" width="23.453125" style="25"/>
    <col min="4" max="4" width="23.453125" style="25" hidden="1" customWidth="1"/>
    <col min="5" max="5" width="23.453125" style="25"/>
    <col min="6" max="6" width="47.453125" style="25" bestFit="1" customWidth="1"/>
    <col min="7" max="7" width="27.453125" style="25" customWidth="1"/>
    <col min="8" max="8" width="15.453125" style="25" customWidth="1"/>
    <col min="9" max="9" width="14.54296875" style="25" customWidth="1"/>
    <col min="10" max="10" width="13.453125" style="25" customWidth="1"/>
    <col min="11" max="16384" width="23.453125" style="25"/>
  </cols>
  <sheetData>
    <row r="1" spans="1:7" ht="12" thickBot="1" x14ac:dyDescent="0.3">
      <c r="A1" s="1053" t="s">
        <v>479</v>
      </c>
      <c r="B1" s="1054"/>
    </row>
    <row r="2" spans="1:7" x14ac:dyDescent="0.25">
      <c r="A2" s="43" t="s">
        <v>480</v>
      </c>
      <c r="B2" s="44">
        <f>A11</f>
        <v>44300.041666666664</v>
      </c>
    </row>
    <row r="3" spans="1:7" ht="12" thickBot="1" x14ac:dyDescent="0.3">
      <c r="A3" s="42" t="s">
        <v>482</v>
      </c>
      <c r="B3" s="45">
        <f>A11</f>
        <v>44300.041666666664</v>
      </c>
    </row>
    <row r="5" spans="1:7" x14ac:dyDescent="0.25">
      <c r="A5" s="1049" t="s">
        <v>484</v>
      </c>
      <c r="B5" s="1050"/>
      <c r="C5" s="1050"/>
      <c r="D5" s="1051"/>
    </row>
    <row r="6" spans="1:7" x14ac:dyDescent="0.25">
      <c r="A6" s="781" t="s">
        <v>485</v>
      </c>
      <c r="B6" s="781" t="s">
        <v>486</v>
      </c>
      <c r="C6" s="781" t="s">
        <v>487</v>
      </c>
      <c r="D6" s="781" t="s">
        <v>488</v>
      </c>
    </row>
    <row r="7" spans="1:7" x14ac:dyDescent="0.25">
      <c r="A7" s="41" t="str">
        <f>F13</f>
        <v xml:space="preserve">IPC: LC for reaction conversion </v>
      </c>
      <c r="B7" s="40">
        <f>INDEX($A$11:$A$59,MATCH(A7,$F$11:$F$56,0))</f>
        <v>44300.333333333328</v>
      </c>
      <c r="C7" s="37">
        <f>INDEX($A$11:$A$59,MATCH(A7,$F$11:$F$59,0))</f>
        <v>44300.333333333328</v>
      </c>
      <c r="D7" s="37"/>
    </row>
    <row r="8" spans="1:7" x14ac:dyDescent="0.25">
      <c r="A8" s="41" t="str">
        <f>F17</f>
        <v xml:space="preserve">IPC: LOD </v>
      </c>
      <c r="B8" s="40">
        <f>INDEX($A$11:$A$59,MATCH(A8,$F$11:$F$56,0))</f>
        <v>44301.395833333328</v>
      </c>
      <c r="C8" s="37">
        <f>INDEX($A$11:$A$59,MATCH(A8,$F$11:$F$59,0))</f>
        <v>44301.395833333328</v>
      </c>
      <c r="D8" s="37"/>
    </row>
    <row r="9" spans="1:7" ht="12" thickBot="1" x14ac:dyDescent="0.3"/>
    <row r="10" spans="1:7" ht="23.5" thickBot="1" x14ac:dyDescent="0.3">
      <c r="A10" s="749" t="s">
        <v>492</v>
      </c>
      <c r="B10" s="749" t="s">
        <v>493</v>
      </c>
      <c r="C10" s="651" t="s">
        <v>494</v>
      </c>
      <c r="D10" s="654" t="s">
        <v>495</v>
      </c>
      <c r="E10" s="749" t="s">
        <v>540</v>
      </c>
      <c r="F10" s="749" t="s">
        <v>541</v>
      </c>
      <c r="G10" s="749" t="s">
        <v>498</v>
      </c>
    </row>
    <row r="11" spans="1:7" x14ac:dyDescent="0.25">
      <c r="A11" s="31">
        <v>44300.041666666664</v>
      </c>
      <c r="B11" s="38">
        <f>A11</f>
        <v>44300.041666666664</v>
      </c>
      <c r="C11" s="228">
        <v>0.10416666666666667</v>
      </c>
      <c r="D11" s="72"/>
      <c r="E11" s="653">
        <f t="shared" ref="E11:E20" si="0">B11+C11</f>
        <v>44300.145833333328</v>
      </c>
      <c r="F11" s="35" t="s">
        <v>2439</v>
      </c>
      <c r="G11" s="35"/>
    </row>
    <row r="12" spans="1:7" ht="12.75" customHeight="1" x14ac:dyDescent="0.25">
      <c r="A12" s="31">
        <f>IF(D11 = "",A11+C11,A11+D11)</f>
        <v>44300.145833333328</v>
      </c>
      <c r="B12" s="38">
        <f>IF(D11 = "",B11+C11,B11+D11)</f>
        <v>44300.145833333328</v>
      </c>
      <c r="C12" s="229">
        <v>0.1875</v>
      </c>
      <c r="D12" s="73"/>
      <c r="E12" s="317">
        <f t="shared" si="0"/>
        <v>44300.333333333328</v>
      </c>
      <c r="F12" s="35" t="s">
        <v>2440</v>
      </c>
      <c r="G12" s="35"/>
    </row>
    <row r="13" spans="1:7" x14ac:dyDescent="0.25">
      <c r="A13" s="31">
        <f t="shared" ref="A13:A20" si="1">IF(D12 = "",A12+C12,A12+D12)</f>
        <v>44300.333333333328</v>
      </c>
      <c r="B13" s="38">
        <f t="shared" ref="B13:B20" si="2">IF(D12 = "",B12+C12,B12+D12)</f>
        <v>44300.333333333328</v>
      </c>
      <c r="C13" s="229">
        <v>0.16666666666666666</v>
      </c>
      <c r="D13" s="73"/>
      <c r="E13" s="317">
        <f t="shared" si="0"/>
        <v>44300.499999999993</v>
      </c>
      <c r="F13" s="39" t="s">
        <v>2441</v>
      </c>
      <c r="G13" s="79"/>
    </row>
    <row r="14" spans="1:7" ht="13.5" customHeight="1" x14ac:dyDescent="0.25">
      <c r="A14" s="31">
        <f t="shared" si="1"/>
        <v>44300.499999999993</v>
      </c>
      <c r="B14" s="38">
        <f t="shared" si="2"/>
        <v>44300.499999999993</v>
      </c>
      <c r="C14" s="230">
        <v>8.3333333333333329E-2</v>
      </c>
      <c r="D14" s="74"/>
      <c r="E14" s="318">
        <f t="shared" si="0"/>
        <v>44300.583333333328</v>
      </c>
      <c r="F14" s="35" t="s">
        <v>548</v>
      </c>
      <c r="G14" s="35"/>
    </row>
    <row r="15" spans="1:7" x14ac:dyDescent="0.25">
      <c r="A15" s="31">
        <f t="shared" si="1"/>
        <v>44300.583333333328</v>
      </c>
      <c r="B15" s="38">
        <f t="shared" si="2"/>
        <v>44300.583333333328</v>
      </c>
      <c r="C15" s="230">
        <v>0.4375</v>
      </c>
      <c r="D15" s="74"/>
      <c r="E15" s="318">
        <f t="shared" si="0"/>
        <v>44301.020833333328</v>
      </c>
      <c r="F15" s="35" t="s">
        <v>2442</v>
      </c>
      <c r="G15" s="35"/>
    </row>
    <row r="16" spans="1:7" ht="13.5" customHeight="1" x14ac:dyDescent="0.25">
      <c r="A16" s="31">
        <f t="shared" si="1"/>
        <v>44301.020833333328</v>
      </c>
      <c r="B16" s="38">
        <f t="shared" si="2"/>
        <v>44301.020833333328</v>
      </c>
      <c r="C16" s="230">
        <v>0.375</v>
      </c>
      <c r="D16" s="74"/>
      <c r="E16" s="318">
        <f t="shared" si="0"/>
        <v>44301.395833333328</v>
      </c>
      <c r="F16" s="35" t="s">
        <v>551</v>
      </c>
      <c r="G16" s="35"/>
    </row>
    <row r="17" spans="1:7" ht="12" customHeight="1" x14ac:dyDescent="0.25">
      <c r="A17" s="31">
        <f t="shared" si="1"/>
        <v>44301.395833333328</v>
      </c>
      <c r="B17" s="38">
        <f t="shared" si="2"/>
        <v>44301.395833333328</v>
      </c>
      <c r="C17" s="229">
        <v>4.1666666666666664E-2</v>
      </c>
      <c r="D17" s="73"/>
      <c r="E17" s="317">
        <f t="shared" si="0"/>
        <v>44301.437499999993</v>
      </c>
      <c r="F17" s="39" t="s">
        <v>2443</v>
      </c>
      <c r="G17" s="39" t="s">
        <v>2444</v>
      </c>
    </row>
    <row r="18" spans="1:7" ht="12.75" customHeight="1" thickBot="1" x14ac:dyDescent="0.3">
      <c r="A18" s="31">
        <f t="shared" si="1"/>
        <v>44301.437499999993</v>
      </c>
      <c r="B18" s="38">
        <f t="shared" si="2"/>
        <v>44301.437499999993</v>
      </c>
      <c r="C18" s="229">
        <v>0.10416666666666667</v>
      </c>
      <c r="D18" s="655"/>
      <c r="E18" s="317">
        <f t="shared" si="0"/>
        <v>44301.541666666657</v>
      </c>
      <c r="F18" s="35" t="s">
        <v>554</v>
      </c>
      <c r="G18" s="35"/>
    </row>
    <row r="19" spans="1:7" x14ac:dyDescent="0.25">
      <c r="A19" s="706">
        <f t="shared" si="1"/>
        <v>44301.541666666657</v>
      </c>
      <c r="B19" s="721">
        <f>B16+"1:00"</f>
        <v>44301.062499999993</v>
      </c>
      <c r="C19" s="73">
        <v>2.0833333333333332E-2</v>
      </c>
      <c r="D19" s="73">
        <v>2.0833333333333332E-2</v>
      </c>
      <c r="E19" s="722">
        <f t="shared" si="0"/>
        <v>44301.083333333328</v>
      </c>
      <c r="F19" s="720" t="s">
        <v>2561</v>
      </c>
      <c r="G19" s="720"/>
    </row>
    <row r="20" spans="1:7" x14ac:dyDescent="0.25">
      <c r="A20" s="706">
        <f t="shared" si="1"/>
        <v>44301.562499999993</v>
      </c>
      <c r="B20" s="721">
        <f t="shared" si="2"/>
        <v>44301.083333333328</v>
      </c>
      <c r="C20" s="73">
        <v>0.22916666666666666</v>
      </c>
      <c r="D20" s="73">
        <v>0.22916666666666666</v>
      </c>
      <c r="E20" s="722">
        <f t="shared" si="0"/>
        <v>44301.312499999993</v>
      </c>
      <c r="F20" s="720" t="s">
        <v>2562</v>
      </c>
      <c r="G20" s="720"/>
    </row>
    <row r="21" spans="1:7" ht="21" x14ac:dyDescent="0.55000000000000004">
      <c r="A21" s="34"/>
      <c r="B21" s="33" t="s">
        <v>534</v>
      </c>
      <c r="C21" s="32">
        <f>SUM(C11:C18)</f>
        <v>1.5000000000000002</v>
      </c>
      <c r="D21" s="32">
        <f>SUM(D11:D18)</f>
        <v>0</v>
      </c>
      <c r="G21" s="26"/>
    </row>
    <row r="22" spans="1:7" x14ac:dyDescent="0.25">
      <c r="B22" s="31" t="s">
        <v>536</v>
      </c>
      <c r="C22" s="30">
        <f>(C21*60)/1440</f>
        <v>6.2500000000000014E-2</v>
      </c>
      <c r="D22" s="30">
        <f>(D21*60)/1440</f>
        <v>0</v>
      </c>
      <c r="G22" s="26"/>
    </row>
    <row r="23" spans="1:7" hidden="1" x14ac:dyDescent="0.25">
      <c r="G23" s="26"/>
    </row>
    <row r="24" spans="1:7" hidden="1" x14ac:dyDescent="0.25">
      <c r="G24" s="26"/>
    </row>
    <row r="25" spans="1:7" hidden="1" x14ac:dyDescent="0.25">
      <c r="A25" s="1053" t="s">
        <v>555</v>
      </c>
      <c r="B25" s="1054"/>
      <c r="G25" s="26"/>
    </row>
    <row r="26" spans="1:7" hidden="1" x14ac:dyDescent="0.25">
      <c r="A26" s="781" t="s">
        <v>556</v>
      </c>
      <c r="B26" s="29" t="e">
        <f>MAX(A18,#REF!)</f>
        <v>#REF!</v>
      </c>
      <c r="G26" s="26"/>
    </row>
    <row r="27" spans="1:7" hidden="1" x14ac:dyDescent="0.25">
      <c r="A27" s="781" t="s">
        <v>557</v>
      </c>
      <c r="B27" s="28" t="e">
        <f>MAX((#REF!+#REF!),(B18+C18))</f>
        <v>#REF!</v>
      </c>
      <c r="G27" s="26"/>
    </row>
    <row r="28" spans="1:7" x14ac:dyDescent="0.25">
      <c r="G28" s="26"/>
    </row>
    <row r="29" spans="1:7" x14ac:dyDescent="0.25">
      <c r="G29" s="26"/>
    </row>
    <row r="30" spans="1:7" x14ac:dyDescent="0.25">
      <c r="G30" s="26"/>
    </row>
    <row r="31" spans="1:7" x14ac:dyDescent="0.25">
      <c r="G31" s="26"/>
    </row>
    <row r="32" spans="1:7" x14ac:dyDescent="0.25">
      <c r="C32" s="27"/>
      <c r="D32" s="27"/>
      <c r="G32" s="26"/>
    </row>
    <row r="33" spans="6:7" x14ac:dyDescent="0.25">
      <c r="G33" s="26"/>
    </row>
    <row r="34" spans="6:7" x14ac:dyDescent="0.25">
      <c r="G34" s="26"/>
    </row>
    <row r="35" spans="6:7" x14ac:dyDescent="0.25">
      <c r="G35" s="26"/>
    </row>
    <row r="36" spans="6:7" x14ac:dyDescent="0.25">
      <c r="G36" s="26"/>
    </row>
    <row r="37" spans="6:7" x14ac:dyDescent="0.25">
      <c r="G37" s="26"/>
    </row>
    <row r="38" spans="6:7" x14ac:dyDescent="0.25">
      <c r="G38" s="26"/>
    </row>
    <row r="39" spans="6:7" x14ac:dyDescent="0.25">
      <c r="G39" s="26"/>
    </row>
    <row r="40" spans="6:7" x14ac:dyDescent="0.25">
      <c r="G40" s="26"/>
    </row>
    <row r="43" spans="6:7" x14ac:dyDescent="0.25">
      <c r="F43" s="26"/>
    </row>
    <row r="44" spans="6:7" x14ac:dyDescent="0.25">
      <c r="F44" s="26"/>
    </row>
  </sheetData>
  <mergeCells count="3">
    <mergeCell ref="A1:B1"/>
    <mergeCell ref="A5:D5"/>
    <mergeCell ref="A25:B25"/>
  </mergeCells>
  <pageMargins left="0.75" right="0.75" top="1" bottom="1" header="0.5" footer="0.5"/>
  <pageSetup orientation="portrait" r:id="rId1"/>
  <headerFooter alignWithMargins="0">
    <oddFooter>&amp;R&amp;"Arial,Regular"&amp;08&amp;K7F7F7FAmgen Proprietary - Confidential   &amp;C&amp;"Calibri"&amp;11&amp;K000000&amp;"Arial,Regular"&amp;08&amp;K7F7F7FAmgen Proprietary - For Internal Use Only_x000D_&amp;1#&amp;"Calibri"&amp;10&amp;K000000 Non-Amgen</oddFooter>
    <evenFooter>&amp;R&amp;"Arial,Regular"&amp;08&amp;K7F7F7FAmgen Proprietary - Confidential   &amp;C&amp;"Arial,Regular"&amp;08&amp;K7F7F7FAmgen Proprietary - For Internal Use Only</evenFooter>
    <firstFooter>&amp;R&amp;"Arial,Regular"&amp;08&amp;K7F7F7FAmgen Proprietary - Confidential   &amp;C&amp;"Arial,Regular"&amp;08&amp;K7F7F7FAmgen Proprietary - For Internal Use Only</firstFooter>
  </headerFooter>
  <legacyDrawing r:id="rId2"/>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55B1B6-7FD3-4447-B6A8-18BCFA0F7B56}">
  <sheetPr codeName="Sheet76">
    <pageSetUpPr autoPageBreaks="0"/>
  </sheetPr>
  <dimension ref="A1:G44"/>
  <sheetViews>
    <sheetView zoomScale="140" zoomScaleNormal="140" workbookViewId="0">
      <selection activeCell="C34" sqref="C34"/>
    </sheetView>
  </sheetViews>
  <sheetFormatPr defaultColWidth="23.453125" defaultRowHeight="11.5" x14ac:dyDescent="0.25"/>
  <cols>
    <col min="1" max="2" width="27.453125" style="25" bestFit="1" customWidth="1"/>
    <col min="3" max="3" width="23.453125" style="25"/>
    <col min="4" max="4" width="23.453125" style="25" hidden="1" customWidth="1"/>
    <col min="5" max="5" width="23.453125" style="25"/>
    <col min="6" max="6" width="47.453125" style="25" bestFit="1" customWidth="1"/>
    <col min="7" max="7" width="27.453125" style="25" customWidth="1"/>
    <col min="8" max="8" width="15.453125" style="25" customWidth="1"/>
    <col min="9" max="9" width="14.54296875" style="25" customWidth="1"/>
    <col min="10" max="10" width="13.453125" style="25" customWidth="1"/>
    <col min="11" max="16384" width="23.453125" style="25"/>
  </cols>
  <sheetData>
    <row r="1" spans="1:7" ht="12" thickBot="1" x14ac:dyDescent="0.3">
      <c r="A1" s="1053" t="s">
        <v>479</v>
      </c>
      <c r="B1" s="1054"/>
    </row>
    <row r="2" spans="1:7" x14ac:dyDescent="0.25">
      <c r="A2" s="43" t="s">
        <v>480</v>
      </c>
      <c r="B2" s="44">
        <f>A11</f>
        <v>44301.583333333336</v>
      </c>
    </row>
    <row r="3" spans="1:7" ht="12" thickBot="1" x14ac:dyDescent="0.3">
      <c r="A3" s="42" t="s">
        <v>482</v>
      </c>
      <c r="B3" s="45">
        <f>A11</f>
        <v>44301.583333333336</v>
      </c>
    </row>
    <row r="5" spans="1:7" x14ac:dyDescent="0.25">
      <c r="A5" s="1049" t="s">
        <v>484</v>
      </c>
      <c r="B5" s="1050"/>
      <c r="C5" s="1050"/>
      <c r="D5" s="1051"/>
    </row>
    <row r="6" spans="1:7" x14ac:dyDescent="0.25">
      <c r="A6" s="781" t="s">
        <v>2563</v>
      </c>
      <c r="B6" s="781" t="s">
        <v>486</v>
      </c>
      <c r="C6" s="781" t="s">
        <v>487</v>
      </c>
      <c r="D6" s="781" t="s">
        <v>488</v>
      </c>
    </row>
    <row r="7" spans="1:7" x14ac:dyDescent="0.25">
      <c r="A7" s="41" t="str">
        <f>F13</f>
        <v xml:space="preserve">IPC: LC for reaction conversion </v>
      </c>
      <c r="B7" s="40">
        <f>INDEX($A$11:$A$59,MATCH(A7,$F$11:$F$56,0))</f>
        <v>44301.875</v>
      </c>
      <c r="C7" s="37">
        <f>INDEX($A$11:$A$59,MATCH(A7,$F$11:$F$59,0))</f>
        <v>44301.875</v>
      </c>
      <c r="D7" s="37"/>
    </row>
    <row r="8" spans="1:7" x14ac:dyDescent="0.25">
      <c r="A8" s="41" t="str">
        <f>F17</f>
        <v xml:space="preserve">IPC: LOD </v>
      </c>
      <c r="B8" s="40">
        <f>INDEX($A$11:$A$59,MATCH(A8,$F$11:$F$56,0))</f>
        <v>44302.9375</v>
      </c>
      <c r="C8" s="37">
        <f>INDEX($A$11:$A$59,MATCH(A8,$F$11:$F$59,0))</f>
        <v>44302.9375</v>
      </c>
      <c r="D8" s="37"/>
    </row>
    <row r="9" spans="1:7" ht="12" thickBot="1" x14ac:dyDescent="0.3"/>
    <row r="10" spans="1:7" ht="23.5" thickBot="1" x14ac:dyDescent="0.3">
      <c r="A10" s="749" t="s">
        <v>492</v>
      </c>
      <c r="B10" s="749" t="s">
        <v>493</v>
      </c>
      <c r="C10" s="651" t="s">
        <v>494</v>
      </c>
      <c r="D10" s="654" t="s">
        <v>495</v>
      </c>
      <c r="E10" s="749" t="s">
        <v>540</v>
      </c>
      <c r="F10" s="749" t="s">
        <v>541</v>
      </c>
      <c r="G10" s="749" t="s">
        <v>498</v>
      </c>
    </row>
    <row r="11" spans="1:7" x14ac:dyDescent="0.25">
      <c r="A11" s="31">
        <v>44301.583333333336</v>
      </c>
      <c r="B11" s="38">
        <f>A11</f>
        <v>44301.583333333336</v>
      </c>
      <c r="C11" s="228">
        <v>0.10416666666666667</v>
      </c>
      <c r="D11" s="72"/>
      <c r="E11" s="653">
        <f t="shared" ref="E11:E20" si="0">B11+C11</f>
        <v>44301.6875</v>
      </c>
      <c r="F11" s="35" t="s">
        <v>2439</v>
      </c>
      <c r="G11" s="35"/>
    </row>
    <row r="12" spans="1:7" ht="12.75" customHeight="1" x14ac:dyDescent="0.25">
      <c r="A12" s="31">
        <f>IF(D11 = "",A11+C11,A11+D11)</f>
        <v>44301.6875</v>
      </c>
      <c r="B12" s="38">
        <f>IF(D11 = "",B11+C11,B11+D11)</f>
        <v>44301.6875</v>
      </c>
      <c r="C12" s="229">
        <v>0.1875</v>
      </c>
      <c r="D12" s="73"/>
      <c r="E12" s="317">
        <f t="shared" si="0"/>
        <v>44301.875</v>
      </c>
      <c r="F12" s="35" t="s">
        <v>2440</v>
      </c>
      <c r="G12" s="35"/>
    </row>
    <row r="13" spans="1:7" x14ac:dyDescent="0.25">
      <c r="A13" s="31">
        <f t="shared" ref="A13:A20" si="1">IF(D12 = "",A12+C12,A12+D12)</f>
        <v>44301.875</v>
      </c>
      <c r="B13" s="38">
        <f t="shared" ref="B13:B20" si="2">IF(D12 = "",B12+C12,B12+D12)</f>
        <v>44301.875</v>
      </c>
      <c r="C13" s="229">
        <v>0.16666666666666666</v>
      </c>
      <c r="D13" s="73"/>
      <c r="E13" s="317">
        <f t="shared" si="0"/>
        <v>44302.041666666664</v>
      </c>
      <c r="F13" s="39" t="s">
        <v>2441</v>
      </c>
      <c r="G13" s="79"/>
    </row>
    <row r="14" spans="1:7" ht="13.5" customHeight="1" x14ac:dyDescent="0.25">
      <c r="A14" s="31">
        <f t="shared" si="1"/>
        <v>44302.041666666664</v>
      </c>
      <c r="B14" s="38">
        <f t="shared" si="2"/>
        <v>44302.041666666664</v>
      </c>
      <c r="C14" s="230">
        <v>8.3333333333333329E-2</v>
      </c>
      <c r="D14" s="74"/>
      <c r="E14" s="318">
        <f t="shared" si="0"/>
        <v>44302.125</v>
      </c>
      <c r="F14" s="35" t="s">
        <v>548</v>
      </c>
      <c r="G14" s="35"/>
    </row>
    <row r="15" spans="1:7" x14ac:dyDescent="0.25">
      <c r="A15" s="31">
        <f t="shared" si="1"/>
        <v>44302.125</v>
      </c>
      <c r="B15" s="38">
        <f t="shared" si="2"/>
        <v>44302.125</v>
      </c>
      <c r="C15" s="230">
        <v>0.4375</v>
      </c>
      <c r="D15" s="74"/>
      <c r="E15" s="318">
        <f t="shared" si="0"/>
        <v>44302.5625</v>
      </c>
      <c r="F15" s="35" t="s">
        <v>2442</v>
      </c>
      <c r="G15" s="35"/>
    </row>
    <row r="16" spans="1:7" ht="13.5" customHeight="1" x14ac:dyDescent="0.25">
      <c r="A16" s="31">
        <f t="shared" si="1"/>
        <v>44302.5625</v>
      </c>
      <c r="B16" s="38">
        <f t="shared" si="2"/>
        <v>44302.5625</v>
      </c>
      <c r="C16" s="230">
        <v>0.375</v>
      </c>
      <c r="D16" s="74"/>
      <c r="E16" s="318">
        <f t="shared" si="0"/>
        <v>44302.9375</v>
      </c>
      <c r="F16" s="35" t="s">
        <v>551</v>
      </c>
      <c r="G16" s="35"/>
    </row>
    <row r="17" spans="1:7" ht="12" customHeight="1" x14ac:dyDescent="0.25">
      <c r="A17" s="31">
        <f t="shared" si="1"/>
        <v>44302.9375</v>
      </c>
      <c r="B17" s="38">
        <f t="shared" si="2"/>
        <v>44302.9375</v>
      </c>
      <c r="C17" s="229">
        <v>4.1666666666666664E-2</v>
      </c>
      <c r="D17" s="73"/>
      <c r="E17" s="317">
        <f t="shared" si="0"/>
        <v>44302.979166666664</v>
      </c>
      <c r="F17" s="39" t="s">
        <v>2443</v>
      </c>
      <c r="G17" s="39" t="s">
        <v>2444</v>
      </c>
    </row>
    <row r="18" spans="1:7" ht="12.75" customHeight="1" thickBot="1" x14ac:dyDescent="0.3">
      <c r="A18" s="31">
        <f t="shared" si="1"/>
        <v>44302.979166666664</v>
      </c>
      <c r="B18" s="38">
        <f t="shared" si="2"/>
        <v>44302.979166666664</v>
      </c>
      <c r="C18" s="229">
        <v>0.10416666666666667</v>
      </c>
      <c r="D18" s="655"/>
      <c r="E18" s="317">
        <f t="shared" si="0"/>
        <v>44303.083333333328</v>
      </c>
      <c r="F18" s="35" t="s">
        <v>554</v>
      </c>
      <c r="G18" s="35"/>
    </row>
    <row r="19" spans="1:7" x14ac:dyDescent="0.25">
      <c r="A19" s="706">
        <f t="shared" si="1"/>
        <v>44303.083333333328</v>
      </c>
      <c r="B19" s="721">
        <f t="shared" si="2"/>
        <v>44303.083333333328</v>
      </c>
      <c r="C19" s="73">
        <v>2.0833333333333332E-2</v>
      </c>
      <c r="D19" s="73">
        <v>2.0833333333333332E-2</v>
      </c>
      <c r="E19" s="722">
        <f t="shared" si="0"/>
        <v>44303.104166666664</v>
      </c>
      <c r="F19" s="720" t="s">
        <v>2561</v>
      </c>
      <c r="G19" s="720"/>
    </row>
    <row r="20" spans="1:7" x14ac:dyDescent="0.25">
      <c r="A20" s="706">
        <f t="shared" si="1"/>
        <v>44303.104166666664</v>
      </c>
      <c r="B20" s="721">
        <f t="shared" si="2"/>
        <v>44303.104166666664</v>
      </c>
      <c r="C20" s="73">
        <v>0.22916666666666666</v>
      </c>
      <c r="D20" s="73">
        <v>0.22916666666666666</v>
      </c>
      <c r="E20" s="722">
        <f t="shared" si="0"/>
        <v>44303.333333333328</v>
      </c>
      <c r="F20" s="720" t="s">
        <v>2562</v>
      </c>
      <c r="G20" s="720"/>
    </row>
    <row r="21" spans="1:7" ht="21" x14ac:dyDescent="0.55000000000000004">
      <c r="A21" s="34"/>
      <c r="B21" s="33" t="s">
        <v>534</v>
      </c>
      <c r="C21" s="32">
        <f>SUM(C11:C18)</f>
        <v>1.5000000000000002</v>
      </c>
      <c r="D21" s="32">
        <f>SUM(D11:D18)</f>
        <v>0</v>
      </c>
      <c r="G21" s="26"/>
    </row>
    <row r="22" spans="1:7" x14ac:dyDescent="0.25">
      <c r="B22" s="31" t="s">
        <v>536</v>
      </c>
      <c r="C22" s="30">
        <f>(C21*60)/1440</f>
        <v>6.2500000000000014E-2</v>
      </c>
      <c r="D22" s="30">
        <f>(D21*60)/1440</f>
        <v>0</v>
      </c>
      <c r="G22" s="26"/>
    </row>
    <row r="23" spans="1:7" hidden="1" x14ac:dyDescent="0.25">
      <c r="G23" s="26"/>
    </row>
    <row r="24" spans="1:7" hidden="1" x14ac:dyDescent="0.25">
      <c r="G24" s="26"/>
    </row>
    <row r="25" spans="1:7" hidden="1" x14ac:dyDescent="0.25">
      <c r="A25" s="1053" t="s">
        <v>555</v>
      </c>
      <c r="B25" s="1054"/>
      <c r="G25" s="26"/>
    </row>
    <row r="26" spans="1:7" hidden="1" x14ac:dyDescent="0.25">
      <c r="A26" s="781" t="s">
        <v>556</v>
      </c>
      <c r="B26" s="29" t="e">
        <f>MAX(A18,#REF!)</f>
        <v>#REF!</v>
      </c>
      <c r="G26" s="26"/>
    </row>
    <row r="27" spans="1:7" hidden="1" x14ac:dyDescent="0.25">
      <c r="A27" s="781" t="s">
        <v>557</v>
      </c>
      <c r="B27" s="28" t="e">
        <f>MAX((#REF!+#REF!),(B18+C18))</f>
        <v>#REF!</v>
      </c>
      <c r="G27" s="26"/>
    </row>
    <row r="28" spans="1:7" x14ac:dyDescent="0.25">
      <c r="G28" s="26"/>
    </row>
    <row r="29" spans="1:7" x14ac:dyDescent="0.25">
      <c r="G29" s="26"/>
    </row>
    <row r="30" spans="1:7" x14ac:dyDescent="0.25">
      <c r="G30" s="26"/>
    </row>
    <row r="31" spans="1:7" x14ac:dyDescent="0.25">
      <c r="G31" s="26"/>
    </row>
    <row r="32" spans="1:7" x14ac:dyDescent="0.25">
      <c r="C32" s="27"/>
      <c r="D32" s="27"/>
      <c r="G32" s="26"/>
    </row>
    <row r="33" spans="6:7" x14ac:dyDescent="0.25">
      <c r="G33" s="26"/>
    </row>
    <row r="34" spans="6:7" x14ac:dyDescent="0.25">
      <c r="G34" s="26"/>
    </row>
    <row r="35" spans="6:7" x14ac:dyDescent="0.25">
      <c r="G35" s="26"/>
    </row>
    <row r="36" spans="6:7" x14ac:dyDescent="0.25">
      <c r="G36" s="26"/>
    </row>
    <row r="37" spans="6:7" x14ac:dyDescent="0.25">
      <c r="G37" s="26"/>
    </row>
    <row r="38" spans="6:7" x14ac:dyDescent="0.25">
      <c r="G38" s="26"/>
    </row>
    <row r="39" spans="6:7" x14ac:dyDescent="0.25">
      <c r="G39" s="26"/>
    </row>
    <row r="40" spans="6:7" x14ac:dyDescent="0.25">
      <c r="G40" s="26"/>
    </row>
    <row r="43" spans="6:7" x14ac:dyDescent="0.25">
      <c r="F43" s="26"/>
    </row>
    <row r="44" spans="6:7" x14ac:dyDescent="0.25">
      <c r="F44" s="26"/>
    </row>
  </sheetData>
  <mergeCells count="3">
    <mergeCell ref="A1:B1"/>
    <mergeCell ref="A5:D5"/>
    <mergeCell ref="A25:B25"/>
  </mergeCells>
  <pageMargins left="0.75" right="0.75" top="1" bottom="1" header="0.5" footer="0.5"/>
  <pageSetup orientation="portrait" r:id="rId1"/>
  <headerFooter alignWithMargins="0">
    <oddFooter>&amp;R&amp;"Arial,Regular"&amp;08&amp;K7F7F7FAmgen Proprietary - Confidential   &amp;C&amp;"Calibri"&amp;11&amp;K000000&amp;"Arial,Regular"&amp;08&amp;K7F7F7FAmgen Proprietary - For Internal Use Only_x000D_&amp;1#&amp;"Calibri"&amp;10&amp;K000000 Non-Amgen</oddFooter>
    <evenFooter>&amp;R&amp;"Arial,Regular"&amp;08&amp;K7F7F7FAmgen Proprietary - Confidential   &amp;C&amp;"Arial,Regular"&amp;08&amp;K7F7F7FAmgen Proprietary - For Internal Use Only</evenFooter>
    <firstFooter>&amp;R&amp;"Arial,Regular"&amp;08&amp;K7F7F7FAmgen Proprietary - Confidential   &amp;C&amp;"Arial,Regular"&amp;08&amp;K7F7F7FAmgen Proprietary - For Internal Use Only</firstFooter>
  </headerFooter>
  <legacyDrawing r:id="rId2"/>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077C7-E20C-4F2F-B450-833D0CB50901}">
  <sheetPr codeName="Sheet74">
    <pageSetUpPr autoPageBreaks="0"/>
  </sheetPr>
  <dimension ref="A1:G44"/>
  <sheetViews>
    <sheetView zoomScale="130" zoomScaleNormal="130" workbookViewId="0">
      <selection activeCell="C35" sqref="C35"/>
    </sheetView>
  </sheetViews>
  <sheetFormatPr defaultColWidth="23.453125" defaultRowHeight="11.5" x14ac:dyDescent="0.25"/>
  <cols>
    <col min="1" max="2" width="27.453125" style="25" bestFit="1" customWidth="1"/>
    <col min="3" max="3" width="23.453125" style="25"/>
    <col min="4" max="4" width="23.453125" style="25" hidden="1" customWidth="1"/>
    <col min="5" max="5" width="23.453125" style="25"/>
    <col min="6" max="6" width="47.453125" style="25" bestFit="1" customWidth="1"/>
    <col min="7" max="7" width="27.453125" style="25" customWidth="1"/>
    <col min="8" max="8" width="15.453125" style="25" customWidth="1"/>
    <col min="9" max="9" width="14.54296875" style="25" customWidth="1"/>
    <col min="10" max="10" width="13.453125" style="25" customWidth="1"/>
    <col min="11" max="16384" width="23.453125" style="25"/>
  </cols>
  <sheetData>
    <row r="1" spans="1:7" ht="12" thickBot="1" x14ac:dyDescent="0.3">
      <c r="A1" s="1053" t="s">
        <v>479</v>
      </c>
      <c r="B1" s="1054"/>
    </row>
    <row r="2" spans="1:7" x14ac:dyDescent="0.25">
      <c r="A2" s="43" t="s">
        <v>480</v>
      </c>
      <c r="B2" s="44">
        <f>A11</f>
        <v>44305.354166666664</v>
      </c>
    </row>
    <row r="3" spans="1:7" ht="12" thickBot="1" x14ac:dyDescent="0.3">
      <c r="A3" s="42" t="s">
        <v>482</v>
      </c>
      <c r="B3" s="45">
        <f>A11</f>
        <v>44305.354166666664</v>
      </c>
    </row>
    <row r="5" spans="1:7" x14ac:dyDescent="0.25">
      <c r="A5" s="1049" t="s">
        <v>484</v>
      </c>
      <c r="B5" s="1050"/>
      <c r="C5" s="1050"/>
      <c r="D5" s="1051"/>
    </row>
    <row r="6" spans="1:7" x14ac:dyDescent="0.25">
      <c r="A6" s="781" t="s">
        <v>485</v>
      </c>
      <c r="B6" s="781" t="s">
        <v>486</v>
      </c>
      <c r="C6" s="781" t="s">
        <v>487</v>
      </c>
      <c r="D6" s="781" t="s">
        <v>488</v>
      </c>
    </row>
    <row r="7" spans="1:7" x14ac:dyDescent="0.25">
      <c r="A7" s="41" t="str">
        <f>F13</f>
        <v xml:space="preserve">IPC: LC for reaction conversion </v>
      </c>
      <c r="B7" s="40">
        <f>INDEX($A$11:$A$59,MATCH(A7,$F$11:$F$56,0))</f>
        <v>44305.645833333328</v>
      </c>
      <c r="C7" s="37">
        <f>INDEX($A$11:$A$59,MATCH(A7,$F$11:$F$59,0))</f>
        <v>44305.645833333328</v>
      </c>
      <c r="D7" s="37"/>
    </row>
    <row r="8" spans="1:7" x14ac:dyDescent="0.25">
      <c r="A8" s="41" t="str">
        <f>F17</f>
        <v xml:space="preserve">IPC: LOD </v>
      </c>
      <c r="B8" s="40">
        <f>INDEX($A$11:$A$59,MATCH(A8,$F$11:$F$56,0))</f>
        <v>44306.875</v>
      </c>
      <c r="C8" s="37">
        <f>INDEX($A$11:$A$59,MATCH(A8,$F$11:$F$59,0))</f>
        <v>44306.875</v>
      </c>
      <c r="D8" s="37"/>
    </row>
    <row r="9" spans="1:7" ht="12" thickBot="1" x14ac:dyDescent="0.3"/>
    <row r="10" spans="1:7" ht="23.5" thickBot="1" x14ac:dyDescent="0.3">
      <c r="A10" s="749" t="s">
        <v>492</v>
      </c>
      <c r="B10" s="749" t="s">
        <v>493</v>
      </c>
      <c r="C10" s="651" t="s">
        <v>494</v>
      </c>
      <c r="D10" s="654" t="s">
        <v>495</v>
      </c>
      <c r="E10" s="749" t="s">
        <v>540</v>
      </c>
      <c r="F10" s="749" t="s">
        <v>541</v>
      </c>
      <c r="G10" s="749" t="s">
        <v>498</v>
      </c>
    </row>
    <row r="11" spans="1:7" x14ac:dyDescent="0.25">
      <c r="A11" s="31">
        <v>44305.354166666664</v>
      </c>
      <c r="B11" s="38">
        <f>A11</f>
        <v>44305.354166666664</v>
      </c>
      <c r="C11" s="228">
        <v>0.10416666666666667</v>
      </c>
      <c r="D11" s="72"/>
      <c r="E11" s="653">
        <f t="shared" ref="E11:E20" si="0">B11+C11</f>
        <v>44305.458333333328</v>
      </c>
      <c r="F11" s="35" t="s">
        <v>2439</v>
      </c>
      <c r="G11" s="35"/>
    </row>
    <row r="12" spans="1:7" ht="12.75" customHeight="1" x14ac:dyDescent="0.25">
      <c r="A12" s="31">
        <f>IF(D11 = "",A11+C11,A11+D11)</f>
        <v>44305.458333333328</v>
      </c>
      <c r="B12" s="38">
        <f>IF(D11 = "",B11+C11,B11+D11)</f>
        <v>44305.458333333328</v>
      </c>
      <c r="C12" s="229">
        <v>0.1875</v>
      </c>
      <c r="D12" s="73"/>
      <c r="E12" s="317">
        <f t="shared" si="0"/>
        <v>44305.645833333328</v>
      </c>
      <c r="F12" s="35" t="s">
        <v>2440</v>
      </c>
      <c r="G12" s="35"/>
    </row>
    <row r="13" spans="1:7" x14ac:dyDescent="0.25">
      <c r="A13" s="31">
        <f t="shared" ref="A13:A20" si="1">IF(D12 = "",A12+C12,A12+D12)</f>
        <v>44305.645833333328</v>
      </c>
      <c r="B13" s="38">
        <f t="shared" ref="B13:B20" si="2">IF(D12 = "",B12+C12,B12+D12)</f>
        <v>44305.645833333328</v>
      </c>
      <c r="C13" s="229">
        <v>0.33333333333333331</v>
      </c>
      <c r="D13" s="73"/>
      <c r="E13" s="317">
        <f t="shared" si="0"/>
        <v>44305.979166666664</v>
      </c>
      <c r="F13" s="39" t="s">
        <v>2441</v>
      </c>
      <c r="G13" s="79"/>
    </row>
    <row r="14" spans="1:7" ht="13.5" customHeight="1" x14ac:dyDescent="0.25">
      <c r="A14" s="31">
        <f t="shared" si="1"/>
        <v>44305.979166666664</v>
      </c>
      <c r="B14" s="38">
        <f t="shared" si="2"/>
        <v>44305.979166666664</v>
      </c>
      <c r="C14" s="230">
        <v>8.3333333333333329E-2</v>
      </c>
      <c r="D14" s="74"/>
      <c r="E14" s="318">
        <f t="shared" si="0"/>
        <v>44306.0625</v>
      </c>
      <c r="F14" s="35" t="s">
        <v>548</v>
      </c>
      <c r="G14" s="35"/>
    </row>
    <row r="15" spans="1:7" x14ac:dyDescent="0.25">
      <c r="A15" s="31">
        <f t="shared" si="1"/>
        <v>44306.0625</v>
      </c>
      <c r="B15" s="38">
        <f t="shared" si="2"/>
        <v>44306.0625</v>
      </c>
      <c r="C15" s="230">
        <v>0.4375</v>
      </c>
      <c r="D15" s="74"/>
      <c r="E15" s="318">
        <f t="shared" si="0"/>
        <v>44306.5</v>
      </c>
      <c r="F15" s="35" t="s">
        <v>2442</v>
      </c>
      <c r="G15" s="35"/>
    </row>
    <row r="16" spans="1:7" ht="13.5" customHeight="1" x14ac:dyDescent="0.25">
      <c r="A16" s="31">
        <f t="shared" si="1"/>
        <v>44306.5</v>
      </c>
      <c r="B16" s="38">
        <f t="shared" si="2"/>
        <v>44306.5</v>
      </c>
      <c r="C16" s="230">
        <v>0.375</v>
      </c>
      <c r="D16" s="74"/>
      <c r="E16" s="318">
        <f t="shared" si="0"/>
        <v>44306.875</v>
      </c>
      <c r="F16" s="35" t="s">
        <v>551</v>
      </c>
      <c r="G16" s="35"/>
    </row>
    <row r="17" spans="1:7" ht="12" customHeight="1" x14ac:dyDescent="0.25">
      <c r="A17" s="31">
        <f t="shared" si="1"/>
        <v>44306.875</v>
      </c>
      <c r="B17" s="38">
        <f t="shared" si="2"/>
        <v>44306.875</v>
      </c>
      <c r="C17" s="229">
        <v>4.1666666666666664E-2</v>
      </c>
      <c r="D17" s="73"/>
      <c r="E17" s="317">
        <f t="shared" si="0"/>
        <v>44306.916666666664</v>
      </c>
      <c r="F17" s="39" t="s">
        <v>2443</v>
      </c>
      <c r="G17" s="39" t="s">
        <v>2444</v>
      </c>
    </row>
    <row r="18" spans="1:7" ht="12.75" customHeight="1" thickBot="1" x14ac:dyDescent="0.3">
      <c r="A18" s="31">
        <f t="shared" si="1"/>
        <v>44306.916666666664</v>
      </c>
      <c r="B18" s="38">
        <f t="shared" si="2"/>
        <v>44306.916666666664</v>
      </c>
      <c r="C18" s="229">
        <v>0.10416666666666667</v>
      </c>
      <c r="D18" s="655"/>
      <c r="E18" s="317">
        <f t="shared" si="0"/>
        <v>44307.020833333328</v>
      </c>
      <c r="F18" s="35" t="s">
        <v>554</v>
      </c>
      <c r="G18" s="35"/>
    </row>
    <row r="19" spans="1:7" hidden="1" x14ac:dyDescent="0.25">
      <c r="A19" s="706">
        <f t="shared" si="1"/>
        <v>44307.020833333328</v>
      </c>
      <c r="B19" s="721">
        <f>B16+"1:00"</f>
        <v>44306.541666666664</v>
      </c>
      <c r="C19" s="73">
        <v>2.0833333333333332E-2</v>
      </c>
      <c r="D19" s="73">
        <v>2.0833333333333332E-2</v>
      </c>
      <c r="E19" s="722">
        <f t="shared" si="0"/>
        <v>44306.5625</v>
      </c>
      <c r="F19" s="720" t="s">
        <v>2561</v>
      </c>
      <c r="G19" s="35"/>
    </row>
    <row r="20" spans="1:7" hidden="1" x14ac:dyDescent="0.25">
      <c r="A20" s="706">
        <f t="shared" si="1"/>
        <v>44307.041666666664</v>
      </c>
      <c r="B20" s="721">
        <f t="shared" si="2"/>
        <v>44306.5625</v>
      </c>
      <c r="C20" s="73">
        <v>0.22916666666666666</v>
      </c>
      <c r="D20" s="73">
        <v>0.22916666666666666</v>
      </c>
      <c r="E20" s="722">
        <f t="shared" si="0"/>
        <v>44306.791666666664</v>
      </c>
      <c r="F20" s="720" t="s">
        <v>2562</v>
      </c>
      <c r="G20" s="35"/>
    </row>
    <row r="21" spans="1:7" ht="21" x14ac:dyDescent="0.55000000000000004">
      <c r="A21" s="34"/>
      <c r="B21" s="33" t="s">
        <v>534</v>
      </c>
      <c r="C21" s="32">
        <f>SUM(C11:C18)</f>
        <v>1.666666666666667</v>
      </c>
      <c r="D21" s="32">
        <f>SUM(D11:D18)</f>
        <v>0</v>
      </c>
      <c r="G21" s="26"/>
    </row>
    <row r="22" spans="1:7" x14ac:dyDescent="0.25">
      <c r="B22" s="31" t="s">
        <v>536</v>
      </c>
      <c r="C22" s="30">
        <f>(C21*60)/1440</f>
        <v>6.9444444444444448E-2</v>
      </c>
      <c r="D22" s="30">
        <f>(D21*60)/1440</f>
        <v>0</v>
      </c>
      <c r="G22" s="26"/>
    </row>
    <row r="23" spans="1:7" hidden="1" x14ac:dyDescent="0.25">
      <c r="G23" s="26"/>
    </row>
    <row r="24" spans="1:7" hidden="1" x14ac:dyDescent="0.25">
      <c r="G24" s="26"/>
    </row>
    <row r="25" spans="1:7" hidden="1" x14ac:dyDescent="0.25">
      <c r="A25" s="1053" t="s">
        <v>555</v>
      </c>
      <c r="B25" s="1054"/>
      <c r="G25" s="26"/>
    </row>
    <row r="26" spans="1:7" hidden="1" x14ac:dyDescent="0.25">
      <c r="A26" s="781" t="s">
        <v>556</v>
      </c>
      <c r="B26" s="29" t="e">
        <f>MAX(A18,#REF!)</f>
        <v>#REF!</v>
      </c>
      <c r="G26" s="26"/>
    </row>
    <row r="27" spans="1:7" hidden="1" x14ac:dyDescent="0.25">
      <c r="A27" s="781" t="s">
        <v>557</v>
      </c>
      <c r="B27" s="28" t="e">
        <f>MAX((#REF!+#REF!),(B18+C18))</f>
        <v>#REF!</v>
      </c>
      <c r="G27" s="26"/>
    </row>
    <row r="28" spans="1:7" x14ac:dyDescent="0.25">
      <c r="G28" s="26"/>
    </row>
    <row r="29" spans="1:7" x14ac:dyDescent="0.25">
      <c r="G29" s="26"/>
    </row>
    <row r="30" spans="1:7" x14ac:dyDescent="0.25">
      <c r="G30" s="26"/>
    </row>
    <row r="31" spans="1:7" x14ac:dyDescent="0.25">
      <c r="G31" s="26"/>
    </row>
    <row r="32" spans="1:7" x14ac:dyDescent="0.25">
      <c r="C32" s="27"/>
      <c r="D32" s="27"/>
      <c r="G32" s="26"/>
    </row>
    <row r="33" spans="6:7" x14ac:dyDescent="0.25">
      <c r="G33" s="26"/>
    </row>
    <row r="34" spans="6:7" x14ac:dyDescent="0.25">
      <c r="G34" s="26"/>
    </row>
    <row r="35" spans="6:7" x14ac:dyDescent="0.25">
      <c r="G35" s="26"/>
    </row>
    <row r="36" spans="6:7" x14ac:dyDescent="0.25">
      <c r="G36" s="26"/>
    </row>
    <row r="37" spans="6:7" x14ac:dyDescent="0.25">
      <c r="G37" s="26"/>
    </row>
    <row r="38" spans="6:7" x14ac:dyDescent="0.25">
      <c r="G38" s="26"/>
    </row>
    <row r="39" spans="6:7" x14ac:dyDescent="0.25">
      <c r="G39" s="26"/>
    </row>
    <row r="40" spans="6:7" x14ac:dyDescent="0.25">
      <c r="G40" s="26"/>
    </row>
    <row r="43" spans="6:7" x14ac:dyDescent="0.25">
      <c r="F43" s="26"/>
    </row>
    <row r="44" spans="6:7" x14ac:dyDescent="0.25">
      <c r="F44" s="26"/>
    </row>
  </sheetData>
  <mergeCells count="3">
    <mergeCell ref="A1:B1"/>
    <mergeCell ref="A5:D5"/>
    <mergeCell ref="A25:B25"/>
  </mergeCells>
  <pageMargins left="0.75" right="0.75" top="1" bottom="1" header="0.5" footer="0.5"/>
  <pageSetup orientation="portrait" r:id="rId1"/>
  <headerFooter alignWithMargins="0">
    <oddFooter>&amp;R&amp;"Arial,Regular"&amp;08&amp;K7F7F7FAmgen Proprietary - Confidential   &amp;C&amp;"Calibri"&amp;11&amp;K000000&amp;"Arial,Regular"&amp;08&amp;K7F7F7FAmgen Proprietary - For Internal Use Only_x000D_&amp;1#&amp;"Calibri"&amp;10&amp;K000000 Non-Amgen</oddFooter>
    <evenFooter>&amp;R&amp;"Arial,Regular"&amp;08&amp;K7F7F7FAmgen Proprietary - Confidential   &amp;C&amp;"Arial,Regular"&amp;08&amp;K7F7F7FAmgen Proprietary - For Internal Use Only</evenFooter>
    <firstFooter>&amp;R&amp;"Arial,Regular"&amp;08&amp;K7F7F7FAmgen Proprietary - Confidential   &amp;C&amp;"Arial,Regular"&amp;08&amp;K7F7F7FAmgen Proprietary - For Internal Use Only</firstFooter>
  </headerFooter>
  <legacy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022E1D-3E0E-4A47-A4BC-EA23498DDE10}">
  <sheetPr codeName="Sheet77">
    <pageSetUpPr autoPageBreaks="0"/>
  </sheetPr>
  <dimension ref="A1:P78"/>
  <sheetViews>
    <sheetView topLeftCell="A25" zoomScale="120" zoomScaleNormal="120" workbookViewId="0">
      <selection activeCell="C25" sqref="C25"/>
    </sheetView>
  </sheetViews>
  <sheetFormatPr defaultColWidth="23.453125" defaultRowHeight="11.5" x14ac:dyDescent="0.25"/>
  <cols>
    <col min="1" max="1" width="52.453125" style="46" bestFit="1" customWidth="1"/>
    <col min="2" max="2" width="23.453125" style="46" bestFit="1" customWidth="1"/>
    <col min="3" max="3" width="20.453125" style="46" bestFit="1" customWidth="1"/>
    <col min="4" max="4" width="20.54296875" style="46" hidden="1" customWidth="1"/>
    <col min="5" max="5" width="23.453125" style="46"/>
    <col min="6" max="6" width="75.453125" style="46" bestFit="1" customWidth="1"/>
    <col min="7" max="7" width="16.54296875" style="46" customWidth="1"/>
    <col min="8" max="8" width="17.453125" style="46" customWidth="1"/>
    <col min="9" max="9" width="10.54296875" style="46" customWidth="1"/>
    <col min="10" max="10" width="19.453125" style="46" customWidth="1"/>
    <col min="11" max="11" width="16" style="46" customWidth="1"/>
    <col min="12" max="12" width="22.54296875" style="46" customWidth="1"/>
    <col min="13" max="13" width="30.54296875" style="46" customWidth="1"/>
    <col min="14" max="14" width="23.453125" style="46"/>
    <col min="15" max="15" width="53.54296875" style="46" hidden="1" customWidth="1"/>
    <col min="16" max="16" width="23.453125" style="46" hidden="1" customWidth="1"/>
    <col min="17" max="16384" width="23.453125" style="46"/>
  </cols>
  <sheetData>
    <row r="1" spans="1:16" ht="12" thickBot="1" x14ac:dyDescent="0.3">
      <c r="A1" s="1042" t="s">
        <v>479</v>
      </c>
      <c r="B1" s="1043"/>
    </row>
    <row r="2" spans="1:16" x14ac:dyDescent="0.25">
      <c r="A2" s="67" t="s">
        <v>480</v>
      </c>
      <c r="B2" s="407">
        <f>A13</f>
        <v>44306.583333333336</v>
      </c>
    </row>
    <row r="3" spans="1:16" ht="12" thickBot="1" x14ac:dyDescent="0.3">
      <c r="A3" s="66" t="s">
        <v>482</v>
      </c>
      <c r="B3" s="408">
        <f>A13</f>
        <v>44306.583333333336</v>
      </c>
    </row>
    <row r="5" spans="1:16" x14ac:dyDescent="0.25">
      <c r="A5" s="1044" t="s">
        <v>484</v>
      </c>
      <c r="B5" s="1045"/>
      <c r="C5" s="1045"/>
      <c r="D5" s="1046"/>
    </row>
    <row r="6" spans="1:16" x14ac:dyDescent="0.25">
      <c r="A6" s="102" t="s">
        <v>485</v>
      </c>
      <c r="B6" s="102" t="s">
        <v>486</v>
      </c>
      <c r="C6" s="102" t="s">
        <v>487</v>
      </c>
      <c r="D6" s="102" t="s">
        <v>488</v>
      </c>
    </row>
    <row r="7" spans="1:16" x14ac:dyDescent="0.25">
      <c r="A7" s="65" t="str">
        <f>F33</f>
        <v>Sample for Residual Solvent Methanol (Ethyl Acetate)</v>
      </c>
      <c r="B7" s="64">
        <f>A33</f>
        <v>44308.590277777796</v>
      </c>
      <c r="C7" s="56">
        <f>B33</f>
        <v>44308.590277777796</v>
      </c>
      <c r="D7" s="464"/>
    </row>
    <row r="8" spans="1:16" x14ac:dyDescent="0.25">
      <c r="A8" s="65" t="s">
        <v>490</v>
      </c>
      <c r="B8" s="64">
        <f>A51</f>
        <v>44309.607638888912</v>
      </c>
      <c r="C8" s="56">
        <f>A51</f>
        <v>44309.607638888912</v>
      </c>
      <c r="D8" s="464"/>
    </row>
    <row r="9" spans="1:16" x14ac:dyDescent="0.25">
      <c r="A9" s="65" t="s">
        <v>491</v>
      </c>
      <c r="B9" s="64">
        <f>E54</f>
        <v>44309.541666666664</v>
      </c>
      <c r="C9" s="56">
        <f>E54</f>
        <v>44309.541666666664</v>
      </c>
      <c r="D9" s="63"/>
    </row>
    <row r="10" spans="1:16" ht="13" x14ac:dyDescent="0.25">
      <c r="O10" s="62" t="s">
        <v>2564</v>
      </c>
      <c r="P10" s="62" t="s">
        <v>2565</v>
      </c>
    </row>
    <row r="11" spans="1:16" ht="23" x14ac:dyDescent="0.25">
      <c r="A11" s="61" t="s">
        <v>492</v>
      </c>
      <c r="B11" s="61" t="s">
        <v>493</v>
      </c>
      <c r="C11" s="61" t="s">
        <v>494</v>
      </c>
      <c r="D11" s="118" t="s">
        <v>495</v>
      </c>
      <c r="E11" s="61" t="s">
        <v>496</v>
      </c>
      <c r="F11" s="61" t="s">
        <v>497</v>
      </c>
      <c r="G11" s="61" t="s">
        <v>498</v>
      </c>
      <c r="H11" s="61" t="s">
        <v>92</v>
      </c>
      <c r="I11" s="61" t="s">
        <v>499</v>
      </c>
      <c r="J11" s="61" t="s">
        <v>96</v>
      </c>
      <c r="K11" s="61" t="s">
        <v>500</v>
      </c>
      <c r="L11" s="61" t="s">
        <v>501</v>
      </c>
      <c r="O11" s="60" t="s">
        <v>2566</v>
      </c>
      <c r="P11" s="60" t="s">
        <v>2567</v>
      </c>
    </row>
    <row r="12" spans="1:16" ht="14.5" x14ac:dyDescent="0.25">
      <c r="A12" s="117" t="s">
        <v>2568</v>
      </c>
      <c r="B12" s="117"/>
      <c r="C12" s="117"/>
      <c r="D12" s="119"/>
      <c r="E12" s="117"/>
      <c r="F12" s="117"/>
      <c r="G12" s="117"/>
      <c r="H12" s="189"/>
      <c r="I12" s="189"/>
      <c r="J12" s="189"/>
      <c r="K12" s="189"/>
      <c r="L12" s="189"/>
      <c r="O12" s="60"/>
      <c r="P12" s="60"/>
    </row>
    <row r="13" spans="1:16" ht="13.5" customHeight="1" x14ac:dyDescent="0.25">
      <c r="A13" s="50">
        <v>44306.583333333336</v>
      </c>
      <c r="B13" s="461">
        <f>A13</f>
        <v>44306.583333333336</v>
      </c>
      <c r="C13" s="55">
        <v>7.2916666666666671E-2</v>
      </c>
      <c r="D13" s="327"/>
      <c r="E13" s="56">
        <f>B13+C13</f>
        <v>44306.65625</v>
      </c>
      <c r="F13" s="54" t="s">
        <v>2569</v>
      </c>
      <c r="G13" s="190"/>
      <c r="H13" s="190">
        <v>5</v>
      </c>
      <c r="I13" s="191"/>
      <c r="J13" s="191"/>
      <c r="K13" s="191"/>
      <c r="L13" s="191"/>
      <c r="M13" s="203" t="s">
        <v>2570</v>
      </c>
      <c r="N13" s="203">
        <f>SUM(J13:J22)</f>
        <v>33.241492346938777</v>
      </c>
      <c r="O13" s="57" t="s">
        <v>2571</v>
      </c>
      <c r="P13" s="57" t="s">
        <v>2572</v>
      </c>
    </row>
    <row r="14" spans="1:16" ht="13.5" customHeight="1" x14ac:dyDescent="0.25">
      <c r="A14" s="31">
        <f t="shared" ref="A14:A35" si="0">IF(D13 = "",A13+C13,A13+D13)</f>
        <v>44306.65625</v>
      </c>
      <c r="B14" s="37">
        <f t="shared" ref="B14:B35" si="1">IF(D13 = "",B13+C13,B13+D13)</f>
        <v>44306.65625</v>
      </c>
      <c r="C14" s="55">
        <v>2.0833333333333332E-2</v>
      </c>
      <c r="D14" s="327"/>
      <c r="E14" s="56">
        <f t="shared" ref="E14:E36" si="2">B14+C14</f>
        <v>44306.677083333336</v>
      </c>
      <c r="F14" s="54" t="s">
        <v>504</v>
      </c>
      <c r="G14" s="190"/>
      <c r="H14" s="190">
        <v>30</v>
      </c>
      <c r="I14" s="191"/>
      <c r="J14" s="191"/>
      <c r="K14" s="191"/>
      <c r="L14" s="191"/>
      <c r="M14" s="195" t="s">
        <v>2573</v>
      </c>
      <c r="N14" s="195">
        <f>SUM(K13:K22)</f>
        <v>1595.8448535353536</v>
      </c>
      <c r="O14" s="57" t="s">
        <v>580</v>
      </c>
      <c r="P14" s="57" t="s">
        <v>2574</v>
      </c>
    </row>
    <row r="15" spans="1:16" ht="13.5" customHeight="1" x14ac:dyDescent="0.25">
      <c r="A15" s="31">
        <f t="shared" si="0"/>
        <v>44306.677083333336</v>
      </c>
      <c r="B15" s="37">
        <f t="shared" si="1"/>
        <v>44306.677083333336</v>
      </c>
      <c r="C15" s="55">
        <v>2.0833333333333332E-2</v>
      </c>
      <c r="D15" s="327"/>
      <c r="E15" s="56">
        <f t="shared" si="2"/>
        <v>44306.697916666672</v>
      </c>
      <c r="F15" s="54" t="s">
        <v>505</v>
      </c>
      <c r="G15" s="193"/>
      <c r="H15" s="193">
        <v>30</v>
      </c>
      <c r="I15" s="194"/>
      <c r="J15" s="194"/>
      <c r="K15" s="194"/>
      <c r="L15" s="191"/>
      <c r="M15" s="195" t="s">
        <v>2575</v>
      </c>
      <c r="N15" s="195">
        <f>SUM(I13:I22)</f>
        <v>157.39168514412415</v>
      </c>
      <c r="O15" s="57" t="s">
        <v>581</v>
      </c>
      <c r="P15" s="57" t="s">
        <v>2576</v>
      </c>
    </row>
    <row r="16" spans="1:16" ht="13.5" customHeight="1" x14ac:dyDescent="0.25">
      <c r="A16" s="31">
        <f t="shared" si="0"/>
        <v>44306.697916666672</v>
      </c>
      <c r="B16" s="37">
        <f t="shared" si="1"/>
        <v>44306.697916666672</v>
      </c>
      <c r="C16" s="55">
        <v>2.0833333333333332E-2</v>
      </c>
      <c r="D16" s="327"/>
      <c r="E16" s="56">
        <f t="shared" si="2"/>
        <v>44306.718750000007</v>
      </c>
      <c r="F16" s="54" t="s">
        <v>506</v>
      </c>
      <c r="G16" s="190"/>
      <c r="H16" s="190"/>
      <c r="I16" s="191"/>
      <c r="J16" s="191">
        <v>33.241492346938777</v>
      </c>
      <c r="K16" s="191"/>
      <c r="L16" s="191">
        <f t="shared" ref="L16:L27" si="3">SUM(I16:K16)</f>
        <v>33.241492346938777</v>
      </c>
      <c r="M16" s="195" t="s">
        <v>2577</v>
      </c>
      <c r="N16" s="195">
        <f>SUM(L13:L22)</f>
        <v>1786.4780310264164</v>
      </c>
      <c r="O16" s="57" t="s">
        <v>2578</v>
      </c>
      <c r="P16" s="57" t="s">
        <v>2579</v>
      </c>
    </row>
    <row r="17" spans="1:16" ht="13.5" customHeight="1" x14ac:dyDescent="0.25">
      <c r="A17" s="31">
        <f t="shared" si="0"/>
        <v>44306.718750000007</v>
      </c>
      <c r="B17" s="37">
        <f t="shared" si="1"/>
        <v>44306.718750000007</v>
      </c>
      <c r="C17" s="59">
        <v>4.1666666666666664E-2</v>
      </c>
      <c r="D17" s="327"/>
      <c r="E17" s="56">
        <f t="shared" si="2"/>
        <v>44306.760416666672</v>
      </c>
      <c r="F17" s="54" t="s">
        <v>507</v>
      </c>
      <c r="G17" s="190"/>
      <c r="H17" s="190"/>
      <c r="I17" s="191">
        <v>31.659645232815961</v>
      </c>
      <c r="J17" s="191"/>
      <c r="K17" s="191"/>
      <c r="L17" s="191">
        <f t="shared" si="3"/>
        <v>31.659645232815961</v>
      </c>
      <c r="M17" s="192"/>
      <c r="N17" s="192"/>
      <c r="O17" s="57" t="s">
        <v>2580</v>
      </c>
      <c r="P17" s="57" t="s">
        <v>2581</v>
      </c>
    </row>
    <row r="18" spans="1:16" ht="13.5" customHeight="1" x14ac:dyDescent="0.25">
      <c r="A18" s="31">
        <f t="shared" si="0"/>
        <v>44306.760416666672</v>
      </c>
      <c r="B18" s="37">
        <f t="shared" si="1"/>
        <v>44306.760416666672</v>
      </c>
      <c r="C18" s="59">
        <v>6.9444444444444441E-3</v>
      </c>
      <c r="D18" s="327"/>
      <c r="E18" s="56">
        <f t="shared" si="2"/>
        <v>44306.767361111117</v>
      </c>
      <c r="F18" s="54" t="s">
        <v>509</v>
      </c>
      <c r="G18" s="190"/>
      <c r="H18" s="190"/>
      <c r="I18" s="191">
        <v>125.73203991130821</v>
      </c>
      <c r="J18" s="191"/>
      <c r="K18" s="191"/>
      <c r="L18" s="191">
        <f t="shared" si="3"/>
        <v>125.73203991130821</v>
      </c>
      <c r="M18" s="192"/>
      <c r="N18" s="192"/>
      <c r="O18" s="57" t="s">
        <v>2582</v>
      </c>
      <c r="P18" s="57" t="s">
        <v>2583</v>
      </c>
    </row>
    <row r="19" spans="1:16" ht="13.5" customHeight="1" x14ac:dyDescent="0.25">
      <c r="A19" s="31">
        <f t="shared" si="0"/>
        <v>44306.767361111117</v>
      </c>
      <c r="B19" s="37">
        <f t="shared" si="1"/>
        <v>44306.767361111117</v>
      </c>
      <c r="C19" s="59">
        <v>2.0833333333333332E-2</v>
      </c>
      <c r="D19" s="327"/>
      <c r="E19" s="56">
        <f t="shared" si="2"/>
        <v>44306.788194444453</v>
      </c>
      <c r="F19" s="54" t="s">
        <v>510</v>
      </c>
      <c r="G19" s="190"/>
      <c r="H19" s="190"/>
      <c r="I19" s="191"/>
      <c r="J19" s="191"/>
      <c r="K19" s="191">
        <v>51.172853535353532</v>
      </c>
      <c r="L19" s="191">
        <f t="shared" si="3"/>
        <v>51.172853535353532</v>
      </c>
      <c r="O19" s="202" t="s">
        <v>2584</v>
      </c>
      <c r="P19" s="57" t="s">
        <v>2585</v>
      </c>
    </row>
    <row r="20" spans="1:16" ht="13.5" customHeight="1" x14ac:dyDescent="0.25">
      <c r="A20" s="31">
        <f t="shared" si="0"/>
        <v>44306.788194444453</v>
      </c>
      <c r="B20" s="37">
        <f t="shared" si="1"/>
        <v>44306.788194444453</v>
      </c>
      <c r="C20" s="55">
        <v>2.0833333333333332E-2</v>
      </c>
      <c r="D20" s="327"/>
      <c r="E20" s="56">
        <f t="shared" si="2"/>
        <v>44306.809027777788</v>
      </c>
      <c r="F20" s="54" t="s">
        <v>511</v>
      </c>
      <c r="G20" s="193"/>
      <c r="H20" s="193"/>
      <c r="I20" s="194"/>
      <c r="J20" s="194"/>
      <c r="K20" s="194">
        <v>624.67200000000003</v>
      </c>
      <c r="L20" s="191">
        <f t="shared" si="3"/>
        <v>624.67200000000003</v>
      </c>
      <c r="O20" s="57" t="s">
        <v>2586</v>
      </c>
      <c r="P20" s="57" t="s">
        <v>2587</v>
      </c>
    </row>
    <row r="21" spans="1:16" ht="13.5" customHeight="1" x14ac:dyDescent="0.25">
      <c r="A21" s="31">
        <f t="shared" si="0"/>
        <v>44306.809027777788</v>
      </c>
      <c r="B21" s="37">
        <f t="shared" si="1"/>
        <v>44306.809027777788</v>
      </c>
      <c r="C21" s="55">
        <v>0.33333333333333331</v>
      </c>
      <c r="D21" s="327"/>
      <c r="E21" s="56">
        <f t="shared" si="2"/>
        <v>44307.142361111124</v>
      </c>
      <c r="F21" s="54" t="s">
        <v>2588</v>
      </c>
      <c r="G21" s="190"/>
      <c r="H21" s="190"/>
      <c r="I21" s="191"/>
      <c r="J21" s="191"/>
      <c r="K21" s="191">
        <v>550</v>
      </c>
      <c r="L21" s="191">
        <f t="shared" si="3"/>
        <v>550</v>
      </c>
      <c r="O21" s="57" t="s">
        <v>2589</v>
      </c>
      <c r="P21" s="57" t="s">
        <v>2590</v>
      </c>
    </row>
    <row r="22" spans="1:16" ht="13.5" customHeight="1" x14ac:dyDescent="0.25">
      <c r="A22" s="31">
        <f t="shared" si="0"/>
        <v>44307.142361111124</v>
      </c>
      <c r="B22" s="37">
        <f t="shared" si="1"/>
        <v>44307.142361111124</v>
      </c>
      <c r="C22" s="55">
        <v>0.33333333333333331</v>
      </c>
      <c r="D22" s="327"/>
      <c r="E22" s="56">
        <f t="shared" si="2"/>
        <v>44307.47569444446</v>
      </c>
      <c r="F22" s="54" t="s">
        <v>2591</v>
      </c>
      <c r="G22" s="190"/>
      <c r="H22" s="190"/>
      <c r="I22" s="191"/>
      <c r="J22" s="191"/>
      <c r="K22" s="191">
        <v>370</v>
      </c>
      <c r="L22" s="191">
        <f t="shared" si="3"/>
        <v>370</v>
      </c>
      <c r="O22" s="57" t="s">
        <v>589</v>
      </c>
      <c r="P22" s="57" t="s">
        <v>2592</v>
      </c>
    </row>
    <row r="23" spans="1:16" ht="13.5" customHeight="1" x14ac:dyDescent="0.25">
      <c r="A23" s="31">
        <f t="shared" si="0"/>
        <v>44307.47569444446</v>
      </c>
      <c r="B23" s="37">
        <f t="shared" si="1"/>
        <v>44307.47569444446</v>
      </c>
      <c r="C23" s="55">
        <v>0.3125</v>
      </c>
      <c r="D23" s="327"/>
      <c r="E23" s="56">
        <f t="shared" si="2"/>
        <v>44307.78819444446</v>
      </c>
      <c r="F23" s="54" t="s">
        <v>2593</v>
      </c>
      <c r="G23" s="190"/>
      <c r="H23" s="190"/>
      <c r="I23" s="191"/>
      <c r="J23" s="191"/>
      <c r="K23" s="191">
        <v>370</v>
      </c>
      <c r="L23" s="191">
        <f t="shared" si="3"/>
        <v>370</v>
      </c>
      <c r="M23" s="195" t="s">
        <v>2594</v>
      </c>
      <c r="N23" s="195">
        <f>SUM(K23:K37)</f>
        <v>1286.9770000000001</v>
      </c>
      <c r="O23" s="57" t="s">
        <v>2595</v>
      </c>
      <c r="P23" s="57" t="s">
        <v>2596</v>
      </c>
    </row>
    <row r="24" spans="1:16" ht="13.5" customHeight="1" x14ac:dyDescent="0.25">
      <c r="A24" s="31">
        <f t="shared" si="0"/>
        <v>44307.78819444446</v>
      </c>
      <c r="B24" s="37">
        <f t="shared" si="1"/>
        <v>44307.78819444446</v>
      </c>
      <c r="C24" s="55">
        <v>6.25E-2</v>
      </c>
      <c r="D24" s="327"/>
      <c r="E24" s="56">
        <f t="shared" si="2"/>
        <v>44307.85069444446</v>
      </c>
      <c r="F24" s="54" t="s">
        <v>515</v>
      </c>
      <c r="G24" s="190"/>
      <c r="H24" s="190"/>
      <c r="I24" s="191"/>
      <c r="J24" s="191"/>
      <c r="K24" s="191">
        <v>816.77700000000004</v>
      </c>
      <c r="L24" s="191">
        <f t="shared" si="3"/>
        <v>816.77700000000004</v>
      </c>
      <c r="M24" s="195" t="s">
        <v>2577</v>
      </c>
      <c r="N24" s="195">
        <f>SUM(L23:L37)</f>
        <v>1286.9770000000001</v>
      </c>
      <c r="O24" s="57" t="s">
        <v>2597</v>
      </c>
      <c r="P24" s="57" t="s">
        <v>2598</v>
      </c>
    </row>
    <row r="25" spans="1:16" ht="13.5" customHeight="1" x14ac:dyDescent="0.25">
      <c r="A25" s="31">
        <f t="shared" si="0"/>
        <v>44307.85069444446</v>
      </c>
      <c r="B25" s="37">
        <f t="shared" si="1"/>
        <v>44307.85069444446</v>
      </c>
      <c r="C25" s="733">
        <v>0.125</v>
      </c>
      <c r="D25" s="327"/>
      <c r="E25" s="56">
        <f t="shared" si="2"/>
        <v>44307.97569444446</v>
      </c>
      <c r="F25" s="54" t="s">
        <v>516</v>
      </c>
      <c r="G25" s="190"/>
      <c r="H25" s="190"/>
      <c r="I25" s="191"/>
      <c r="J25" s="191"/>
      <c r="K25" s="191"/>
      <c r="L25" s="191"/>
      <c r="M25" s="192"/>
      <c r="N25" s="192"/>
      <c r="O25" s="58" t="s">
        <v>2599</v>
      </c>
      <c r="P25" s="58" t="s">
        <v>2600</v>
      </c>
    </row>
    <row r="26" spans="1:16" ht="13.5" customHeight="1" x14ac:dyDescent="0.25">
      <c r="A26" s="31">
        <f t="shared" si="0"/>
        <v>44307.97569444446</v>
      </c>
      <c r="B26" s="37">
        <f t="shared" si="1"/>
        <v>44307.97569444446</v>
      </c>
      <c r="C26" s="55">
        <v>8.3333333333333329E-2</v>
      </c>
      <c r="D26" s="327"/>
      <c r="E26" s="56">
        <f t="shared" si="2"/>
        <v>44308.059027777796</v>
      </c>
      <c r="F26" s="54" t="s">
        <v>517</v>
      </c>
      <c r="G26" s="190"/>
      <c r="H26" s="190"/>
      <c r="I26" s="191"/>
      <c r="J26" s="191"/>
      <c r="K26" s="191"/>
      <c r="L26" s="191"/>
      <c r="M26" s="192"/>
      <c r="N26" s="192"/>
      <c r="O26" s="57" t="s">
        <v>2601</v>
      </c>
      <c r="P26" s="57" t="s">
        <v>2602</v>
      </c>
    </row>
    <row r="27" spans="1:16" ht="13.5" customHeight="1" x14ac:dyDescent="0.25">
      <c r="A27" s="31">
        <f t="shared" si="0"/>
        <v>44308.059027777796</v>
      </c>
      <c r="B27" s="37">
        <f t="shared" si="1"/>
        <v>44308.059027777796</v>
      </c>
      <c r="C27" s="55">
        <v>2.0833333333333332E-2</v>
      </c>
      <c r="D27" s="327"/>
      <c r="E27" s="56">
        <f t="shared" si="2"/>
        <v>44308.079861111131</v>
      </c>
      <c r="F27" s="657" t="s">
        <v>2603</v>
      </c>
      <c r="G27" s="190"/>
      <c r="H27" s="190"/>
      <c r="I27" s="191"/>
      <c r="J27" s="191"/>
      <c r="K27" s="191">
        <v>100.2</v>
      </c>
      <c r="L27" s="191">
        <f t="shared" si="3"/>
        <v>100.2</v>
      </c>
      <c r="M27" s="192"/>
      <c r="N27" s="192"/>
      <c r="O27" s="57"/>
      <c r="P27" s="57"/>
    </row>
    <row r="28" spans="1:16" ht="13.5" customHeight="1" x14ac:dyDescent="0.25">
      <c r="A28" s="31">
        <f t="shared" si="0"/>
        <v>44308.079861111131</v>
      </c>
      <c r="B28" s="37">
        <f t="shared" si="1"/>
        <v>44308.079861111131</v>
      </c>
      <c r="C28" s="55">
        <v>0.125</v>
      </c>
      <c r="D28" s="327"/>
      <c r="E28" s="56">
        <f t="shared" si="2"/>
        <v>44308.204861111131</v>
      </c>
      <c r="F28" s="657" t="s">
        <v>2604</v>
      </c>
      <c r="G28" s="190"/>
      <c r="H28" s="190"/>
      <c r="I28" s="191"/>
      <c r="J28" s="191"/>
      <c r="K28" s="191"/>
      <c r="L28" s="191"/>
      <c r="M28" s="192"/>
      <c r="N28" s="192"/>
      <c r="O28" s="57"/>
      <c r="P28" s="57"/>
    </row>
    <row r="29" spans="1:16" ht="13.5" customHeight="1" x14ac:dyDescent="0.25">
      <c r="A29" s="31">
        <f t="shared" si="0"/>
        <v>44308.204861111131</v>
      </c>
      <c r="B29" s="37">
        <f t="shared" si="1"/>
        <v>44308.204861111131</v>
      </c>
      <c r="C29" s="55">
        <v>0.125</v>
      </c>
      <c r="D29" s="327"/>
      <c r="E29" s="56">
        <f t="shared" si="2"/>
        <v>44308.329861111131</v>
      </c>
      <c r="F29" s="657" t="s">
        <v>2605</v>
      </c>
      <c r="G29" s="190"/>
      <c r="H29" s="190"/>
      <c r="I29" s="191"/>
      <c r="J29" s="191"/>
      <c r="K29" s="191"/>
      <c r="L29" s="191"/>
      <c r="M29" s="192"/>
      <c r="N29" s="192"/>
      <c r="O29" s="57"/>
      <c r="P29" s="57"/>
    </row>
    <row r="30" spans="1:16" ht="13.5" customHeight="1" x14ac:dyDescent="0.25">
      <c r="A30" s="31">
        <f t="shared" si="0"/>
        <v>44308.329861111131</v>
      </c>
      <c r="B30" s="37">
        <f t="shared" si="1"/>
        <v>44308.329861111131</v>
      </c>
      <c r="C30" s="55">
        <v>0.125</v>
      </c>
      <c r="D30" s="327"/>
      <c r="E30" s="56">
        <f t="shared" si="2"/>
        <v>44308.454861111131</v>
      </c>
      <c r="F30" s="657" t="s">
        <v>2606</v>
      </c>
      <c r="G30" s="190"/>
      <c r="H30" s="190"/>
      <c r="I30" s="191"/>
      <c r="J30" s="191"/>
      <c r="K30" s="191"/>
      <c r="L30" s="191"/>
      <c r="M30" s="192"/>
      <c r="N30" s="192"/>
      <c r="O30" s="57"/>
      <c r="P30" s="57"/>
    </row>
    <row r="31" spans="1:16" ht="13.5" customHeight="1" x14ac:dyDescent="0.25">
      <c r="A31" s="31">
        <f t="shared" si="0"/>
        <v>44308.454861111131</v>
      </c>
      <c r="B31" s="37">
        <f t="shared" si="1"/>
        <v>44308.454861111131</v>
      </c>
      <c r="C31" s="55">
        <v>0.125</v>
      </c>
      <c r="D31" s="327"/>
      <c r="E31" s="56">
        <f t="shared" si="2"/>
        <v>44308.579861111131</v>
      </c>
      <c r="F31" s="657" t="s">
        <v>2607</v>
      </c>
      <c r="G31" s="190"/>
      <c r="H31" s="190"/>
      <c r="I31" s="191"/>
      <c r="J31" s="191"/>
      <c r="K31" s="191"/>
      <c r="L31" s="191"/>
      <c r="M31" s="192"/>
      <c r="N31" s="192"/>
      <c r="O31" s="57"/>
      <c r="P31" s="57"/>
    </row>
    <row r="32" spans="1:16" ht="13.5" customHeight="1" x14ac:dyDescent="0.25">
      <c r="A32" s="31">
        <f t="shared" si="0"/>
        <v>44308.579861111131</v>
      </c>
      <c r="B32" s="37">
        <f t="shared" si="1"/>
        <v>44308.579861111131</v>
      </c>
      <c r="C32" s="55">
        <v>1.0416666666666666E-2</v>
      </c>
      <c r="D32" s="327"/>
      <c r="E32" s="56">
        <f t="shared" si="2"/>
        <v>44308.590277777796</v>
      </c>
      <c r="F32" s="657" t="s">
        <v>2608</v>
      </c>
      <c r="G32" s="190"/>
      <c r="H32" s="190"/>
      <c r="I32" s="191"/>
      <c r="J32" s="191"/>
      <c r="K32" s="191"/>
      <c r="L32" s="191"/>
      <c r="M32" s="192"/>
      <c r="N32" s="192"/>
      <c r="O32" s="57"/>
      <c r="P32" s="57"/>
    </row>
    <row r="33" spans="1:16" ht="13.5" customHeight="1" x14ac:dyDescent="0.25">
      <c r="A33" s="31">
        <f t="shared" si="0"/>
        <v>44308.590277777796</v>
      </c>
      <c r="B33" s="37">
        <f t="shared" si="1"/>
        <v>44308.590277777796</v>
      </c>
      <c r="C33" s="55">
        <v>0</v>
      </c>
      <c r="D33" s="327"/>
      <c r="E33" s="56">
        <f t="shared" si="2"/>
        <v>44308.590277777796</v>
      </c>
      <c r="F33" s="658" t="s">
        <v>2609</v>
      </c>
      <c r="G33" s="190"/>
      <c r="H33" s="190"/>
      <c r="I33" s="191"/>
      <c r="J33" s="191"/>
      <c r="K33" s="191"/>
      <c r="L33" s="191"/>
      <c r="M33" s="192"/>
      <c r="N33" s="192"/>
      <c r="O33" s="57"/>
      <c r="P33" s="57"/>
    </row>
    <row r="34" spans="1:16" ht="13.5" customHeight="1" x14ac:dyDescent="0.25">
      <c r="A34" s="31">
        <f t="shared" si="0"/>
        <v>44308.590277777796</v>
      </c>
      <c r="B34" s="37">
        <f t="shared" si="1"/>
        <v>44308.590277777796</v>
      </c>
      <c r="C34" s="55">
        <v>6.25E-2</v>
      </c>
      <c r="D34" s="327"/>
      <c r="E34" s="56">
        <f t="shared" si="2"/>
        <v>44308.652777777796</v>
      </c>
      <c r="F34" s="657" t="s">
        <v>2610</v>
      </c>
      <c r="G34" s="190"/>
      <c r="H34" s="190"/>
      <c r="I34" s="191"/>
      <c r="J34" s="191"/>
      <c r="K34" s="191"/>
      <c r="L34" s="191"/>
      <c r="M34" s="192"/>
      <c r="N34" s="192"/>
      <c r="O34" s="57"/>
      <c r="P34" s="57"/>
    </row>
    <row r="35" spans="1:16" ht="13.5" customHeight="1" x14ac:dyDescent="0.25">
      <c r="A35" s="31">
        <f t="shared" si="0"/>
        <v>44308.652777777796</v>
      </c>
      <c r="B35" s="37">
        <f t="shared" si="1"/>
        <v>44308.652777777796</v>
      </c>
      <c r="C35" s="55">
        <v>2.0833333333333332E-2</v>
      </c>
      <c r="D35" s="327"/>
      <c r="E35" s="56">
        <f t="shared" si="2"/>
        <v>44308.673611111131</v>
      </c>
      <c r="F35" s="659" t="s">
        <v>2611</v>
      </c>
      <c r="G35" s="190"/>
      <c r="H35" s="190"/>
      <c r="I35" s="191"/>
      <c r="J35" s="191"/>
      <c r="K35" s="191"/>
      <c r="L35" s="191"/>
      <c r="M35" s="192"/>
      <c r="N35" s="192"/>
      <c r="O35" s="57"/>
      <c r="P35" s="57"/>
    </row>
    <row r="36" spans="1:16" ht="13.5" customHeight="1" x14ac:dyDescent="0.25">
      <c r="A36" s="31">
        <f>IF(D35 = "",A35+C35,A35+D35)</f>
        <v>44308.673611111131</v>
      </c>
      <c r="B36" s="37">
        <f>IF(D35 = "",B35+C35,B35+D35)</f>
        <v>44308.673611111131</v>
      </c>
      <c r="C36" s="55">
        <v>2.0833333333333332E-2</v>
      </c>
      <c r="D36" s="327"/>
      <c r="E36" s="56">
        <f t="shared" si="2"/>
        <v>44308.694444444467</v>
      </c>
      <c r="F36" s="659" t="s">
        <v>2612</v>
      </c>
      <c r="G36" s="190"/>
      <c r="H36" s="190"/>
      <c r="I36" s="191"/>
      <c r="J36" s="191"/>
      <c r="K36" s="191"/>
      <c r="L36" s="191"/>
      <c r="M36" s="192"/>
      <c r="N36" s="192"/>
      <c r="O36" s="57"/>
      <c r="P36" s="57"/>
    </row>
    <row r="37" spans="1:16" x14ac:dyDescent="0.25">
      <c r="A37" s="189" t="s">
        <v>640</v>
      </c>
      <c r="B37" s="189"/>
      <c r="C37" s="189"/>
      <c r="D37" s="189"/>
      <c r="E37" s="189"/>
      <c r="F37" s="189"/>
      <c r="G37" s="197"/>
      <c r="H37" s="197"/>
      <c r="I37" s="197"/>
      <c r="J37" s="197"/>
      <c r="K37" s="197"/>
      <c r="L37" s="197"/>
    </row>
    <row r="38" spans="1:16" ht="13.5" customHeight="1" x14ac:dyDescent="0.35">
      <c r="A38" s="660">
        <f>IF(D36 = "",A36+C36,A36+D36)</f>
        <v>44308.694444444467</v>
      </c>
      <c r="B38" s="37">
        <f>IF(D36 = "",B36+C36,B36+D36)</f>
        <v>44308.694444444467</v>
      </c>
      <c r="C38" s="55">
        <v>0</v>
      </c>
      <c r="D38" s="327"/>
      <c r="E38" s="56">
        <f>B38+C38</f>
        <v>44308.694444444467</v>
      </c>
      <c r="F38" s="659" t="s">
        <v>2611</v>
      </c>
      <c r="G38" s="191"/>
      <c r="H38" s="191"/>
      <c r="I38" s="191"/>
      <c r="J38" s="191"/>
      <c r="K38" s="191"/>
      <c r="L38" s="191"/>
      <c r="M38" s="192"/>
      <c r="N38" s="192"/>
      <c r="O38" s="661"/>
      <c r="P38" s="661"/>
    </row>
    <row r="39" spans="1:16" ht="13.5" customHeight="1" x14ac:dyDescent="0.35">
      <c r="A39" s="660">
        <f>IF(D38 = "",A38+C38,A38+D38)</f>
        <v>44308.694444444467</v>
      </c>
      <c r="B39" s="37">
        <f>IF(D38 = "",B38+C38,B38+D38)</f>
        <v>44308.694444444467</v>
      </c>
      <c r="C39" s="55">
        <v>0</v>
      </c>
      <c r="D39" s="327"/>
      <c r="E39" s="56">
        <f t="shared" ref="E39:E52" si="4">B39+C39</f>
        <v>44308.694444444467</v>
      </c>
      <c r="F39" s="659" t="s">
        <v>2612</v>
      </c>
      <c r="G39" s="191"/>
      <c r="H39" s="191"/>
      <c r="I39" s="191"/>
      <c r="J39" s="191"/>
      <c r="K39" s="191"/>
      <c r="L39" s="191"/>
      <c r="O39" s="661"/>
      <c r="P39" s="661"/>
    </row>
    <row r="40" spans="1:16" ht="13.5" customHeight="1" x14ac:dyDescent="0.35">
      <c r="A40" s="660">
        <f t="shared" ref="A40:A51" si="5">IF(D39 = "",A39+C39,A39+D39)</f>
        <v>44308.694444444467</v>
      </c>
      <c r="B40" s="37">
        <f t="shared" ref="B40:B51" si="6">IF(D39 = "",B39+C39,B39+D39)</f>
        <v>44308.694444444467</v>
      </c>
      <c r="C40" s="55">
        <v>4.8611111111111112E-2</v>
      </c>
      <c r="D40" s="327"/>
      <c r="E40" s="56">
        <f t="shared" si="4"/>
        <v>44308.743055555577</v>
      </c>
      <c r="F40" s="54" t="s">
        <v>523</v>
      </c>
      <c r="G40" s="190"/>
      <c r="H40" s="190"/>
      <c r="I40" s="191"/>
      <c r="J40" s="191"/>
      <c r="K40" s="191">
        <v>1621.69</v>
      </c>
      <c r="L40" s="191">
        <f t="shared" ref="L40:L50" si="7">SUM(I40:K40)</f>
        <v>1621.69</v>
      </c>
      <c r="M40" s="195" t="s">
        <v>2613</v>
      </c>
      <c r="N40" s="195">
        <f>SUM(K40:K51)</f>
        <v>2976.5854166666668</v>
      </c>
      <c r="O40" s="662" t="s">
        <v>592</v>
      </c>
      <c r="P40" s="662" t="s">
        <v>2614</v>
      </c>
    </row>
    <row r="41" spans="1:16" ht="13.5" customHeight="1" x14ac:dyDescent="0.35">
      <c r="A41" s="660">
        <f t="shared" si="5"/>
        <v>44308.743055555577</v>
      </c>
      <c r="B41" s="37">
        <f t="shared" si="6"/>
        <v>44308.743055555577</v>
      </c>
      <c r="C41" s="55">
        <v>0.14583333333333334</v>
      </c>
      <c r="D41" s="327"/>
      <c r="E41" s="56">
        <f t="shared" si="4"/>
        <v>44308.888888888912</v>
      </c>
      <c r="F41" s="663" t="s">
        <v>2615</v>
      </c>
      <c r="G41" s="190"/>
      <c r="H41" s="190"/>
      <c r="I41" s="191"/>
      <c r="J41" s="191"/>
      <c r="K41" s="191">
        <v>260</v>
      </c>
      <c r="L41" s="191">
        <f t="shared" si="7"/>
        <v>260</v>
      </c>
      <c r="M41" s="195" t="s">
        <v>2577</v>
      </c>
      <c r="N41" s="195">
        <f>SUM(L40:L51)</f>
        <v>2976.5854166666668</v>
      </c>
      <c r="O41" s="662" t="s">
        <v>593</v>
      </c>
      <c r="P41" s="662" t="s">
        <v>2616</v>
      </c>
    </row>
    <row r="42" spans="1:16" ht="13.5" customHeight="1" x14ac:dyDescent="0.35">
      <c r="A42" s="660">
        <f t="shared" si="5"/>
        <v>44308.888888888912</v>
      </c>
      <c r="B42" s="37">
        <f t="shared" si="6"/>
        <v>44308.888888888912</v>
      </c>
      <c r="C42" s="55">
        <v>0.14583333333333334</v>
      </c>
      <c r="D42" s="327"/>
      <c r="E42" s="56">
        <f t="shared" si="4"/>
        <v>44309.034722222248</v>
      </c>
      <c r="F42" s="663" t="s">
        <v>2617</v>
      </c>
      <c r="G42" s="190"/>
      <c r="H42" s="190"/>
      <c r="I42" s="191"/>
      <c r="J42" s="191"/>
      <c r="K42" s="191">
        <v>260</v>
      </c>
      <c r="L42" s="191">
        <f t="shared" si="7"/>
        <v>260</v>
      </c>
      <c r="M42" s="192"/>
      <c r="N42" s="192"/>
      <c r="O42" s="662" t="s">
        <v>594</v>
      </c>
      <c r="P42" s="662" t="s">
        <v>2618</v>
      </c>
    </row>
    <row r="43" spans="1:16" ht="13.5" customHeight="1" x14ac:dyDescent="0.35">
      <c r="A43" s="660">
        <f t="shared" si="5"/>
        <v>44309.034722222248</v>
      </c>
      <c r="B43" s="37">
        <f t="shared" si="6"/>
        <v>44309.034722222248</v>
      </c>
      <c r="C43" s="55">
        <v>0.14583333333333334</v>
      </c>
      <c r="D43" s="327"/>
      <c r="E43" s="56">
        <f t="shared" si="4"/>
        <v>44309.180555555584</v>
      </c>
      <c r="F43" s="663" t="s">
        <v>2619</v>
      </c>
      <c r="G43" s="190"/>
      <c r="H43" s="190"/>
      <c r="I43" s="191"/>
      <c r="J43" s="191"/>
      <c r="K43" s="191">
        <v>260</v>
      </c>
      <c r="L43" s="191">
        <f t="shared" si="7"/>
        <v>260</v>
      </c>
      <c r="M43" s="192"/>
      <c r="N43" s="192"/>
      <c r="O43" s="662"/>
      <c r="P43" s="662"/>
    </row>
    <row r="44" spans="1:16" ht="13.5" customHeight="1" x14ac:dyDescent="0.35">
      <c r="A44" s="660">
        <f t="shared" si="5"/>
        <v>44309.180555555584</v>
      </c>
      <c r="B44" s="37">
        <f t="shared" si="6"/>
        <v>44309.180555555584</v>
      </c>
      <c r="C44" s="55">
        <v>0.125</v>
      </c>
      <c r="D44" s="327"/>
      <c r="E44" s="56">
        <f t="shared" si="4"/>
        <v>44309.305555555584</v>
      </c>
      <c r="F44" s="54" t="s">
        <v>516</v>
      </c>
      <c r="G44" s="190"/>
      <c r="H44" s="190"/>
      <c r="I44" s="191"/>
      <c r="J44" s="191"/>
      <c r="K44" s="191"/>
      <c r="L44" s="191"/>
      <c r="M44" s="192"/>
      <c r="N44" s="192"/>
      <c r="O44" s="662" t="s">
        <v>595</v>
      </c>
      <c r="P44" s="662" t="s">
        <v>2620</v>
      </c>
    </row>
    <row r="45" spans="1:16" ht="13.5" customHeight="1" x14ac:dyDescent="0.35">
      <c r="A45" s="660">
        <f t="shared" si="5"/>
        <v>44309.305555555584</v>
      </c>
      <c r="B45" s="37">
        <f t="shared" si="6"/>
        <v>44309.305555555584</v>
      </c>
      <c r="C45" s="55">
        <v>0.10416666666666667</v>
      </c>
      <c r="D45" s="327"/>
      <c r="E45" s="56">
        <f t="shared" si="4"/>
        <v>44309.409722222248</v>
      </c>
      <c r="F45" s="54" t="s">
        <v>527</v>
      </c>
      <c r="G45" s="190"/>
      <c r="H45" s="190"/>
      <c r="I45" s="191"/>
      <c r="J45" s="191"/>
      <c r="K45" s="191"/>
      <c r="L45" s="191"/>
      <c r="M45" s="192"/>
      <c r="N45" s="192"/>
      <c r="O45" s="662" t="s">
        <v>2621</v>
      </c>
      <c r="P45" s="662" t="s">
        <v>2622</v>
      </c>
    </row>
    <row r="46" spans="1:16" ht="13.5" customHeight="1" x14ac:dyDescent="0.35">
      <c r="A46" s="660">
        <f t="shared" si="5"/>
        <v>44309.409722222248</v>
      </c>
      <c r="B46" s="37">
        <f t="shared" si="6"/>
        <v>44309.409722222248</v>
      </c>
      <c r="C46" s="55">
        <v>3.125E-2</v>
      </c>
      <c r="D46" s="327"/>
      <c r="E46" s="56">
        <f t="shared" si="4"/>
        <v>44309.440972222248</v>
      </c>
      <c r="F46" s="54" t="s">
        <v>528</v>
      </c>
      <c r="G46" s="190"/>
      <c r="H46" s="190"/>
      <c r="I46" s="191"/>
      <c r="J46" s="191"/>
      <c r="K46" s="191">
        <v>537.97472222222211</v>
      </c>
      <c r="L46" s="191">
        <f t="shared" si="7"/>
        <v>537.97472222222211</v>
      </c>
      <c r="M46" s="192"/>
      <c r="N46" s="192"/>
      <c r="O46" s="662" t="s">
        <v>589</v>
      </c>
      <c r="P46" s="662" t="s">
        <v>2623</v>
      </c>
    </row>
    <row r="47" spans="1:16" ht="13.5" customHeight="1" x14ac:dyDescent="0.35">
      <c r="A47" s="660">
        <f t="shared" si="5"/>
        <v>44309.440972222248</v>
      </c>
      <c r="B47" s="37">
        <f t="shared" si="6"/>
        <v>44309.440972222248</v>
      </c>
      <c r="C47" s="55">
        <v>0.10416666666666667</v>
      </c>
      <c r="D47" s="327"/>
      <c r="E47" s="56">
        <f t="shared" si="4"/>
        <v>44309.545138888912</v>
      </c>
      <c r="F47" s="54" t="s">
        <v>516</v>
      </c>
      <c r="G47" s="190"/>
      <c r="H47" s="190"/>
      <c r="I47" s="191"/>
      <c r="J47" s="191"/>
      <c r="K47" s="191"/>
      <c r="L47" s="191"/>
      <c r="O47" s="662" t="s">
        <v>597</v>
      </c>
      <c r="P47" s="662" t="s">
        <v>2624</v>
      </c>
    </row>
    <row r="48" spans="1:16" ht="13.5" hidden="1" customHeight="1" x14ac:dyDescent="0.35">
      <c r="A48" s="665">
        <f t="shared" si="5"/>
        <v>44309.545138888912</v>
      </c>
      <c r="B48" s="564">
        <f t="shared" si="6"/>
        <v>44309.545138888912</v>
      </c>
      <c r="C48" s="664">
        <v>0</v>
      </c>
      <c r="D48" s="562"/>
      <c r="E48" s="666">
        <f t="shared" si="4"/>
        <v>44309.545138888912</v>
      </c>
      <c r="F48" s="667" t="s">
        <v>693</v>
      </c>
      <c r="G48" s="668"/>
      <c r="H48" s="668"/>
      <c r="I48" s="669"/>
      <c r="J48" s="669"/>
      <c r="K48" s="669"/>
      <c r="L48" s="669"/>
      <c r="O48" s="662"/>
      <c r="P48" s="662"/>
    </row>
    <row r="49" spans="1:16" ht="13.5" customHeight="1" x14ac:dyDescent="0.35">
      <c r="A49" s="660">
        <f t="shared" si="5"/>
        <v>44309.545138888912</v>
      </c>
      <c r="B49" s="37">
        <f t="shared" si="6"/>
        <v>44309.545138888912</v>
      </c>
      <c r="C49" s="55">
        <v>4.1666666666666664E-2</v>
      </c>
      <c r="D49" s="327"/>
      <c r="E49" s="56">
        <f t="shared" si="4"/>
        <v>44309.586805555577</v>
      </c>
      <c r="F49" s="54" t="s">
        <v>529</v>
      </c>
      <c r="G49" s="190"/>
      <c r="H49" s="190"/>
      <c r="I49" s="191"/>
      <c r="J49" s="191"/>
      <c r="K49" s="191"/>
      <c r="L49" s="191"/>
      <c r="O49" s="662" t="s">
        <v>593</v>
      </c>
      <c r="P49" s="662" t="s">
        <v>2625</v>
      </c>
    </row>
    <row r="50" spans="1:16" ht="13.5" customHeight="1" x14ac:dyDescent="0.35">
      <c r="A50" s="660">
        <f>IF(D49 = "",A49+C49,A49+D49)</f>
        <v>44309.586805555577</v>
      </c>
      <c r="B50" s="37">
        <f>IF(D49 = "",B49+C49,B49+D49)</f>
        <v>44309.586805555577</v>
      </c>
      <c r="C50" s="55">
        <v>2.0833333333333332E-2</v>
      </c>
      <c r="D50" s="327"/>
      <c r="E50" s="56">
        <f t="shared" si="4"/>
        <v>44309.607638888912</v>
      </c>
      <c r="F50" s="54" t="s">
        <v>530</v>
      </c>
      <c r="G50" s="190"/>
      <c r="H50" s="190"/>
      <c r="I50" s="191"/>
      <c r="J50" s="191"/>
      <c r="K50" s="191">
        <v>36.920694444444443</v>
      </c>
      <c r="L50" s="191">
        <f t="shared" si="7"/>
        <v>36.920694444444443</v>
      </c>
      <c r="M50" s="195" t="s">
        <v>2626</v>
      </c>
      <c r="N50" s="195">
        <f>SUM(K50:K54)</f>
        <v>36.920694444444443</v>
      </c>
      <c r="O50" s="662"/>
      <c r="P50" s="662"/>
    </row>
    <row r="51" spans="1:16" ht="13.5" customHeight="1" x14ac:dyDescent="0.35">
      <c r="A51" s="660">
        <f t="shared" si="5"/>
        <v>44309.607638888912</v>
      </c>
      <c r="B51" s="37">
        <f t="shared" si="6"/>
        <v>44309.607638888912</v>
      </c>
      <c r="C51" s="55">
        <v>0</v>
      </c>
      <c r="D51" s="327"/>
      <c r="E51" s="56">
        <f t="shared" si="4"/>
        <v>44309.607638888912</v>
      </c>
      <c r="F51" s="682" t="s">
        <v>2627</v>
      </c>
      <c r="G51" s="190"/>
      <c r="H51" s="190"/>
      <c r="I51" s="191"/>
      <c r="J51" s="191"/>
      <c r="K51" s="191"/>
      <c r="L51" s="191"/>
      <c r="M51" s="201" t="s">
        <v>2577</v>
      </c>
      <c r="N51" s="201">
        <f>SUM(L50:L54)</f>
        <v>36.920694444444443</v>
      </c>
      <c r="O51" s="662" t="s">
        <v>589</v>
      </c>
      <c r="P51" s="662" t="s">
        <v>2628</v>
      </c>
    </row>
    <row r="52" spans="1:16" ht="13.5" customHeight="1" x14ac:dyDescent="0.35">
      <c r="A52" s="660">
        <f>IF(D51 = "",A51+C51,A51+D51)</f>
        <v>44309.607638888912</v>
      </c>
      <c r="B52" s="37">
        <f>IF(D51 = "",B51+C51,B51+D51)</f>
        <v>44309.607638888912</v>
      </c>
      <c r="C52" s="55">
        <v>0.10416666666666667</v>
      </c>
      <c r="D52" s="327"/>
      <c r="E52" s="56">
        <f t="shared" si="4"/>
        <v>44309.711805555577</v>
      </c>
      <c r="F52" s="54" t="s">
        <v>520</v>
      </c>
      <c r="G52" s="190"/>
      <c r="H52" s="190"/>
      <c r="I52" s="191"/>
      <c r="J52" s="191"/>
      <c r="K52" s="191"/>
      <c r="L52" s="191"/>
      <c r="O52" s="662" t="s">
        <v>590</v>
      </c>
      <c r="P52" s="662" t="s">
        <v>2629</v>
      </c>
    </row>
    <row r="53" spans="1:16" ht="14.5" x14ac:dyDescent="0.25">
      <c r="A53" s="189" t="s">
        <v>2630</v>
      </c>
      <c r="B53" s="189"/>
      <c r="C53" s="189"/>
      <c r="D53" s="189"/>
      <c r="E53" s="189"/>
      <c r="F53" s="189"/>
      <c r="G53" s="197"/>
      <c r="H53" s="197"/>
      <c r="I53" s="197"/>
      <c r="J53" s="197"/>
      <c r="K53" s="197"/>
      <c r="L53" s="197"/>
      <c r="O53" s="200"/>
      <c r="P53" s="200"/>
    </row>
    <row r="54" spans="1:16" ht="13.5" customHeight="1" x14ac:dyDescent="0.25">
      <c r="A54" s="185">
        <v>44309.479166666664</v>
      </c>
      <c r="B54" s="467">
        <f>A54</f>
        <v>44309.479166666664</v>
      </c>
      <c r="C54" s="730">
        <v>6.25E-2</v>
      </c>
      <c r="D54" s="510" t="str">
        <f t="shared" ref="D54" si="8">IF(_xlfn.ISFORMULA(E54)=TRUE,"",E54-B54)</f>
        <v/>
      </c>
      <c r="E54" s="731">
        <f>B54+C54</f>
        <v>44309.541666666664</v>
      </c>
      <c r="F54" s="732" t="s">
        <v>533</v>
      </c>
      <c r="G54" s="171"/>
      <c r="H54" s="171"/>
      <c r="I54" s="171">
        <v>85</v>
      </c>
      <c r="J54" s="171"/>
      <c r="K54" s="171"/>
      <c r="L54" s="171"/>
      <c r="O54" s="177"/>
      <c r="P54" s="176"/>
    </row>
    <row r="55" spans="1:16" ht="21" x14ac:dyDescent="0.55000000000000004">
      <c r="A55" s="53"/>
      <c r="B55" s="52" t="s">
        <v>534</v>
      </c>
      <c r="D55" s="51">
        <f>SUM(D13:D36,D40:D52)</f>
        <v>0</v>
      </c>
      <c r="G55" s="198" t="s">
        <v>535</v>
      </c>
      <c r="H55" s="199">
        <f>SUM(H13:H36,H40:H52)</f>
        <v>65</v>
      </c>
      <c r="I55" s="199">
        <f>SUM(I13:I36,I40:I54)</f>
        <v>242.39168514412415</v>
      </c>
      <c r="J55" s="199">
        <f>SUM(J13:J36,J40:J52)</f>
        <v>33.241492346938777</v>
      </c>
      <c r="K55" s="199">
        <f>SUM(K13:K36,K40:K52)</f>
        <v>5859.4072702020203</v>
      </c>
      <c r="L55" s="199">
        <f>SUM(L13:L36,L40:L52)</f>
        <v>6050.0404476930826</v>
      </c>
    </row>
    <row r="56" spans="1:16" x14ac:dyDescent="0.25">
      <c r="B56" s="50" t="s">
        <v>536</v>
      </c>
      <c r="D56" s="49">
        <f>D55/24</f>
        <v>0</v>
      </c>
      <c r="G56" s="47"/>
      <c r="H56" s="47"/>
      <c r="I56" s="242" t="s">
        <v>537</v>
      </c>
      <c r="J56" s="47"/>
      <c r="K56" s="47"/>
      <c r="L56" s="47"/>
    </row>
    <row r="57" spans="1:16" x14ac:dyDescent="0.25">
      <c r="G57" s="47"/>
      <c r="H57" s="47"/>
      <c r="I57" s="47"/>
      <c r="J57" s="47"/>
      <c r="K57" s="47"/>
      <c r="L57" s="47"/>
    </row>
    <row r="58" spans="1:16" x14ac:dyDescent="0.25">
      <c r="G58" s="47"/>
      <c r="H58" s="47"/>
      <c r="I58" s="47"/>
      <c r="J58" s="47"/>
      <c r="K58" s="47"/>
      <c r="L58" s="47"/>
    </row>
    <row r="59" spans="1:16" x14ac:dyDescent="0.25">
      <c r="G59" s="47"/>
      <c r="H59" s="47"/>
      <c r="I59" s="47"/>
      <c r="J59" s="47"/>
      <c r="K59" s="47"/>
      <c r="L59" s="47"/>
    </row>
    <row r="60" spans="1:16" x14ac:dyDescent="0.25">
      <c r="D60" s="48"/>
      <c r="G60" s="47"/>
      <c r="H60" s="47"/>
      <c r="I60" s="47"/>
      <c r="J60" s="47"/>
      <c r="K60" s="47"/>
      <c r="L60" s="47"/>
    </row>
    <row r="61" spans="1:16" x14ac:dyDescent="0.25">
      <c r="G61" s="47"/>
      <c r="H61" s="47"/>
      <c r="I61" s="47"/>
      <c r="J61" s="47"/>
      <c r="K61" s="47"/>
      <c r="L61" s="47"/>
    </row>
    <row r="62" spans="1:16" x14ac:dyDescent="0.25">
      <c r="G62" s="47"/>
      <c r="H62" s="47"/>
      <c r="I62" s="47"/>
      <c r="J62" s="47"/>
      <c r="K62" s="47"/>
      <c r="L62" s="47"/>
    </row>
    <row r="63" spans="1:16" x14ac:dyDescent="0.25">
      <c r="G63" s="47"/>
      <c r="H63" s="47"/>
      <c r="I63" s="47"/>
      <c r="J63" s="47"/>
      <c r="K63" s="47"/>
      <c r="L63" s="47"/>
    </row>
    <row r="64" spans="1:16" x14ac:dyDescent="0.25">
      <c r="G64" s="47"/>
      <c r="H64" s="47"/>
      <c r="I64" s="47"/>
      <c r="J64" s="47"/>
      <c r="K64" s="47"/>
      <c r="L64" s="47"/>
    </row>
    <row r="65" spans="6:12" x14ac:dyDescent="0.25">
      <c r="G65" s="47"/>
      <c r="H65" s="47"/>
      <c r="I65" s="47"/>
      <c r="J65" s="47"/>
      <c r="K65" s="47"/>
      <c r="L65" s="47"/>
    </row>
    <row r="66" spans="6:12" x14ac:dyDescent="0.25">
      <c r="G66" s="47"/>
      <c r="H66" s="47"/>
      <c r="I66" s="47"/>
      <c r="J66" s="47"/>
      <c r="K66" s="47"/>
      <c r="L66" s="47"/>
    </row>
    <row r="67" spans="6:12" x14ac:dyDescent="0.25">
      <c r="G67" s="47"/>
      <c r="H67" s="47"/>
      <c r="I67" s="47"/>
      <c r="J67" s="47"/>
      <c r="K67" s="47"/>
      <c r="L67" s="47"/>
    </row>
    <row r="68" spans="6:12" x14ac:dyDescent="0.25">
      <c r="G68" s="47"/>
      <c r="H68" s="47"/>
      <c r="I68" s="47"/>
      <c r="J68" s="47"/>
      <c r="K68" s="47"/>
      <c r="L68" s="47"/>
    </row>
    <row r="69" spans="6:12" x14ac:dyDescent="0.25">
      <c r="G69" s="47"/>
      <c r="H69" s="47"/>
      <c r="I69" s="47"/>
      <c r="J69" s="47"/>
      <c r="K69" s="47"/>
      <c r="L69" s="47"/>
    </row>
    <row r="70" spans="6:12" x14ac:dyDescent="0.25">
      <c r="G70" s="47"/>
      <c r="H70" s="47"/>
      <c r="I70" s="47"/>
      <c r="J70" s="47"/>
      <c r="K70" s="47"/>
      <c r="L70" s="47"/>
    </row>
    <row r="71" spans="6:12" x14ac:dyDescent="0.25">
      <c r="G71" s="47"/>
      <c r="H71" s="47"/>
      <c r="I71" s="47"/>
      <c r="J71" s="47"/>
      <c r="K71" s="47"/>
      <c r="L71" s="47"/>
    </row>
    <row r="72" spans="6:12" x14ac:dyDescent="0.25">
      <c r="G72" s="47"/>
      <c r="H72" s="47"/>
      <c r="I72" s="47"/>
      <c r="J72" s="47"/>
      <c r="K72" s="47"/>
      <c r="L72" s="47"/>
    </row>
    <row r="73" spans="6:12" x14ac:dyDescent="0.25">
      <c r="G73" s="47"/>
      <c r="H73" s="47"/>
      <c r="I73" s="47"/>
      <c r="J73" s="47"/>
      <c r="K73" s="47"/>
      <c r="L73" s="47"/>
    </row>
    <row r="74" spans="6:12" x14ac:dyDescent="0.25">
      <c r="G74" s="47"/>
      <c r="H74" s="47"/>
      <c r="I74" s="47"/>
      <c r="J74" s="47"/>
      <c r="K74" s="47"/>
      <c r="L74" s="47"/>
    </row>
    <row r="75" spans="6:12" x14ac:dyDescent="0.25">
      <c r="G75" s="47"/>
      <c r="H75" s="47"/>
      <c r="I75" s="47"/>
      <c r="J75" s="47"/>
      <c r="K75" s="47"/>
      <c r="L75" s="47"/>
    </row>
    <row r="76" spans="6:12" x14ac:dyDescent="0.25">
      <c r="G76" s="47"/>
      <c r="H76" s="47"/>
      <c r="I76" s="47"/>
      <c r="J76" s="47"/>
      <c r="K76" s="47"/>
      <c r="L76" s="47"/>
    </row>
    <row r="77" spans="6:12" x14ac:dyDescent="0.25">
      <c r="F77" s="47"/>
    </row>
    <row r="78" spans="6:12" x14ac:dyDescent="0.25">
      <c r="F78" s="47"/>
    </row>
  </sheetData>
  <mergeCells count="2">
    <mergeCell ref="A1:B1"/>
    <mergeCell ref="A5:D5"/>
  </mergeCells>
  <pageMargins left="0.75" right="0.75" top="1" bottom="1" header="0.5" footer="0.5"/>
  <pageSetup orientation="portrait" r:id="rId1"/>
  <headerFooter alignWithMargins="0">
    <oddFooter>&amp;R&amp;"Arial,Regular"&amp;08&amp;K7F7F7FAmgen Proprietary - Confidential   &amp;C&amp;"Arial,Regular"&amp;08&amp;K7F7F7FAmgen Proprietary - For Internal Use Only</oddFooter>
    <evenFooter>&amp;R&amp;"Arial,Regular"&amp;08&amp;K7F7F7FAmgen Proprietary - Confidential   &amp;C&amp;"Arial,Regular"&amp;08&amp;K7F7F7FAmgen Proprietary - For Internal Use Only</evenFooter>
    <firstFooter>&amp;R&amp;"Arial,Regular"&amp;08&amp;K7F7F7FAmgen Proprietary - Confidential   &amp;C&amp;"Arial,Regular"&amp;08&amp;K7F7F7FAmgen Proprietary - For Internal Use Only</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FF3F7C-638A-4EA0-9CB9-9615E5EE2287}">
  <sheetPr codeName="Sheet78">
    <pageSetUpPr autoPageBreaks="0"/>
  </sheetPr>
  <dimension ref="A1:M55"/>
  <sheetViews>
    <sheetView zoomScale="120" zoomScaleNormal="120" workbookViewId="0">
      <selection activeCell="C22" sqref="C22"/>
    </sheetView>
  </sheetViews>
  <sheetFormatPr defaultColWidth="9.453125" defaultRowHeight="11.5" x14ac:dyDescent="0.25"/>
  <cols>
    <col min="1" max="1" width="25" style="25" bestFit="1" customWidth="1"/>
    <col min="2" max="3" width="23.453125" style="25" customWidth="1"/>
    <col min="4" max="4" width="20.54296875" style="25" hidden="1" customWidth="1"/>
    <col min="5" max="5" width="21.54296875" style="25" customWidth="1"/>
    <col min="6" max="6" width="50.54296875" style="25" customWidth="1"/>
    <col min="7" max="7" width="43.453125" style="25" bestFit="1" customWidth="1"/>
    <col min="8" max="11" width="14.453125" style="25" customWidth="1"/>
    <col min="12" max="16384" width="9.453125" style="25"/>
  </cols>
  <sheetData>
    <row r="1" spans="1:13" ht="12" thickBot="1" x14ac:dyDescent="0.3">
      <c r="A1" s="1053" t="s">
        <v>479</v>
      </c>
      <c r="B1" s="1054"/>
    </row>
    <row r="2" spans="1:13" ht="12" thickBot="1" x14ac:dyDescent="0.3">
      <c r="A2" s="772" t="s">
        <v>480</v>
      </c>
      <c r="B2" s="115">
        <f>A11</f>
        <v>44319.395833333336</v>
      </c>
    </row>
    <row r="3" spans="1:13" x14ac:dyDescent="0.25">
      <c r="A3" s="772" t="s">
        <v>482</v>
      </c>
      <c r="B3" s="454">
        <f>A11</f>
        <v>44319.395833333336</v>
      </c>
    </row>
    <row r="5" spans="1:13" x14ac:dyDescent="0.25">
      <c r="A5" s="1049" t="s">
        <v>484</v>
      </c>
      <c r="B5" s="1050"/>
      <c r="C5" s="1050"/>
      <c r="D5" s="1051"/>
    </row>
    <row r="6" spans="1:13" x14ac:dyDescent="0.25">
      <c r="A6" s="781" t="s">
        <v>485</v>
      </c>
      <c r="B6" s="781" t="s">
        <v>486</v>
      </c>
      <c r="C6" s="781" t="s">
        <v>487</v>
      </c>
      <c r="D6" s="781" t="s">
        <v>488</v>
      </c>
    </row>
    <row r="7" spans="1:13" x14ac:dyDescent="0.25">
      <c r="A7" s="41" t="str">
        <f>F16</f>
        <v>IPC: Reaction Conversion</v>
      </c>
      <c r="B7" s="455">
        <f>INDEX($A$11:$A$62,MATCH(A7,$F$11:$F$59,0))</f>
        <v>44320.375</v>
      </c>
      <c r="C7" s="37">
        <f>INDEX($A$11:$A$62,MATCH(A7,$F$11:$F$59,0))</f>
        <v>44320.375</v>
      </c>
      <c r="D7" s="475"/>
    </row>
    <row r="8" spans="1:13" x14ac:dyDescent="0.25">
      <c r="A8" s="35" t="s">
        <v>2445</v>
      </c>
      <c r="B8" s="455">
        <f>INDEX($A$11:$A$62,MATCH(A8,$F$11:$F$59,0))</f>
        <v>44323.71875</v>
      </c>
      <c r="C8" s="37">
        <f>INDEX($A$11:$A$62,MATCH(A8,$F$11:$F$59,0))</f>
        <v>44323.71875</v>
      </c>
      <c r="D8" s="110"/>
    </row>
    <row r="9" spans="1:13" x14ac:dyDescent="0.25">
      <c r="B9" s="453"/>
    </row>
    <row r="10" spans="1:13" ht="23" x14ac:dyDescent="0.25">
      <c r="A10" s="749" t="s">
        <v>492</v>
      </c>
      <c r="B10" s="749" t="s">
        <v>493</v>
      </c>
      <c r="C10" s="749" t="s">
        <v>494</v>
      </c>
      <c r="D10" s="86" t="s">
        <v>495</v>
      </c>
      <c r="E10" s="749" t="s">
        <v>560</v>
      </c>
      <c r="F10" s="749" t="s">
        <v>541</v>
      </c>
      <c r="G10" s="749" t="s">
        <v>498</v>
      </c>
      <c r="H10" s="749" t="s">
        <v>561</v>
      </c>
      <c r="I10" s="749" t="s">
        <v>126</v>
      </c>
      <c r="J10" s="749" t="s">
        <v>92</v>
      </c>
      <c r="K10" s="749" t="s">
        <v>501</v>
      </c>
    </row>
    <row r="11" spans="1:13" x14ac:dyDescent="0.25">
      <c r="A11" s="31">
        <v>44319.395833333336</v>
      </c>
      <c r="B11" s="38">
        <f>A11</f>
        <v>44319.395833333336</v>
      </c>
      <c r="C11" s="36">
        <v>6.25E-2</v>
      </c>
      <c r="D11" s="327" t="str">
        <f t="shared" ref="D11:D29" si="0">IF(_xlfn.ISFORMULA(E11)=TRUE,"",E11-B11)</f>
        <v/>
      </c>
      <c r="E11" s="114">
        <f t="shared" ref="E11:E29" si="1">B11+C11</f>
        <v>44319.458333333336</v>
      </c>
      <c r="F11" s="35" t="s">
        <v>562</v>
      </c>
      <c r="G11" s="35"/>
      <c r="H11" s="684"/>
      <c r="I11" s="684"/>
      <c r="J11" s="684"/>
      <c r="K11" s="684"/>
      <c r="L11" s="1057"/>
      <c r="M11" s="1056"/>
    </row>
    <row r="12" spans="1:13" ht="12.75" customHeight="1" x14ac:dyDescent="0.25">
      <c r="A12" s="31">
        <f t="shared" ref="A12:A29" si="2">IF(D11 = "",A11+C11,A11+D11)</f>
        <v>44319.458333333336</v>
      </c>
      <c r="B12" s="685">
        <f>IF(D11 = "",B11+C11,B11+D11)</f>
        <v>44319.458333333336</v>
      </c>
      <c r="C12" s="36">
        <v>0.375</v>
      </c>
      <c r="D12" s="327" t="str">
        <f t="shared" si="0"/>
        <v/>
      </c>
      <c r="E12" s="114">
        <f t="shared" si="1"/>
        <v>44319.833333333336</v>
      </c>
      <c r="F12" s="35" t="s">
        <v>563</v>
      </c>
      <c r="G12" s="35"/>
      <c r="H12" s="684"/>
      <c r="I12" s="684"/>
      <c r="J12" s="684"/>
      <c r="K12" s="684"/>
      <c r="L12" s="1055"/>
      <c r="M12" s="1056"/>
    </row>
    <row r="13" spans="1:13" ht="12" customHeight="1" x14ac:dyDescent="0.25">
      <c r="A13" s="31">
        <f t="shared" si="2"/>
        <v>44319.833333333336</v>
      </c>
      <c r="B13" s="37">
        <f t="shared" ref="B13:B29" si="3">IF(D12 = "",B12+C12,B12+D12)</f>
        <v>44319.833333333336</v>
      </c>
      <c r="C13" s="36">
        <v>0.22916666666666666</v>
      </c>
      <c r="D13" s="327" t="str">
        <f t="shared" si="0"/>
        <v/>
      </c>
      <c r="E13" s="114">
        <f t="shared" si="1"/>
        <v>44320.0625</v>
      </c>
      <c r="F13" s="35" t="s">
        <v>564</v>
      </c>
      <c r="G13" s="39"/>
      <c r="H13" s="684"/>
      <c r="I13" s="684"/>
      <c r="J13" s="684">
        <f>(199.6 + 36 + 81 + 81 + 81) / 0.997</f>
        <v>480.04012036108327</v>
      </c>
      <c r="K13" s="684"/>
    </row>
    <row r="14" spans="1:13" ht="12" customHeight="1" x14ac:dyDescent="0.25">
      <c r="A14" s="31">
        <f t="shared" si="2"/>
        <v>44320.0625</v>
      </c>
      <c r="B14" s="37">
        <f t="shared" si="3"/>
        <v>44320.0625</v>
      </c>
      <c r="C14" s="36">
        <v>0.10416666666666667</v>
      </c>
      <c r="D14" s="327" t="str">
        <f t="shared" si="0"/>
        <v/>
      </c>
      <c r="E14" s="114">
        <f t="shared" si="1"/>
        <v>44320.166666666664</v>
      </c>
      <c r="F14" s="35" t="s">
        <v>565</v>
      </c>
      <c r="G14" s="39"/>
      <c r="H14" s="684"/>
      <c r="I14" s="684"/>
      <c r="J14" s="684"/>
      <c r="K14" s="684"/>
      <c r="L14" s="1057"/>
      <c r="M14" s="1056"/>
    </row>
    <row r="15" spans="1:13" ht="12.75" customHeight="1" x14ac:dyDescent="0.25">
      <c r="A15" s="31">
        <f t="shared" si="2"/>
        <v>44320.166666666664</v>
      </c>
      <c r="B15" s="37">
        <f t="shared" si="3"/>
        <v>44320.166666666664</v>
      </c>
      <c r="C15" s="36">
        <v>0.20833333333333334</v>
      </c>
      <c r="D15" s="327" t="str">
        <f t="shared" si="0"/>
        <v/>
      </c>
      <c r="E15" s="114">
        <f t="shared" si="1"/>
        <v>44320.375</v>
      </c>
      <c r="F15" s="35" t="s">
        <v>566</v>
      </c>
      <c r="G15" s="35"/>
      <c r="H15" s="684"/>
      <c r="I15" s="684"/>
      <c r="J15" s="684"/>
      <c r="K15" s="684"/>
      <c r="L15" s="1055"/>
      <c r="M15" s="1056"/>
    </row>
    <row r="16" spans="1:13" ht="13.4" customHeight="1" x14ac:dyDescent="0.25">
      <c r="A16" s="31">
        <f t="shared" si="2"/>
        <v>44320.375</v>
      </c>
      <c r="B16" s="37">
        <f t="shared" si="3"/>
        <v>44320.375</v>
      </c>
      <c r="C16" s="111">
        <v>0.14583333333333334</v>
      </c>
      <c r="D16" s="327" t="str">
        <f t="shared" si="0"/>
        <v/>
      </c>
      <c r="E16" s="114">
        <f t="shared" si="1"/>
        <v>44320.520833333336</v>
      </c>
      <c r="F16" s="39" t="s">
        <v>567</v>
      </c>
      <c r="G16" s="35" t="s">
        <v>568</v>
      </c>
      <c r="H16" s="458"/>
      <c r="I16" s="458"/>
      <c r="J16" s="458"/>
      <c r="K16" s="458"/>
    </row>
    <row r="17" spans="1:13" x14ac:dyDescent="0.25">
      <c r="A17" s="31">
        <f t="shared" si="2"/>
        <v>44320.520833333336</v>
      </c>
      <c r="B17" s="37">
        <f t="shared" si="3"/>
        <v>44320.520833333336</v>
      </c>
      <c r="C17" s="111">
        <v>0.375</v>
      </c>
      <c r="D17" s="327" t="str">
        <f t="shared" si="0"/>
        <v/>
      </c>
      <c r="E17" s="114">
        <f t="shared" si="1"/>
        <v>44320.895833333336</v>
      </c>
      <c r="F17" s="35" t="s">
        <v>569</v>
      </c>
      <c r="G17" s="35"/>
      <c r="H17" s="684"/>
      <c r="I17" s="684"/>
      <c r="J17" s="684"/>
      <c r="K17" s="684"/>
    </row>
    <row r="18" spans="1:13" x14ac:dyDescent="0.25">
      <c r="A18" s="31">
        <f t="shared" si="2"/>
        <v>44320.895833333336</v>
      </c>
      <c r="B18" s="37">
        <f t="shared" si="3"/>
        <v>44320.895833333336</v>
      </c>
      <c r="C18" s="111">
        <v>0.5</v>
      </c>
      <c r="D18" s="327" t="str">
        <f t="shared" si="0"/>
        <v/>
      </c>
      <c r="E18" s="114">
        <f t="shared" si="1"/>
        <v>44321.395833333336</v>
      </c>
      <c r="F18" s="35" t="s">
        <v>570</v>
      </c>
      <c r="G18" s="35"/>
      <c r="H18" s="684"/>
      <c r="I18" s="684"/>
      <c r="J18" s="684">
        <f>(69.5 + 36 + 48 + 62.6 + 36 + 48 + 48 + 48)/0.997</f>
        <v>397.29187562688065</v>
      </c>
      <c r="K18" s="684"/>
    </row>
    <row r="19" spans="1:13" x14ac:dyDescent="0.25">
      <c r="A19" s="31">
        <f t="shared" si="2"/>
        <v>44321.395833333336</v>
      </c>
      <c r="B19" s="37">
        <f t="shared" si="3"/>
        <v>44321.395833333336</v>
      </c>
      <c r="C19" s="111">
        <v>4.1666666666666664E-2</v>
      </c>
      <c r="D19" s="683"/>
      <c r="E19" s="114">
        <f t="shared" si="1"/>
        <v>44321.4375</v>
      </c>
      <c r="F19" s="35" t="s">
        <v>2446</v>
      </c>
      <c r="G19" s="35"/>
      <c r="H19" s="684">
        <f>40+120</f>
        <v>160</v>
      </c>
      <c r="I19" s="684"/>
      <c r="J19" s="684"/>
      <c r="K19" s="684">
        <f>H19</f>
        <v>160</v>
      </c>
    </row>
    <row r="20" spans="1:13" ht="13.5" customHeight="1" x14ac:dyDescent="0.25">
      <c r="A20" s="31">
        <f t="shared" si="2"/>
        <v>44321.4375</v>
      </c>
      <c r="B20" s="37">
        <f t="shared" si="3"/>
        <v>44321.4375</v>
      </c>
      <c r="C20" s="111">
        <v>0.52083333333333337</v>
      </c>
      <c r="D20" s="327" t="str">
        <f t="shared" si="0"/>
        <v/>
      </c>
      <c r="E20" s="114">
        <f t="shared" si="1"/>
        <v>44321.958333333336</v>
      </c>
      <c r="F20" s="35" t="s">
        <v>571</v>
      </c>
      <c r="G20" s="35"/>
      <c r="H20" s="684"/>
      <c r="I20" s="684"/>
      <c r="J20" s="684"/>
      <c r="K20" s="684"/>
    </row>
    <row r="21" spans="1:13" ht="12" customHeight="1" x14ac:dyDescent="0.25">
      <c r="A21" s="31">
        <f t="shared" si="2"/>
        <v>44321.958333333336</v>
      </c>
      <c r="B21" s="37">
        <f t="shared" si="3"/>
        <v>44321.958333333336</v>
      </c>
      <c r="C21" s="36">
        <v>0.57291666666666663</v>
      </c>
      <c r="D21" s="327" t="str">
        <f t="shared" si="0"/>
        <v/>
      </c>
      <c r="E21" s="114">
        <f t="shared" si="1"/>
        <v>44322.53125</v>
      </c>
      <c r="F21" s="35" t="s">
        <v>548</v>
      </c>
      <c r="G21" s="39"/>
      <c r="H21" s="684"/>
      <c r="I21" s="684"/>
      <c r="J21" s="684"/>
      <c r="K21" s="684"/>
      <c r="L21" s="1058"/>
      <c r="M21" s="1059"/>
    </row>
    <row r="22" spans="1:13" ht="12.75" customHeight="1" x14ac:dyDescent="0.25">
      <c r="A22" s="31">
        <f t="shared" si="2"/>
        <v>44322.53125</v>
      </c>
      <c r="B22" s="37">
        <f t="shared" si="3"/>
        <v>44322.53125</v>
      </c>
      <c r="C22" s="36">
        <v>0.125</v>
      </c>
      <c r="D22" s="327" t="str">
        <f t="shared" si="0"/>
        <v/>
      </c>
      <c r="E22" s="114">
        <f t="shared" si="1"/>
        <v>44322.65625</v>
      </c>
      <c r="F22" s="35" t="s">
        <v>549</v>
      </c>
      <c r="G22" s="35"/>
      <c r="H22" s="684">
        <f>(252.2 + 36 + 78.4 + 174.3 + 70.4 + 70.4 + 70.4 + 66 + 54.7)/0.902</f>
        <v>967.62749445676275</v>
      </c>
      <c r="I22" s="684">
        <f>54.7/0.684</f>
        <v>79.970760233918128</v>
      </c>
      <c r="J22" s="684"/>
      <c r="K22" s="684">
        <f>SUM(H22:I22)</f>
        <v>1047.598254690681</v>
      </c>
      <c r="L22" s="1060"/>
      <c r="M22" s="1059"/>
    </row>
    <row r="23" spans="1:13" ht="12.75" customHeight="1" x14ac:dyDescent="0.25">
      <c r="A23" s="31">
        <f t="shared" si="2"/>
        <v>44322.65625</v>
      </c>
      <c r="B23" s="37">
        <f t="shared" si="3"/>
        <v>44322.65625</v>
      </c>
      <c r="C23" s="36">
        <v>0.4375</v>
      </c>
      <c r="D23" s="327" t="str">
        <f t="shared" si="0"/>
        <v/>
      </c>
      <c r="E23" s="114">
        <f t="shared" si="1"/>
        <v>44323.09375</v>
      </c>
      <c r="F23" s="35" t="s">
        <v>572</v>
      </c>
      <c r="G23" s="35"/>
      <c r="H23" s="1061">
        <f>26.1/0.902</f>
        <v>28.935698447893571</v>
      </c>
      <c r="I23" s="1063">
        <f>(13.1 + 32.8)/0.684</f>
        <v>67.105263157894726</v>
      </c>
      <c r="J23" s="684"/>
      <c r="K23" s="1061">
        <f t="shared" ref="K23" si="4">SUM(H23:I23)</f>
        <v>96.040961605788297</v>
      </c>
    </row>
    <row r="24" spans="1:13" ht="12.75" customHeight="1" x14ac:dyDescent="0.25">
      <c r="A24" s="31">
        <f t="shared" si="2"/>
        <v>44323.09375</v>
      </c>
      <c r="B24" s="37">
        <f t="shared" si="3"/>
        <v>44323.09375</v>
      </c>
      <c r="C24" s="36">
        <v>0.625</v>
      </c>
      <c r="D24" s="327" t="str">
        <f t="shared" si="0"/>
        <v/>
      </c>
      <c r="E24" s="114">
        <f t="shared" si="1"/>
        <v>44323.71875</v>
      </c>
      <c r="F24" s="35" t="s">
        <v>551</v>
      </c>
      <c r="G24" s="35"/>
      <c r="H24" s="1062"/>
      <c r="I24" s="1063"/>
      <c r="J24" s="684"/>
      <c r="K24" s="1062"/>
    </row>
    <row r="25" spans="1:13" ht="12.75" customHeight="1" x14ac:dyDescent="0.25">
      <c r="A25" s="31">
        <f t="shared" si="2"/>
        <v>44323.71875</v>
      </c>
      <c r="B25" s="37">
        <f t="shared" si="3"/>
        <v>44323.71875</v>
      </c>
      <c r="C25" s="36">
        <v>6.25E-2</v>
      </c>
      <c r="D25" s="327" t="str">
        <f t="shared" si="0"/>
        <v/>
      </c>
      <c r="E25" s="114">
        <f t="shared" si="1"/>
        <v>44323.78125</v>
      </c>
      <c r="F25" s="35" t="s">
        <v>2445</v>
      </c>
      <c r="G25" s="35"/>
      <c r="H25" s="684"/>
      <c r="I25" s="684"/>
      <c r="J25" s="684"/>
      <c r="K25" s="684"/>
    </row>
    <row r="26" spans="1:13" ht="12.75" customHeight="1" x14ac:dyDescent="0.25">
      <c r="A26" s="31">
        <f t="shared" si="2"/>
        <v>44323.78125</v>
      </c>
      <c r="B26" s="37">
        <f t="shared" si="3"/>
        <v>44323.78125</v>
      </c>
      <c r="C26" s="36">
        <v>0.16666666666666666</v>
      </c>
      <c r="D26" s="327" t="str">
        <f t="shared" si="0"/>
        <v/>
      </c>
      <c r="E26" s="114">
        <f t="shared" si="1"/>
        <v>44323.947916666664</v>
      </c>
      <c r="F26" s="35" t="s">
        <v>2447</v>
      </c>
      <c r="G26" s="35"/>
      <c r="H26" s="684"/>
      <c r="I26" s="684"/>
      <c r="J26" s="684"/>
      <c r="K26" s="684"/>
    </row>
    <row r="27" spans="1:13" ht="12.75" customHeight="1" x14ac:dyDescent="0.25">
      <c r="A27" s="31">
        <f t="shared" si="2"/>
        <v>44323.947916666664</v>
      </c>
      <c r="B27" s="37">
        <f t="shared" si="3"/>
        <v>44323.947916666664</v>
      </c>
      <c r="C27" s="36">
        <v>1.0416666666666666E-2</v>
      </c>
      <c r="D27" s="327" t="str">
        <f t="shared" si="0"/>
        <v/>
      </c>
      <c r="E27" s="114">
        <f t="shared" si="1"/>
        <v>44323.958333333328</v>
      </c>
      <c r="F27" s="167" t="s">
        <v>573</v>
      </c>
      <c r="G27" s="167"/>
      <c r="H27" s="459"/>
      <c r="I27" s="459"/>
      <c r="J27" s="459"/>
      <c r="K27" s="459">
        <f>SUM(H27:I27)</f>
        <v>0</v>
      </c>
    </row>
    <row r="28" spans="1:13" ht="12.75" customHeight="1" x14ac:dyDescent="0.25">
      <c r="A28" s="31">
        <f t="shared" si="2"/>
        <v>44323.958333333328</v>
      </c>
      <c r="B28" s="37">
        <f t="shared" si="3"/>
        <v>44323.958333333328</v>
      </c>
      <c r="C28" s="36">
        <v>0.22916666666666666</v>
      </c>
      <c r="D28" s="327" t="str">
        <f t="shared" si="0"/>
        <v/>
      </c>
      <c r="E28" s="114">
        <f t="shared" si="1"/>
        <v>44324.187499999993</v>
      </c>
      <c r="F28" s="167" t="s">
        <v>574</v>
      </c>
      <c r="G28" s="167"/>
      <c r="H28" s="459"/>
      <c r="I28" s="459"/>
      <c r="J28" s="459"/>
      <c r="K28" s="459">
        <f>SUM(H28:I28)</f>
        <v>0</v>
      </c>
    </row>
    <row r="29" spans="1:13" ht="12.75" customHeight="1" x14ac:dyDescent="0.25">
      <c r="A29" s="31">
        <f t="shared" si="2"/>
        <v>44324.187499999993</v>
      </c>
      <c r="B29" s="37">
        <f t="shared" si="3"/>
        <v>44324.187499999993</v>
      </c>
      <c r="C29" s="36">
        <v>1.0416666666666666E-2</v>
      </c>
      <c r="D29" s="327" t="str">
        <f t="shared" si="0"/>
        <v/>
      </c>
      <c r="E29" s="114">
        <f t="shared" si="1"/>
        <v>44324.197916666657</v>
      </c>
      <c r="F29" s="167" t="s">
        <v>575</v>
      </c>
      <c r="G29" s="167"/>
      <c r="H29" s="459"/>
      <c r="I29" s="459"/>
      <c r="J29" s="459"/>
      <c r="K29" s="459"/>
    </row>
    <row r="30" spans="1:13" x14ac:dyDescent="0.25">
      <c r="B30" s="112" t="s">
        <v>534</v>
      </c>
      <c r="C30" s="36">
        <f>SUM(C11:C29)</f>
        <v>4.8020833333333339</v>
      </c>
      <c r="D30" s="32">
        <f>SUM(D11:D26)</f>
        <v>0</v>
      </c>
      <c r="G30" s="26"/>
      <c r="H30" s="460">
        <f>SUM(H11:H29)</f>
        <v>1156.5631929046563</v>
      </c>
      <c r="I30" s="460">
        <f>SUM(I11:I29)</f>
        <v>147.07602339181284</v>
      </c>
      <c r="J30" s="460">
        <f>SUM(J11:J29)</f>
        <v>877.33199598796386</v>
      </c>
      <c r="K30" s="460">
        <f>SUM(K11:K29)</f>
        <v>1303.6392162964692</v>
      </c>
    </row>
    <row r="31" spans="1:13" x14ac:dyDescent="0.25">
      <c r="B31" s="31" t="s">
        <v>536</v>
      </c>
      <c r="C31" s="36">
        <f>C30/24</f>
        <v>0.20008680555555558</v>
      </c>
      <c r="D31" s="112">
        <f>D30/24</f>
        <v>0</v>
      </c>
      <c r="G31" s="26"/>
    </row>
    <row r="32" spans="1:13" ht="21" x14ac:dyDescent="0.55000000000000004">
      <c r="A32" s="34"/>
      <c r="D32" s="113"/>
      <c r="G32" s="26"/>
    </row>
    <row r="33" spans="7:7" x14ac:dyDescent="0.25">
      <c r="G33" s="26"/>
    </row>
    <row r="34" spans="7:7" x14ac:dyDescent="0.25">
      <c r="G34" s="26"/>
    </row>
    <row r="35" spans="7:7" x14ac:dyDescent="0.25">
      <c r="G35" s="26"/>
    </row>
    <row r="36" spans="7:7" x14ac:dyDescent="0.25">
      <c r="G36" s="26"/>
    </row>
    <row r="37" spans="7:7" x14ac:dyDescent="0.25">
      <c r="G37" s="26"/>
    </row>
    <row r="38" spans="7:7" x14ac:dyDescent="0.25">
      <c r="G38" s="26"/>
    </row>
    <row r="39" spans="7:7" x14ac:dyDescent="0.25">
      <c r="G39" s="26"/>
    </row>
    <row r="40" spans="7:7" x14ac:dyDescent="0.25">
      <c r="G40" s="26"/>
    </row>
    <row r="41" spans="7:7" x14ac:dyDescent="0.25">
      <c r="G41" s="26"/>
    </row>
    <row r="42" spans="7:7" x14ac:dyDescent="0.25">
      <c r="G42" s="26"/>
    </row>
    <row r="43" spans="7:7" x14ac:dyDescent="0.25">
      <c r="G43" s="26"/>
    </row>
    <row r="44" spans="7:7" x14ac:dyDescent="0.25">
      <c r="G44" s="26"/>
    </row>
    <row r="45" spans="7:7" x14ac:dyDescent="0.25">
      <c r="G45" s="26"/>
    </row>
    <row r="46" spans="7:7" x14ac:dyDescent="0.25">
      <c r="G46" s="26"/>
    </row>
    <row r="47" spans="7:7" x14ac:dyDescent="0.25">
      <c r="G47" s="26"/>
    </row>
    <row r="48" spans="7:7" x14ac:dyDescent="0.25">
      <c r="G48" s="26"/>
    </row>
    <row r="49" spans="6:11" x14ac:dyDescent="0.25">
      <c r="G49" s="26"/>
    </row>
    <row r="50" spans="6:11" x14ac:dyDescent="0.25">
      <c r="G50" s="26"/>
    </row>
    <row r="51" spans="6:11" x14ac:dyDescent="0.25">
      <c r="G51" s="26"/>
    </row>
    <row r="52" spans="6:11" x14ac:dyDescent="0.25">
      <c r="G52" s="26"/>
    </row>
    <row r="53" spans="6:11" x14ac:dyDescent="0.25">
      <c r="G53" s="26"/>
    </row>
    <row r="54" spans="6:11" x14ac:dyDescent="0.25">
      <c r="F54" s="26"/>
      <c r="H54" s="26"/>
      <c r="I54" s="26"/>
      <c r="J54" s="26"/>
      <c r="K54" s="26"/>
    </row>
    <row r="55" spans="6:11" x14ac:dyDescent="0.25">
      <c r="F55" s="26"/>
      <c r="H55" s="26"/>
      <c r="I55" s="26"/>
      <c r="J55" s="26"/>
      <c r="K55" s="26"/>
    </row>
  </sheetData>
  <mergeCells count="11">
    <mergeCell ref="L21:M21"/>
    <mergeCell ref="L22:M22"/>
    <mergeCell ref="H23:H24"/>
    <mergeCell ref="I23:I24"/>
    <mergeCell ref="K23:K24"/>
    <mergeCell ref="L15:M15"/>
    <mergeCell ref="A1:B1"/>
    <mergeCell ref="A5:D5"/>
    <mergeCell ref="L11:M11"/>
    <mergeCell ref="L12:M12"/>
    <mergeCell ref="L14:M14"/>
  </mergeCells>
  <pageMargins left="0.75" right="0.75" top="1" bottom="1" header="0.5" footer="0.5"/>
  <pageSetup orientation="portrait" r:id="rId1"/>
  <headerFooter alignWithMargins="0">
    <oddFooter>&amp;R&amp;"Arial,Regular"&amp;08&amp;K7F7F7FAmgen Proprietary - Confidential   &amp;C&amp;"Arial,Regular"&amp;08&amp;K7F7F7FAmgen Proprietary - For Internal Use Only</oddFooter>
    <evenFooter>&amp;R&amp;"Arial,Regular"&amp;08&amp;K7F7F7FAmgen Proprietary - Confidential   &amp;C&amp;"Arial,Regular"&amp;08&amp;K7F7F7FAmgen Proprietary - For Internal Use Only</evenFooter>
    <firstFooter>&amp;R&amp;"Arial,Regular"&amp;08&amp;K7F7F7FAmgen Proprietary - Confidential   &amp;C&amp;"Arial,Regular"&amp;08&amp;K7F7F7FAmgen Proprietary - For Internal Use Only</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ECFE82-63CD-4C6C-8E8C-259467E9992A}">
  <sheetPr codeName="Sheet79">
    <pageSetUpPr autoPageBreaks="0"/>
  </sheetPr>
  <dimension ref="A1:M55"/>
  <sheetViews>
    <sheetView zoomScale="140" zoomScaleNormal="140" workbookViewId="0">
      <selection activeCell="C19" sqref="C19"/>
    </sheetView>
  </sheetViews>
  <sheetFormatPr defaultColWidth="9.453125" defaultRowHeight="11.5" x14ac:dyDescent="0.25"/>
  <cols>
    <col min="1" max="1" width="25" style="25" bestFit="1" customWidth="1"/>
    <col min="2" max="3" width="23.453125" style="25" customWidth="1"/>
    <col min="4" max="4" width="20.54296875" style="25" hidden="1" customWidth="1"/>
    <col min="5" max="5" width="21.54296875" style="25" customWidth="1"/>
    <col min="6" max="6" width="50.54296875" style="25" customWidth="1"/>
    <col min="7" max="7" width="43.453125" style="25" bestFit="1" customWidth="1"/>
    <col min="8" max="11" width="14.453125" style="25" customWidth="1"/>
    <col min="12" max="16384" width="9.453125" style="25"/>
  </cols>
  <sheetData>
    <row r="1" spans="1:13" ht="12" thickBot="1" x14ac:dyDescent="0.3">
      <c r="A1" s="1053" t="s">
        <v>479</v>
      </c>
      <c r="B1" s="1054"/>
    </row>
    <row r="2" spans="1:13" ht="12" thickBot="1" x14ac:dyDescent="0.3">
      <c r="A2" s="772" t="s">
        <v>480</v>
      </c>
      <c r="B2" s="115">
        <f>A11</f>
        <v>44326.395833333336</v>
      </c>
    </row>
    <row r="3" spans="1:13" x14ac:dyDescent="0.25">
      <c r="A3" s="772" t="s">
        <v>482</v>
      </c>
      <c r="B3" s="454">
        <f>A11</f>
        <v>44326.395833333336</v>
      </c>
    </row>
    <row r="5" spans="1:13" x14ac:dyDescent="0.25">
      <c r="A5" s="1049" t="s">
        <v>484</v>
      </c>
      <c r="B5" s="1050"/>
      <c r="C5" s="1050"/>
      <c r="D5" s="1051"/>
    </row>
    <row r="6" spans="1:13" x14ac:dyDescent="0.25">
      <c r="A6" s="781" t="s">
        <v>485</v>
      </c>
      <c r="B6" s="781" t="s">
        <v>486</v>
      </c>
      <c r="C6" s="781" t="s">
        <v>487</v>
      </c>
      <c r="D6" s="781" t="s">
        <v>488</v>
      </c>
    </row>
    <row r="7" spans="1:13" x14ac:dyDescent="0.25">
      <c r="A7" s="41" t="str">
        <f>F16</f>
        <v>IPC: Reaction Conversion</v>
      </c>
      <c r="B7" s="455">
        <f>INDEX($A$11:$A$62,MATCH(A7,$F$11:$F$59,0))</f>
        <v>44327.375</v>
      </c>
      <c r="C7" s="37">
        <f>INDEX($A$11:$A$62,MATCH(A7,$F$11:$F$59,0))</f>
        <v>44327.375</v>
      </c>
      <c r="D7" s="475"/>
    </row>
    <row r="8" spans="1:13" x14ac:dyDescent="0.25">
      <c r="A8" s="35" t="s">
        <v>2445</v>
      </c>
      <c r="B8" s="455">
        <f>INDEX($A$11:$A$62,MATCH(A8,$F$11:$F$59,0))</f>
        <v>44330.71875</v>
      </c>
      <c r="C8" s="37">
        <f>INDEX($A$11:$A$62,MATCH(A8,$F$11:$F$59,0))</f>
        <v>44330.71875</v>
      </c>
      <c r="D8" s="110"/>
    </row>
    <row r="9" spans="1:13" x14ac:dyDescent="0.25">
      <c r="B9" s="453"/>
    </row>
    <row r="10" spans="1:13" ht="23" x14ac:dyDescent="0.25">
      <c r="A10" s="749" t="s">
        <v>492</v>
      </c>
      <c r="B10" s="749" t="s">
        <v>493</v>
      </c>
      <c r="C10" s="749" t="s">
        <v>494</v>
      </c>
      <c r="D10" s="86" t="s">
        <v>495</v>
      </c>
      <c r="E10" s="749" t="s">
        <v>560</v>
      </c>
      <c r="F10" s="749" t="s">
        <v>541</v>
      </c>
      <c r="G10" s="749" t="s">
        <v>498</v>
      </c>
      <c r="H10" s="749" t="s">
        <v>561</v>
      </c>
      <c r="I10" s="749" t="s">
        <v>126</v>
      </c>
      <c r="J10" s="749" t="s">
        <v>92</v>
      </c>
      <c r="K10" s="749" t="s">
        <v>501</v>
      </c>
    </row>
    <row r="11" spans="1:13" x14ac:dyDescent="0.25">
      <c r="A11" s="31">
        <v>44326.395833333336</v>
      </c>
      <c r="B11" s="38">
        <f>A11</f>
        <v>44326.395833333336</v>
      </c>
      <c r="C11" s="36">
        <v>6.25E-2</v>
      </c>
      <c r="D11" s="327" t="str">
        <f t="shared" ref="D11:D29" si="0">IF(_xlfn.ISFORMULA(E11)=TRUE,"",E11-B11)</f>
        <v/>
      </c>
      <c r="E11" s="114">
        <f t="shared" ref="E11:E29" si="1">B11+C11</f>
        <v>44326.458333333336</v>
      </c>
      <c r="F11" s="35" t="s">
        <v>562</v>
      </c>
      <c r="G11" s="35"/>
      <c r="H11" s="684"/>
      <c r="I11" s="684"/>
      <c r="J11" s="684"/>
      <c r="K11" s="684"/>
      <c r="L11" s="1057"/>
      <c r="M11" s="1056"/>
    </row>
    <row r="12" spans="1:13" ht="12.75" customHeight="1" x14ac:dyDescent="0.25">
      <c r="A12" s="31">
        <f t="shared" ref="A12:A29" si="2">IF(D11 = "",A11+C11,A11+D11)</f>
        <v>44326.458333333336</v>
      </c>
      <c r="B12" s="685">
        <f>IF(D11 = "",B11+C11,B11+D11)</f>
        <v>44326.458333333336</v>
      </c>
      <c r="C12" s="36">
        <v>0.375</v>
      </c>
      <c r="D12" s="327" t="str">
        <f t="shared" si="0"/>
        <v/>
      </c>
      <c r="E12" s="114">
        <f t="shared" si="1"/>
        <v>44326.833333333336</v>
      </c>
      <c r="F12" s="35" t="s">
        <v>563</v>
      </c>
      <c r="G12" s="35"/>
      <c r="H12" s="684"/>
      <c r="I12" s="684"/>
      <c r="J12" s="684"/>
      <c r="K12" s="684"/>
      <c r="L12" s="1055"/>
      <c r="M12" s="1056"/>
    </row>
    <row r="13" spans="1:13" ht="12" customHeight="1" x14ac:dyDescent="0.25">
      <c r="A13" s="31">
        <f t="shared" si="2"/>
        <v>44326.833333333336</v>
      </c>
      <c r="B13" s="37">
        <f t="shared" ref="B13:B29" si="3">IF(D12 = "",B12+C12,B12+D12)</f>
        <v>44326.833333333336</v>
      </c>
      <c r="C13" s="36">
        <v>0.22916666666666666</v>
      </c>
      <c r="D13" s="327" t="str">
        <f t="shared" si="0"/>
        <v/>
      </c>
      <c r="E13" s="114">
        <f t="shared" si="1"/>
        <v>44327.0625</v>
      </c>
      <c r="F13" s="35" t="s">
        <v>564</v>
      </c>
      <c r="G13" s="39"/>
      <c r="H13" s="684"/>
      <c r="I13" s="684"/>
      <c r="J13" s="684">
        <f>(199.6 + 36 + 81 + 81 + 81) / 0.997</f>
        <v>480.04012036108327</v>
      </c>
      <c r="K13" s="684"/>
    </row>
    <row r="14" spans="1:13" ht="12" customHeight="1" x14ac:dyDescent="0.25">
      <c r="A14" s="31">
        <f t="shared" si="2"/>
        <v>44327.0625</v>
      </c>
      <c r="B14" s="37">
        <f t="shared" si="3"/>
        <v>44327.0625</v>
      </c>
      <c r="C14" s="36">
        <v>0.10416666666666667</v>
      </c>
      <c r="D14" s="327" t="str">
        <f t="shared" si="0"/>
        <v/>
      </c>
      <c r="E14" s="114">
        <f t="shared" si="1"/>
        <v>44327.166666666664</v>
      </c>
      <c r="F14" s="35" t="s">
        <v>565</v>
      </c>
      <c r="G14" s="39"/>
      <c r="H14" s="684"/>
      <c r="I14" s="684"/>
      <c r="J14" s="684"/>
      <c r="K14" s="684"/>
      <c r="L14" s="1057"/>
      <c r="M14" s="1056"/>
    </row>
    <row r="15" spans="1:13" ht="12.75" customHeight="1" x14ac:dyDescent="0.25">
      <c r="A15" s="31">
        <f t="shared" si="2"/>
        <v>44327.166666666664</v>
      </c>
      <c r="B15" s="37">
        <f t="shared" si="3"/>
        <v>44327.166666666664</v>
      </c>
      <c r="C15" s="36">
        <v>0.20833333333333334</v>
      </c>
      <c r="D15" s="327" t="str">
        <f t="shared" si="0"/>
        <v/>
      </c>
      <c r="E15" s="114">
        <f t="shared" si="1"/>
        <v>44327.375</v>
      </c>
      <c r="F15" s="35" t="s">
        <v>566</v>
      </c>
      <c r="G15" s="35"/>
      <c r="H15" s="684"/>
      <c r="I15" s="684"/>
      <c r="J15" s="684"/>
      <c r="K15" s="684"/>
      <c r="L15" s="1055"/>
      <c r="M15" s="1056"/>
    </row>
    <row r="16" spans="1:13" ht="13.4" customHeight="1" x14ac:dyDescent="0.25">
      <c r="A16" s="31">
        <f t="shared" si="2"/>
        <v>44327.375</v>
      </c>
      <c r="B16" s="37">
        <f t="shared" si="3"/>
        <v>44327.375</v>
      </c>
      <c r="C16" s="111">
        <v>0.14583333333333334</v>
      </c>
      <c r="D16" s="327" t="str">
        <f t="shared" si="0"/>
        <v/>
      </c>
      <c r="E16" s="114">
        <f t="shared" si="1"/>
        <v>44327.520833333336</v>
      </c>
      <c r="F16" s="39" t="s">
        <v>567</v>
      </c>
      <c r="G16" s="35" t="s">
        <v>568</v>
      </c>
      <c r="H16" s="458"/>
      <c r="I16" s="458"/>
      <c r="J16" s="458"/>
      <c r="K16" s="458"/>
    </row>
    <row r="17" spans="1:13" x14ac:dyDescent="0.25">
      <c r="A17" s="31">
        <f t="shared" si="2"/>
        <v>44327.520833333336</v>
      </c>
      <c r="B17" s="37">
        <f t="shared" si="3"/>
        <v>44327.520833333336</v>
      </c>
      <c r="C17" s="111">
        <v>0.375</v>
      </c>
      <c r="D17" s="327" t="str">
        <f t="shared" si="0"/>
        <v/>
      </c>
      <c r="E17" s="114">
        <f t="shared" si="1"/>
        <v>44327.895833333336</v>
      </c>
      <c r="F17" s="35" t="s">
        <v>569</v>
      </c>
      <c r="G17" s="35"/>
      <c r="H17" s="684"/>
      <c r="I17" s="684"/>
      <c r="J17" s="684"/>
      <c r="K17" s="684"/>
    </row>
    <row r="18" spans="1:13" x14ac:dyDescent="0.25">
      <c r="A18" s="31">
        <f t="shared" si="2"/>
        <v>44327.895833333336</v>
      </c>
      <c r="B18" s="37">
        <f t="shared" si="3"/>
        <v>44327.895833333336</v>
      </c>
      <c r="C18" s="111">
        <v>0.5</v>
      </c>
      <c r="D18" s="327" t="str">
        <f t="shared" si="0"/>
        <v/>
      </c>
      <c r="E18" s="114">
        <f t="shared" si="1"/>
        <v>44328.395833333336</v>
      </c>
      <c r="F18" s="35" t="s">
        <v>570</v>
      </c>
      <c r="G18" s="35"/>
      <c r="H18" s="684"/>
      <c r="I18" s="684"/>
      <c r="J18" s="684">
        <f>(69.5 + 36 + 48 + 62.6 + 36 + 48 + 48 + 48)/0.997</f>
        <v>397.29187562688065</v>
      </c>
      <c r="K18" s="684"/>
    </row>
    <row r="19" spans="1:13" x14ac:dyDescent="0.25">
      <c r="A19" s="31">
        <f t="shared" si="2"/>
        <v>44328.395833333336</v>
      </c>
      <c r="B19" s="37">
        <f t="shared" si="3"/>
        <v>44328.395833333336</v>
      </c>
      <c r="C19" s="111">
        <v>4.1666666666666664E-2</v>
      </c>
      <c r="D19" s="683"/>
      <c r="E19" s="114">
        <f t="shared" si="1"/>
        <v>44328.4375</v>
      </c>
      <c r="F19" s="35" t="s">
        <v>2446</v>
      </c>
      <c r="G19" s="35"/>
      <c r="H19" s="684">
        <f>40+120</f>
        <v>160</v>
      </c>
      <c r="I19" s="684"/>
      <c r="J19" s="684"/>
      <c r="K19" s="684">
        <f>H19</f>
        <v>160</v>
      </c>
    </row>
    <row r="20" spans="1:13" ht="13.5" customHeight="1" x14ac:dyDescent="0.25">
      <c r="A20" s="31">
        <f t="shared" si="2"/>
        <v>44328.4375</v>
      </c>
      <c r="B20" s="37">
        <f t="shared" si="3"/>
        <v>44328.4375</v>
      </c>
      <c r="C20" s="111">
        <v>0.52083333333333337</v>
      </c>
      <c r="D20" s="327" t="str">
        <f t="shared" si="0"/>
        <v/>
      </c>
      <c r="E20" s="114">
        <f t="shared" si="1"/>
        <v>44328.958333333336</v>
      </c>
      <c r="F20" s="35" t="s">
        <v>571</v>
      </c>
      <c r="G20" s="35"/>
      <c r="H20" s="684"/>
      <c r="I20" s="684"/>
      <c r="J20" s="684"/>
      <c r="K20" s="684"/>
    </row>
    <row r="21" spans="1:13" ht="12" customHeight="1" x14ac:dyDescent="0.25">
      <c r="A21" s="31">
        <f t="shared" si="2"/>
        <v>44328.958333333336</v>
      </c>
      <c r="B21" s="37">
        <f t="shared" si="3"/>
        <v>44328.958333333336</v>
      </c>
      <c r="C21" s="36">
        <v>0.57291666666666663</v>
      </c>
      <c r="D21" s="327" t="str">
        <f t="shared" si="0"/>
        <v/>
      </c>
      <c r="E21" s="114">
        <f t="shared" si="1"/>
        <v>44329.53125</v>
      </c>
      <c r="F21" s="35" t="s">
        <v>548</v>
      </c>
      <c r="G21" s="39"/>
      <c r="H21" s="684"/>
      <c r="I21" s="684"/>
      <c r="J21" s="684"/>
      <c r="K21" s="684"/>
      <c r="L21" s="1058"/>
      <c r="M21" s="1059"/>
    </row>
    <row r="22" spans="1:13" ht="12.75" customHeight="1" x14ac:dyDescent="0.25">
      <c r="A22" s="31">
        <f t="shared" si="2"/>
        <v>44329.53125</v>
      </c>
      <c r="B22" s="37">
        <f t="shared" si="3"/>
        <v>44329.53125</v>
      </c>
      <c r="C22" s="36">
        <v>0.125</v>
      </c>
      <c r="D22" s="327" t="str">
        <f t="shared" si="0"/>
        <v/>
      </c>
      <c r="E22" s="114">
        <f t="shared" si="1"/>
        <v>44329.65625</v>
      </c>
      <c r="F22" s="35" t="s">
        <v>549</v>
      </c>
      <c r="G22" s="35"/>
      <c r="H22" s="684">
        <f>(252.2 + 36 + 78.4 + 174.3 + 70.4 + 70.4 + 70.4 + 66 + 54.7)/0.902</f>
        <v>967.62749445676275</v>
      </c>
      <c r="I22" s="684">
        <f>54.7/0.684</f>
        <v>79.970760233918128</v>
      </c>
      <c r="J22" s="684"/>
      <c r="K22" s="684">
        <f>SUM(H22:I22)</f>
        <v>1047.598254690681</v>
      </c>
      <c r="L22" s="1060"/>
      <c r="M22" s="1059"/>
    </row>
    <row r="23" spans="1:13" ht="12.75" customHeight="1" x14ac:dyDescent="0.25">
      <c r="A23" s="31">
        <f t="shared" si="2"/>
        <v>44329.65625</v>
      </c>
      <c r="B23" s="37">
        <f t="shared" si="3"/>
        <v>44329.65625</v>
      </c>
      <c r="C23" s="36">
        <v>0.4375</v>
      </c>
      <c r="D23" s="327" t="str">
        <f t="shared" si="0"/>
        <v/>
      </c>
      <c r="E23" s="114">
        <f t="shared" si="1"/>
        <v>44330.09375</v>
      </c>
      <c r="F23" s="35" t="s">
        <v>572</v>
      </c>
      <c r="G23" s="35"/>
      <c r="H23" s="1061">
        <f>26.1/0.902</f>
        <v>28.935698447893571</v>
      </c>
      <c r="I23" s="1063">
        <f>(13.1 + 32.8)/0.684</f>
        <v>67.105263157894726</v>
      </c>
      <c r="J23" s="684"/>
      <c r="K23" s="1061">
        <f t="shared" ref="K23" si="4">SUM(H23:I23)</f>
        <v>96.040961605788297</v>
      </c>
    </row>
    <row r="24" spans="1:13" ht="12.75" customHeight="1" x14ac:dyDescent="0.25">
      <c r="A24" s="31">
        <f t="shared" si="2"/>
        <v>44330.09375</v>
      </c>
      <c r="B24" s="37">
        <f t="shared" si="3"/>
        <v>44330.09375</v>
      </c>
      <c r="C24" s="36">
        <v>0.625</v>
      </c>
      <c r="D24" s="327" t="str">
        <f t="shared" si="0"/>
        <v/>
      </c>
      <c r="E24" s="114">
        <f t="shared" si="1"/>
        <v>44330.71875</v>
      </c>
      <c r="F24" s="35" t="s">
        <v>551</v>
      </c>
      <c r="G24" s="35"/>
      <c r="H24" s="1062"/>
      <c r="I24" s="1063"/>
      <c r="J24" s="684"/>
      <c r="K24" s="1062"/>
    </row>
    <row r="25" spans="1:13" ht="12.75" customHeight="1" x14ac:dyDescent="0.25">
      <c r="A25" s="31">
        <f t="shared" si="2"/>
        <v>44330.71875</v>
      </c>
      <c r="B25" s="37">
        <f t="shared" si="3"/>
        <v>44330.71875</v>
      </c>
      <c r="C25" s="36">
        <v>6.25E-2</v>
      </c>
      <c r="D25" s="327" t="str">
        <f t="shared" si="0"/>
        <v/>
      </c>
      <c r="E25" s="114">
        <f t="shared" si="1"/>
        <v>44330.78125</v>
      </c>
      <c r="F25" s="35" t="s">
        <v>2445</v>
      </c>
      <c r="G25" s="35"/>
      <c r="H25" s="684"/>
      <c r="I25" s="684"/>
      <c r="J25" s="684"/>
      <c r="K25" s="684"/>
    </row>
    <row r="26" spans="1:13" ht="12.75" customHeight="1" x14ac:dyDescent="0.25">
      <c r="A26" s="31">
        <f t="shared" si="2"/>
        <v>44330.78125</v>
      </c>
      <c r="B26" s="37">
        <f t="shared" si="3"/>
        <v>44330.78125</v>
      </c>
      <c r="C26" s="36">
        <v>0.16666666666666666</v>
      </c>
      <c r="D26" s="327" t="str">
        <f t="shared" si="0"/>
        <v/>
      </c>
      <c r="E26" s="114">
        <f t="shared" si="1"/>
        <v>44330.947916666664</v>
      </c>
      <c r="F26" s="35" t="s">
        <v>2447</v>
      </c>
      <c r="G26" s="35"/>
      <c r="H26" s="684"/>
      <c r="I26" s="684"/>
      <c r="J26" s="684"/>
      <c r="K26" s="684"/>
    </row>
    <row r="27" spans="1:13" ht="12.75" customHeight="1" x14ac:dyDescent="0.25">
      <c r="A27" s="31">
        <f t="shared" si="2"/>
        <v>44330.947916666664</v>
      </c>
      <c r="B27" s="37">
        <f t="shared" si="3"/>
        <v>44330.947916666664</v>
      </c>
      <c r="C27" s="36">
        <v>1.0416666666666666E-2</v>
      </c>
      <c r="D27" s="327" t="str">
        <f t="shared" si="0"/>
        <v/>
      </c>
      <c r="E27" s="114">
        <f t="shared" si="1"/>
        <v>44330.958333333328</v>
      </c>
      <c r="F27" s="167" t="s">
        <v>573</v>
      </c>
      <c r="G27" s="167"/>
      <c r="H27" s="459"/>
      <c r="I27" s="459"/>
      <c r="J27" s="459"/>
      <c r="K27" s="459">
        <f>SUM(H27:I27)</f>
        <v>0</v>
      </c>
    </row>
    <row r="28" spans="1:13" ht="12.75" customHeight="1" x14ac:dyDescent="0.25">
      <c r="A28" s="31">
        <f t="shared" si="2"/>
        <v>44330.958333333328</v>
      </c>
      <c r="B28" s="37">
        <f t="shared" si="3"/>
        <v>44330.958333333328</v>
      </c>
      <c r="C28" s="36">
        <v>0.22916666666666666</v>
      </c>
      <c r="D28" s="327" t="str">
        <f t="shared" si="0"/>
        <v/>
      </c>
      <c r="E28" s="114">
        <f t="shared" si="1"/>
        <v>44331.187499999993</v>
      </c>
      <c r="F28" s="167" t="s">
        <v>574</v>
      </c>
      <c r="G28" s="167"/>
      <c r="H28" s="459"/>
      <c r="I28" s="459"/>
      <c r="J28" s="459"/>
      <c r="K28" s="459">
        <f>SUM(H28:I28)</f>
        <v>0</v>
      </c>
    </row>
    <row r="29" spans="1:13" ht="12.75" customHeight="1" x14ac:dyDescent="0.25">
      <c r="A29" s="31">
        <f t="shared" si="2"/>
        <v>44331.187499999993</v>
      </c>
      <c r="B29" s="37">
        <f t="shared" si="3"/>
        <v>44331.187499999993</v>
      </c>
      <c r="C29" s="36">
        <v>1.0416666666666666E-2</v>
      </c>
      <c r="D29" s="327" t="str">
        <f t="shared" si="0"/>
        <v/>
      </c>
      <c r="E29" s="114">
        <f t="shared" si="1"/>
        <v>44331.197916666657</v>
      </c>
      <c r="F29" s="167" t="s">
        <v>575</v>
      </c>
      <c r="G29" s="167"/>
      <c r="H29" s="459"/>
      <c r="I29" s="459"/>
      <c r="J29" s="459"/>
      <c r="K29" s="459"/>
    </row>
    <row r="30" spans="1:13" x14ac:dyDescent="0.25">
      <c r="B30" s="112" t="s">
        <v>534</v>
      </c>
      <c r="C30" s="36">
        <f>SUM(C11:C29)</f>
        <v>4.8020833333333339</v>
      </c>
      <c r="D30" s="32">
        <f>SUM(D11:D26)</f>
        <v>0</v>
      </c>
      <c r="G30" s="26"/>
      <c r="H30" s="460">
        <f>SUM(H11:H29)</f>
        <v>1156.5631929046563</v>
      </c>
      <c r="I30" s="460">
        <f>SUM(I11:I29)</f>
        <v>147.07602339181284</v>
      </c>
      <c r="J30" s="460">
        <f>SUM(J11:J29)</f>
        <v>877.33199598796386</v>
      </c>
      <c r="K30" s="460">
        <f>SUM(K11:K29)</f>
        <v>1303.6392162964692</v>
      </c>
    </row>
    <row r="31" spans="1:13" x14ac:dyDescent="0.25">
      <c r="B31" s="31" t="s">
        <v>536</v>
      </c>
      <c r="C31" s="36">
        <f>C30/24</f>
        <v>0.20008680555555558</v>
      </c>
      <c r="D31" s="112">
        <f>D30/24</f>
        <v>0</v>
      </c>
      <c r="G31" s="26"/>
    </row>
    <row r="32" spans="1:13" ht="21" x14ac:dyDescent="0.55000000000000004">
      <c r="A32" s="34"/>
      <c r="D32" s="113"/>
      <c r="G32" s="26"/>
    </row>
    <row r="33" spans="7:7" x14ac:dyDescent="0.25">
      <c r="G33" s="26"/>
    </row>
    <row r="34" spans="7:7" x14ac:dyDescent="0.25">
      <c r="G34" s="26"/>
    </row>
    <row r="35" spans="7:7" x14ac:dyDescent="0.25">
      <c r="G35" s="26"/>
    </row>
    <row r="36" spans="7:7" x14ac:dyDescent="0.25">
      <c r="G36" s="26"/>
    </row>
    <row r="37" spans="7:7" x14ac:dyDescent="0.25">
      <c r="G37" s="26"/>
    </row>
    <row r="38" spans="7:7" x14ac:dyDescent="0.25">
      <c r="G38" s="26"/>
    </row>
    <row r="39" spans="7:7" x14ac:dyDescent="0.25">
      <c r="G39" s="26"/>
    </row>
    <row r="40" spans="7:7" x14ac:dyDescent="0.25">
      <c r="G40" s="26"/>
    </row>
    <row r="41" spans="7:7" x14ac:dyDescent="0.25">
      <c r="G41" s="26"/>
    </row>
    <row r="42" spans="7:7" x14ac:dyDescent="0.25">
      <c r="G42" s="26"/>
    </row>
    <row r="43" spans="7:7" x14ac:dyDescent="0.25">
      <c r="G43" s="26"/>
    </row>
    <row r="44" spans="7:7" x14ac:dyDescent="0.25">
      <c r="G44" s="26"/>
    </row>
    <row r="45" spans="7:7" x14ac:dyDescent="0.25">
      <c r="G45" s="26"/>
    </row>
    <row r="46" spans="7:7" x14ac:dyDescent="0.25">
      <c r="G46" s="26"/>
    </row>
    <row r="47" spans="7:7" x14ac:dyDescent="0.25">
      <c r="G47" s="26"/>
    </row>
    <row r="48" spans="7:7" x14ac:dyDescent="0.25">
      <c r="G48" s="26"/>
    </row>
    <row r="49" spans="6:11" x14ac:dyDescent="0.25">
      <c r="G49" s="26"/>
    </row>
    <row r="50" spans="6:11" x14ac:dyDescent="0.25">
      <c r="G50" s="26"/>
    </row>
    <row r="51" spans="6:11" x14ac:dyDescent="0.25">
      <c r="G51" s="26"/>
    </row>
    <row r="52" spans="6:11" x14ac:dyDescent="0.25">
      <c r="G52" s="26"/>
    </row>
    <row r="53" spans="6:11" x14ac:dyDescent="0.25">
      <c r="G53" s="26"/>
    </row>
    <row r="54" spans="6:11" x14ac:dyDescent="0.25">
      <c r="F54" s="26"/>
      <c r="H54" s="26"/>
      <c r="I54" s="26"/>
      <c r="J54" s="26"/>
      <c r="K54" s="26"/>
    </row>
    <row r="55" spans="6:11" x14ac:dyDescent="0.25">
      <c r="F55" s="26"/>
      <c r="H55" s="26"/>
      <c r="I55" s="26"/>
      <c r="J55" s="26"/>
      <c r="K55" s="26"/>
    </row>
  </sheetData>
  <mergeCells count="11">
    <mergeCell ref="L15:M15"/>
    <mergeCell ref="A1:B1"/>
    <mergeCell ref="A5:D5"/>
    <mergeCell ref="L11:M11"/>
    <mergeCell ref="L12:M12"/>
    <mergeCell ref="L14:M14"/>
    <mergeCell ref="L21:M21"/>
    <mergeCell ref="L22:M22"/>
    <mergeCell ref="H23:H24"/>
    <mergeCell ref="I23:I24"/>
    <mergeCell ref="K23:K24"/>
  </mergeCells>
  <pageMargins left="0.75" right="0.75" top="1" bottom="1" header="0.5" footer="0.5"/>
  <pageSetup orientation="portrait" r:id="rId1"/>
  <headerFooter alignWithMargins="0">
    <oddFooter>&amp;R&amp;"Arial,Regular"&amp;08&amp;K7F7F7FAmgen Proprietary - Confidential   &amp;C&amp;"Arial,Regular"&amp;08&amp;K7F7F7FAmgen Proprietary - For Internal Use Only</oddFooter>
    <evenFooter>&amp;R&amp;"Arial,Regular"&amp;08&amp;K7F7F7FAmgen Proprietary - Confidential   &amp;C&amp;"Arial,Regular"&amp;08&amp;K7F7F7FAmgen Proprietary - For Internal Use Only</evenFooter>
    <firstFooter>&amp;R&amp;"Arial,Regular"&amp;08&amp;K7F7F7FAmgen Proprietary - Confidential   &amp;C&amp;"Arial,Regular"&amp;08&amp;K7F7F7FAmgen Proprietary - For Internal Use Only</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625AC4-EF16-442B-81BC-13BD7D0F3B0E}">
  <sheetPr codeName="Sheet80">
    <pageSetUpPr autoPageBreaks="0"/>
  </sheetPr>
  <dimension ref="A1:M55"/>
  <sheetViews>
    <sheetView zoomScale="140" zoomScaleNormal="140" workbookViewId="0">
      <selection activeCell="F21" sqref="B21:F23"/>
    </sheetView>
  </sheetViews>
  <sheetFormatPr defaultColWidth="9.453125" defaultRowHeight="11.5" x14ac:dyDescent="0.25"/>
  <cols>
    <col min="1" max="1" width="25" style="25" bestFit="1" customWidth="1"/>
    <col min="2" max="3" width="23.453125" style="25" customWidth="1"/>
    <col min="4" max="4" width="20.54296875" style="25" hidden="1" customWidth="1"/>
    <col min="5" max="5" width="21.54296875" style="25" customWidth="1"/>
    <col min="6" max="6" width="50.54296875" style="25" customWidth="1"/>
    <col min="7" max="7" width="43.453125" style="25" bestFit="1" customWidth="1"/>
    <col min="8" max="11" width="14.453125" style="25" customWidth="1"/>
    <col min="12" max="16384" width="9.453125" style="25"/>
  </cols>
  <sheetData>
    <row r="1" spans="1:13" ht="12" thickBot="1" x14ac:dyDescent="0.3">
      <c r="A1" s="1053" t="s">
        <v>479</v>
      </c>
      <c r="B1" s="1054"/>
    </row>
    <row r="2" spans="1:13" ht="12" thickBot="1" x14ac:dyDescent="0.3">
      <c r="A2" s="772" t="s">
        <v>480</v>
      </c>
      <c r="B2" s="115">
        <f>A11</f>
        <v>44333.395833333336</v>
      </c>
    </row>
    <row r="3" spans="1:13" x14ac:dyDescent="0.25">
      <c r="A3" s="772" t="s">
        <v>482</v>
      </c>
      <c r="B3" s="454">
        <f>A11</f>
        <v>44333.395833333336</v>
      </c>
    </row>
    <row r="5" spans="1:13" x14ac:dyDescent="0.25">
      <c r="A5" s="1049" t="s">
        <v>484</v>
      </c>
      <c r="B5" s="1050"/>
      <c r="C5" s="1050"/>
      <c r="D5" s="1051"/>
    </row>
    <row r="6" spans="1:13" x14ac:dyDescent="0.25">
      <c r="A6" s="781" t="s">
        <v>485</v>
      </c>
      <c r="B6" s="781" t="s">
        <v>486</v>
      </c>
      <c r="C6" s="781" t="s">
        <v>487</v>
      </c>
      <c r="D6" s="781" t="s">
        <v>488</v>
      </c>
    </row>
    <row r="7" spans="1:13" x14ac:dyDescent="0.25">
      <c r="A7" s="41" t="str">
        <f>F16</f>
        <v>IPC: Reaction Conversion</v>
      </c>
      <c r="B7" s="455">
        <f>INDEX($A$11:$A$62,MATCH(A7,$F$11:$F$59,0))</f>
        <v>44334.375</v>
      </c>
      <c r="C7" s="37">
        <f>INDEX($A$11:$A$62,MATCH(A7,$F$11:$F$59,0))</f>
        <v>44334.375</v>
      </c>
      <c r="D7" s="475"/>
    </row>
    <row r="8" spans="1:13" x14ac:dyDescent="0.25">
      <c r="A8" s="35" t="s">
        <v>2445</v>
      </c>
      <c r="B8" s="455">
        <f>INDEX($A$11:$A$62,MATCH(A8,$F$11:$F$59,0))</f>
        <v>44337.989583333328</v>
      </c>
      <c r="C8" s="37">
        <f>INDEX($A$11:$A$62,MATCH(A8,$F$11:$F$59,0))</f>
        <v>44337.989583333328</v>
      </c>
      <c r="D8" s="110"/>
    </row>
    <row r="9" spans="1:13" x14ac:dyDescent="0.25">
      <c r="B9" s="453"/>
    </row>
    <row r="10" spans="1:13" ht="23" x14ac:dyDescent="0.25">
      <c r="A10" s="749" t="s">
        <v>492</v>
      </c>
      <c r="B10" s="749" t="s">
        <v>493</v>
      </c>
      <c r="C10" s="749" t="s">
        <v>494</v>
      </c>
      <c r="D10" s="86" t="s">
        <v>495</v>
      </c>
      <c r="E10" s="749" t="s">
        <v>560</v>
      </c>
      <c r="F10" s="749" t="s">
        <v>541</v>
      </c>
      <c r="G10" s="749" t="s">
        <v>498</v>
      </c>
      <c r="H10" s="749" t="s">
        <v>561</v>
      </c>
      <c r="I10" s="749" t="s">
        <v>126</v>
      </c>
      <c r="J10" s="749" t="s">
        <v>92</v>
      </c>
      <c r="K10" s="749" t="s">
        <v>501</v>
      </c>
    </row>
    <row r="11" spans="1:13" x14ac:dyDescent="0.25">
      <c r="A11" s="31">
        <v>44333.395833333336</v>
      </c>
      <c r="B11" s="38">
        <f>A11</f>
        <v>44333.395833333336</v>
      </c>
      <c r="C11" s="36">
        <v>6.25E-2</v>
      </c>
      <c r="D11" s="327" t="str">
        <f t="shared" ref="D11:D29" si="0">IF(_xlfn.ISFORMULA(E11)=TRUE,"",E11-B11)</f>
        <v/>
      </c>
      <c r="E11" s="114">
        <f t="shared" ref="E11:E29" si="1">B11+C11</f>
        <v>44333.458333333336</v>
      </c>
      <c r="F11" s="35" t="s">
        <v>562</v>
      </c>
      <c r="G11" s="35"/>
      <c r="H11" s="684"/>
      <c r="I11" s="684"/>
      <c r="J11" s="684"/>
      <c r="K11" s="684"/>
      <c r="L11" s="1057"/>
      <c r="M11" s="1056"/>
    </row>
    <row r="12" spans="1:13" ht="12.75" customHeight="1" x14ac:dyDescent="0.25">
      <c r="A12" s="31">
        <f t="shared" ref="A12:A29" si="2">IF(D11 = "",A11+C11,A11+D11)</f>
        <v>44333.458333333336</v>
      </c>
      <c r="B12" s="685">
        <f>IF(D11 = "",B11+C11,B11+D11)</f>
        <v>44333.458333333336</v>
      </c>
      <c r="C12" s="36">
        <v>0.375</v>
      </c>
      <c r="D12" s="327" t="str">
        <f t="shared" si="0"/>
        <v/>
      </c>
      <c r="E12" s="114">
        <f t="shared" si="1"/>
        <v>44333.833333333336</v>
      </c>
      <c r="F12" s="35" t="s">
        <v>563</v>
      </c>
      <c r="G12" s="35"/>
      <c r="H12" s="684"/>
      <c r="I12" s="684"/>
      <c r="J12" s="684"/>
      <c r="K12" s="684"/>
      <c r="L12" s="1055"/>
      <c r="M12" s="1056"/>
    </row>
    <row r="13" spans="1:13" ht="12" customHeight="1" x14ac:dyDescent="0.25">
      <c r="A13" s="31">
        <f t="shared" si="2"/>
        <v>44333.833333333336</v>
      </c>
      <c r="B13" s="37">
        <f t="shared" ref="B13:B29" si="3">IF(D12 = "",B12+C12,B12+D12)</f>
        <v>44333.833333333336</v>
      </c>
      <c r="C13" s="36">
        <v>0.22916666666666666</v>
      </c>
      <c r="D13" s="327" t="str">
        <f t="shared" si="0"/>
        <v/>
      </c>
      <c r="E13" s="114">
        <f t="shared" si="1"/>
        <v>44334.0625</v>
      </c>
      <c r="F13" s="35" t="s">
        <v>564</v>
      </c>
      <c r="G13" s="39"/>
      <c r="H13" s="684"/>
      <c r="I13" s="684"/>
      <c r="J13" s="684">
        <f>(199.6 + 36 + 81 + 81 + 81) / 0.997</f>
        <v>480.04012036108327</v>
      </c>
      <c r="K13" s="684"/>
    </row>
    <row r="14" spans="1:13" ht="12" customHeight="1" x14ac:dyDescent="0.25">
      <c r="A14" s="31">
        <f t="shared" si="2"/>
        <v>44334.0625</v>
      </c>
      <c r="B14" s="37">
        <f t="shared" si="3"/>
        <v>44334.0625</v>
      </c>
      <c r="C14" s="36">
        <v>0.10416666666666667</v>
      </c>
      <c r="D14" s="327" t="str">
        <f t="shared" si="0"/>
        <v/>
      </c>
      <c r="E14" s="114">
        <f t="shared" si="1"/>
        <v>44334.166666666664</v>
      </c>
      <c r="F14" s="35" t="s">
        <v>565</v>
      </c>
      <c r="G14" s="39"/>
      <c r="H14" s="684"/>
      <c r="I14" s="684"/>
      <c r="J14" s="684"/>
      <c r="K14" s="684"/>
      <c r="L14" s="1057"/>
      <c r="M14" s="1056"/>
    </row>
    <row r="15" spans="1:13" ht="12.75" customHeight="1" x14ac:dyDescent="0.25">
      <c r="A15" s="31">
        <f t="shared" si="2"/>
        <v>44334.166666666664</v>
      </c>
      <c r="B15" s="37">
        <f t="shared" si="3"/>
        <v>44334.166666666664</v>
      </c>
      <c r="C15" s="36">
        <v>0.20833333333333334</v>
      </c>
      <c r="D15" s="327" t="str">
        <f t="shared" si="0"/>
        <v/>
      </c>
      <c r="E15" s="114">
        <f t="shared" si="1"/>
        <v>44334.375</v>
      </c>
      <c r="F15" s="35" t="s">
        <v>566</v>
      </c>
      <c r="G15" s="35"/>
      <c r="H15" s="684"/>
      <c r="I15" s="684"/>
      <c r="J15" s="684"/>
      <c r="K15" s="684"/>
      <c r="L15" s="1055"/>
      <c r="M15" s="1056"/>
    </row>
    <row r="16" spans="1:13" ht="13.4" customHeight="1" x14ac:dyDescent="0.25">
      <c r="A16" s="31">
        <f t="shared" si="2"/>
        <v>44334.375</v>
      </c>
      <c r="B16" s="37">
        <f t="shared" si="3"/>
        <v>44334.375</v>
      </c>
      <c r="C16" s="111">
        <v>0.41666666666666669</v>
      </c>
      <c r="D16" s="327" t="str">
        <f t="shared" si="0"/>
        <v/>
      </c>
      <c r="E16" s="114">
        <f t="shared" si="1"/>
        <v>44334.791666666664</v>
      </c>
      <c r="F16" s="39" t="s">
        <v>567</v>
      </c>
      <c r="G16" s="35" t="s">
        <v>568</v>
      </c>
      <c r="H16" s="458"/>
      <c r="I16" s="458"/>
      <c r="J16" s="458"/>
      <c r="K16" s="458"/>
    </row>
    <row r="17" spans="1:13" x14ac:dyDescent="0.25">
      <c r="A17" s="31">
        <f t="shared" si="2"/>
        <v>44334.791666666664</v>
      </c>
      <c r="B17" s="37">
        <f t="shared" si="3"/>
        <v>44334.791666666664</v>
      </c>
      <c r="C17" s="111">
        <v>0.375</v>
      </c>
      <c r="D17" s="327" t="str">
        <f t="shared" si="0"/>
        <v/>
      </c>
      <c r="E17" s="114">
        <f t="shared" si="1"/>
        <v>44335.166666666664</v>
      </c>
      <c r="F17" s="35" t="s">
        <v>569</v>
      </c>
      <c r="G17" s="35"/>
      <c r="H17" s="684"/>
      <c r="I17" s="684"/>
      <c r="J17" s="684"/>
      <c r="K17" s="684"/>
    </row>
    <row r="18" spans="1:13" x14ac:dyDescent="0.25">
      <c r="A18" s="31">
        <f t="shared" si="2"/>
        <v>44335.166666666664</v>
      </c>
      <c r="B18" s="37">
        <f t="shared" si="3"/>
        <v>44335.166666666664</v>
      </c>
      <c r="C18" s="111">
        <v>0.5</v>
      </c>
      <c r="D18" s="327" t="str">
        <f t="shared" si="0"/>
        <v/>
      </c>
      <c r="E18" s="114">
        <f t="shared" si="1"/>
        <v>44335.666666666664</v>
      </c>
      <c r="F18" s="35" t="s">
        <v>570</v>
      </c>
      <c r="G18" s="35"/>
      <c r="H18" s="684"/>
      <c r="I18" s="684"/>
      <c r="J18" s="684">
        <f>(69.5 + 36 + 48 + 62.6 + 36 + 48 + 48 + 48)/0.997</f>
        <v>397.29187562688065</v>
      </c>
      <c r="K18" s="684"/>
    </row>
    <row r="19" spans="1:13" x14ac:dyDescent="0.25">
      <c r="A19" s="31">
        <f t="shared" si="2"/>
        <v>44335.666666666664</v>
      </c>
      <c r="B19" s="37">
        <f t="shared" si="3"/>
        <v>44335.666666666664</v>
      </c>
      <c r="C19" s="111">
        <v>4.1666666666666664E-2</v>
      </c>
      <c r="D19" s="683"/>
      <c r="E19" s="114">
        <f t="shared" si="1"/>
        <v>44335.708333333328</v>
      </c>
      <c r="F19" s="35" t="s">
        <v>2446</v>
      </c>
      <c r="G19" s="35"/>
      <c r="H19" s="684">
        <f>40+120</f>
        <v>160</v>
      </c>
      <c r="I19" s="684"/>
      <c r="J19" s="684"/>
      <c r="K19" s="684">
        <f>H19</f>
        <v>160</v>
      </c>
    </row>
    <row r="20" spans="1:13" ht="13.5" customHeight="1" x14ac:dyDescent="0.25">
      <c r="A20" s="31">
        <f t="shared" si="2"/>
        <v>44335.708333333328</v>
      </c>
      <c r="B20" s="37">
        <f t="shared" si="3"/>
        <v>44335.708333333328</v>
      </c>
      <c r="C20" s="111">
        <v>0.52083333333333337</v>
      </c>
      <c r="D20" s="327" t="str">
        <f t="shared" si="0"/>
        <v/>
      </c>
      <c r="E20" s="114">
        <f t="shared" si="1"/>
        <v>44336.229166666664</v>
      </c>
      <c r="F20" s="35" t="s">
        <v>571</v>
      </c>
      <c r="G20" s="35"/>
      <c r="H20" s="684"/>
      <c r="I20" s="684"/>
      <c r="J20" s="684"/>
      <c r="K20" s="684"/>
    </row>
    <row r="21" spans="1:13" ht="12" customHeight="1" x14ac:dyDescent="0.25">
      <c r="A21" s="31">
        <f t="shared" si="2"/>
        <v>44336.229166666664</v>
      </c>
      <c r="B21" s="37">
        <f t="shared" si="3"/>
        <v>44336.229166666664</v>
      </c>
      <c r="C21" s="36">
        <v>0.57291666666666663</v>
      </c>
      <c r="D21" s="327" t="str">
        <f t="shared" si="0"/>
        <v/>
      </c>
      <c r="E21" s="114">
        <f t="shared" si="1"/>
        <v>44336.802083333328</v>
      </c>
      <c r="F21" s="35" t="s">
        <v>548</v>
      </c>
      <c r="G21" s="39"/>
      <c r="H21" s="684"/>
      <c r="I21" s="684"/>
      <c r="J21" s="684"/>
      <c r="K21" s="684"/>
      <c r="L21" s="1058"/>
      <c r="M21" s="1059"/>
    </row>
    <row r="22" spans="1:13" ht="12.75" customHeight="1" x14ac:dyDescent="0.25">
      <c r="A22" s="31">
        <f t="shared" si="2"/>
        <v>44336.802083333328</v>
      </c>
      <c r="B22" s="37">
        <f t="shared" si="3"/>
        <v>44336.802083333328</v>
      </c>
      <c r="C22" s="36">
        <v>0.125</v>
      </c>
      <c r="D22" s="327" t="str">
        <f t="shared" si="0"/>
        <v/>
      </c>
      <c r="E22" s="114">
        <f t="shared" si="1"/>
        <v>44336.927083333328</v>
      </c>
      <c r="F22" s="35" t="s">
        <v>549</v>
      </c>
      <c r="G22" s="35"/>
      <c r="H22" s="684">
        <f>(252.2 + 36 + 78.4 + 174.3 + 70.4 + 70.4 + 70.4 + 66 + 54.7)/0.902</f>
        <v>967.62749445676275</v>
      </c>
      <c r="I22" s="684">
        <f>54.7/0.684</f>
        <v>79.970760233918128</v>
      </c>
      <c r="J22" s="684"/>
      <c r="K22" s="684">
        <f>SUM(H22:I22)</f>
        <v>1047.598254690681</v>
      </c>
      <c r="L22" s="1060"/>
      <c r="M22" s="1059"/>
    </row>
    <row r="23" spans="1:13" ht="12.75" customHeight="1" x14ac:dyDescent="0.25">
      <c r="A23" s="31">
        <f t="shared" si="2"/>
        <v>44336.927083333328</v>
      </c>
      <c r="B23" s="37">
        <f t="shared" si="3"/>
        <v>44336.927083333328</v>
      </c>
      <c r="C23" s="36">
        <v>0.4375</v>
      </c>
      <c r="D23" s="327" t="str">
        <f t="shared" si="0"/>
        <v/>
      </c>
      <c r="E23" s="114">
        <f t="shared" si="1"/>
        <v>44337.364583333328</v>
      </c>
      <c r="F23" s="35" t="s">
        <v>572</v>
      </c>
      <c r="G23" s="35"/>
      <c r="H23" s="1061">
        <f>26.1/0.902</f>
        <v>28.935698447893571</v>
      </c>
      <c r="I23" s="1063">
        <f>(13.1 + 32.8)/0.684</f>
        <v>67.105263157894726</v>
      </c>
      <c r="J23" s="684"/>
      <c r="K23" s="1061">
        <f t="shared" ref="K23" si="4">SUM(H23:I23)</f>
        <v>96.040961605788297</v>
      </c>
    </row>
    <row r="24" spans="1:13" ht="12.75" customHeight="1" x14ac:dyDescent="0.25">
      <c r="A24" s="31">
        <f t="shared" si="2"/>
        <v>44337.364583333328</v>
      </c>
      <c r="B24" s="37">
        <f t="shared" si="3"/>
        <v>44337.364583333328</v>
      </c>
      <c r="C24" s="36">
        <v>0.625</v>
      </c>
      <c r="D24" s="327" t="str">
        <f t="shared" si="0"/>
        <v/>
      </c>
      <c r="E24" s="114">
        <f t="shared" si="1"/>
        <v>44337.989583333328</v>
      </c>
      <c r="F24" s="35" t="s">
        <v>551</v>
      </c>
      <c r="G24" s="35"/>
      <c r="H24" s="1062"/>
      <c r="I24" s="1063"/>
      <c r="J24" s="684"/>
      <c r="K24" s="1062"/>
    </row>
    <row r="25" spans="1:13" ht="12.75" customHeight="1" x14ac:dyDescent="0.25">
      <c r="A25" s="31">
        <f t="shared" si="2"/>
        <v>44337.989583333328</v>
      </c>
      <c r="B25" s="37">
        <f t="shared" si="3"/>
        <v>44337.989583333328</v>
      </c>
      <c r="C25" s="36">
        <v>6.25E-2</v>
      </c>
      <c r="D25" s="327" t="str">
        <f t="shared" si="0"/>
        <v/>
      </c>
      <c r="E25" s="114">
        <f t="shared" si="1"/>
        <v>44338.052083333328</v>
      </c>
      <c r="F25" s="35" t="s">
        <v>2445</v>
      </c>
      <c r="G25" s="35"/>
      <c r="H25" s="684"/>
      <c r="I25" s="684"/>
      <c r="J25" s="684"/>
      <c r="K25" s="684"/>
    </row>
    <row r="26" spans="1:13" ht="12.75" customHeight="1" x14ac:dyDescent="0.25">
      <c r="A26" s="31">
        <f t="shared" si="2"/>
        <v>44338.052083333328</v>
      </c>
      <c r="B26" s="37">
        <f t="shared" si="3"/>
        <v>44338.052083333328</v>
      </c>
      <c r="C26" s="36">
        <v>0.16666666666666666</v>
      </c>
      <c r="D26" s="327" t="str">
        <f t="shared" si="0"/>
        <v/>
      </c>
      <c r="E26" s="114">
        <f t="shared" si="1"/>
        <v>44338.218749999993</v>
      </c>
      <c r="F26" s="35" t="s">
        <v>2447</v>
      </c>
      <c r="G26" s="35"/>
      <c r="H26" s="684"/>
      <c r="I26" s="684"/>
      <c r="J26" s="684"/>
      <c r="K26" s="684"/>
    </row>
    <row r="27" spans="1:13" ht="12.75" customHeight="1" x14ac:dyDescent="0.25">
      <c r="A27" s="31">
        <f t="shared" si="2"/>
        <v>44338.218749999993</v>
      </c>
      <c r="B27" s="37">
        <f t="shared" si="3"/>
        <v>44338.218749999993</v>
      </c>
      <c r="C27" s="36">
        <v>1.0416666666666666E-2</v>
      </c>
      <c r="D27" s="327" t="str">
        <f t="shared" si="0"/>
        <v/>
      </c>
      <c r="E27" s="114">
        <f t="shared" si="1"/>
        <v>44338.229166666657</v>
      </c>
      <c r="F27" s="167" t="s">
        <v>573</v>
      </c>
      <c r="G27" s="167"/>
      <c r="H27" s="459"/>
      <c r="I27" s="459"/>
      <c r="J27" s="459"/>
      <c r="K27" s="459">
        <f>SUM(H27:I27)</f>
        <v>0</v>
      </c>
    </row>
    <row r="28" spans="1:13" ht="12.75" customHeight="1" x14ac:dyDescent="0.25">
      <c r="A28" s="31">
        <f t="shared" si="2"/>
        <v>44338.229166666657</v>
      </c>
      <c r="B28" s="37">
        <f t="shared" si="3"/>
        <v>44338.229166666657</v>
      </c>
      <c r="C28" s="36">
        <v>0.22916666666666666</v>
      </c>
      <c r="D28" s="327" t="str">
        <f t="shared" si="0"/>
        <v/>
      </c>
      <c r="E28" s="114">
        <f t="shared" si="1"/>
        <v>44338.458333333321</v>
      </c>
      <c r="F28" s="167" t="s">
        <v>574</v>
      </c>
      <c r="G28" s="167"/>
      <c r="H28" s="459"/>
      <c r="I28" s="459"/>
      <c r="J28" s="459"/>
      <c r="K28" s="459">
        <f>SUM(H28:I28)</f>
        <v>0</v>
      </c>
    </row>
    <row r="29" spans="1:13" ht="12.75" customHeight="1" x14ac:dyDescent="0.25">
      <c r="A29" s="31">
        <f t="shared" si="2"/>
        <v>44338.458333333321</v>
      </c>
      <c r="B29" s="37">
        <f t="shared" si="3"/>
        <v>44338.458333333321</v>
      </c>
      <c r="C29" s="36">
        <v>1.0416666666666666E-2</v>
      </c>
      <c r="D29" s="327" t="str">
        <f t="shared" si="0"/>
        <v/>
      </c>
      <c r="E29" s="114">
        <f t="shared" si="1"/>
        <v>44338.468749999985</v>
      </c>
      <c r="F29" s="167" t="s">
        <v>575</v>
      </c>
      <c r="G29" s="167"/>
      <c r="H29" s="459"/>
      <c r="I29" s="459"/>
      <c r="J29" s="459"/>
      <c r="K29" s="459"/>
    </row>
    <row r="30" spans="1:13" x14ac:dyDescent="0.25">
      <c r="B30" s="112" t="s">
        <v>534</v>
      </c>
      <c r="C30" s="36">
        <f>SUM(C11:C29)</f>
        <v>5.0729166666666679</v>
      </c>
      <c r="D30" s="32">
        <f>SUM(D11:D26)</f>
        <v>0</v>
      </c>
      <c r="G30" s="26"/>
      <c r="H30" s="460">
        <f>SUM(H11:H29)</f>
        <v>1156.5631929046563</v>
      </c>
      <c r="I30" s="460">
        <f>SUM(I11:I29)</f>
        <v>147.07602339181284</v>
      </c>
      <c r="J30" s="460">
        <f>SUM(J11:J29)</f>
        <v>877.33199598796386</v>
      </c>
      <c r="K30" s="460">
        <f>SUM(K11:K29)</f>
        <v>1303.6392162964692</v>
      </c>
    </row>
    <row r="31" spans="1:13" x14ac:dyDescent="0.25">
      <c r="B31" s="31" t="s">
        <v>536</v>
      </c>
      <c r="C31" s="36">
        <f>C30/24</f>
        <v>0.21137152777777782</v>
      </c>
      <c r="D31" s="112">
        <f>D30/24</f>
        <v>0</v>
      </c>
      <c r="G31" s="26"/>
    </row>
    <row r="32" spans="1:13" ht="21" x14ac:dyDescent="0.55000000000000004">
      <c r="A32" s="34"/>
      <c r="D32" s="113"/>
      <c r="G32" s="26"/>
    </row>
    <row r="33" spans="7:7" x14ac:dyDescent="0.25">
      <c r="G33" s="26"/>
    </row>
    <row r="34" spans="7:7" x14ac:dyDescent="0.25">
      <c r="G34" s="26"/>
    </row>
    <row r="35" spans="7:7" x14ac:dyDescent="0.25">
      <c r="G35" s="26"/>
    </row>
    <row r="36" spans="7:7" x14ac:dyDescent="0.25">
      <c r="G36" s="26"/>
    </row>
    <row r="37" spans="7:7" x14ac:dyDescent="0.25">
      <c r="G37" s="26"/>
    </row>
    <row r="38" spans="7:7" x14ac:dyDescent="0.25">
      <c r="G38" s="26"/>
    </row>
    <row r="39" spans="7:7" x14ac:dyDescent="0.25">
      <c r="G39" s="26"/>
    </row>
    <row r="40" spans="7:7" x14ac:dyDescent="0.25">
      <c r="G40" s="26"/>
    </row>
    <row r="41" spans="7:7" x14ac:dyDescent="0.25">
      <c r="G41" s="26"/>
    </row>
    <row r="42" spans="7:7" x14ac:dyDescent="0.25">
      <c r="G42" s="26"/>
    </row>
    <row r="43" spans="7:7" x14ac:dyDescent="0.25">
      <c r="G43" s="26"/>
    </row>
    <row r="44" spans="7:7" x14ac:dyDescent="0.25">
      <c r="G44" s="26"/>
    </row>
    <row r="45" spans="7:7" x14ac:dyDescent="0.25">
      <c r="G45" s="26"/>
    </row>
    <row r="46" spans="7:7" x14ac:dyDescent="0.25">
      <c r="G46" s="26"/>
    </row>
    <row r="47" spans="7:7" x14ac:dyDescent="0.25">
      <c r="G47" s="26"/>
    </row>
    <row r="48" spans="7:7" x14ac:dyDescent="0.25">
      <c r="G48" s="26"/>
    </row>
    <row r="49" spans="6:11" x14ac:dyDescent="0.25">
      <c r="G49" s="26"/>
    </row>
    <row r="50" spans="6:11" x14ac:dyDescent="0.25">
      <c r="G50" s="26"/>
    </row>
    <row r="51" spans="6:11" x14ac:dyDescent="0.25">
      <c r="G51" s="26"/>
    </row>
    <row r="52" spans="6:11" x14ac:dyDescent="0.25">
      <c r="G52" s="26"/>
    </row>
    <row r="53" spans="6:11" x14ac:dyDescent="0.25">
      <c r="G53" s="26"/>
    </row>
    <row r="54" spans="6:11" x14ac:dyDescent="0.25">
      <c r="F54" s="26"/>
      <c r="H54" s="26"/>
      <c r="I54" s="26"/>
      <c r="J54" s="26"/>
      <c r="K54" s="26"/>
    </row>
    <row r="55" spans="6:11" x14ac:dyDescent="0.25">
      <c r="F55" s="26"/>
      <c r="H55" s="26"/>
      <c r="I55" s="26"/>
      <c r="J55" s="26"/>
      <c r="K55" s="26"/>
    </row>
  </sheetData>
  <mergeCells count="11">
    <mergeCell ref="L21:M21"/>
    <mergeCell ref="L22:M22"/>
    <mergeCell ref="H23:H24"/>
    <mergeCell ref="I23:I24"/>
    <mergeCell ref="K23:K24"/>
    <mergeCell ref="L15:M15"/>
    <mergeCell ref="A1:B1"/>
    <mergeCell ref="A5:D5"/>
    <mergeCell ref="L11:M11"/>
    <mergeCell ref="L12:M12"/>
    <mergeCell ref="L14:M14"/>
  </mergeCells>
  <pageMargins left="0.75" right="0.75" top="1" bottom="1" header="0.5" footer="0.5"/>
  <pageSetup orientation="portrait" r:id="rId1"/>
  <headerFooter alignWithMargins="0">
    <oddFooter>&amp;R&amp;"Arial,Regular"&amp;08&amp;K7F7F7FAmgen Proprietary - Confidential   &amp;C&amp;"Arial,Regular"&amp;08&amp;K7F7F7FAmgen Proprietary - For Internal Use Only</oddFooter>
    <evenFooter>&amp;R&amp;"Arial,Regular"&amp;08&amp;K7F7F7FAmgen Proprietary - Confidential   &amp;C&amp;"Arial,Regular"&amp;08&amp;K7F7F7FAmgen Proprietary - For Internal Use Only</evenFooter>
    <firstFooter>&amp;R&amp;"Arial,Regular"&amp;08&amp;K7F7F7FAmgen Proprietary - Confidential   &amp;C&amp;"Arial,Regular"&amp;08&amp;K7F7F7FAmgen Proprietary - For Internal Use Only</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12BFA9-9C44-4918-8A75-DCD404923037}">
  <sheetPr codeName="Sheet81">
    <pageSetUpPr autoPageBreaks="0"/>
  </sheetPr>
  <dimension ref="A1:M55"/>
  <sheetViews>
    <sheetView topLeftCell="A4" zoomScale="140" zoomScaleNormal="140" workbookViewId="0">
      <selection activeCell="A27" sqref="A27:XFD29"/>
    </sheetView>
  </sheetViews>
  <sheetFormatPr defaultColWidth="9.453125" defaultRowHeight="11.5" x14ac:dyDescent="0.25"/>
  <cols>
    <col min="1" max="1" width="25" style="25" bestFit="1" customWidth="1"/>
    <col min="2" max="3" width="23.453125" style="25" customWidth="1"/>
    <col min="4" max="4" width="20.54296875" style="25" hidden="1" customWidth="1"/>
    <col min="5" max="5" width="21.54296875" style="25" customWidth="1"/>
    <col min="6" max="6" width="50.54296875" style="25" customWidth="1"/>
    <col min="7" max="7" width="43.453125" style="25" bestFit="1" customWidth="1"/>
    <col min="8" max="11" width="14.453125" style="25" customWidth="1"/>
    <col min="12" max="16384" width="9.453125" style="25"/>
  </cols>
  <sheetData>
    <row r="1" spans="1:13" ht="12" thickBot="1" x14ac:dyDescent="0.3">
      <c r="A1" s="1053" t="s">
        <v>479</v>
      </c>
      <c r="B1" s="1054"/>
    </row>
    <row r="2" spans="1:13" ht="12" thickBot="1" x14ac:dyDescent="0.3">
      <c r="A2" s="772" t="s">
        <v>480</v>
      </c>
      <c r="B2" s="115">
        <f>A11</f>
        <v>44340.395833333336</v>
      </c>
    </row>
    <row r="3" spans="1:13" x14ac:dyDescent="0.25">
      <c r="A3" s="772" t="s">
        <v>482</v>
      </c>
      <c r="B3" s="454">
        <f>A11</f>
        <v>44340.395833333336</v>
      </c>
    </row>
    <row r="5" spans="1:13" x14ac:dyDescent="0.25">
      <c r="A5" s="1049" t="s">
        <v>484</v>
      </c>
      <c r="B5" s="1050"/>
      <c r="C5" s="1050"/>
      <c r="D5" s="1051"/>
    </row>
    <row r="6" spans="1:13" x14ac:dyDescent="0.25">
      <c r="A6" s="781" t="s">
        <v>485</v>
      </c>
      <c r="B6" s="781" t="s">
        <v>486</v>
      </c>
      <c r="C6" s="781" t="s">
        <v>487</v>
      </c>
      <c r="D6" s="781" t="s">
        <v>488</v>
      </c>
    </row>
    <row r="7" spans="1:13" x14ac:dyDescent="0.25">
      <c r="A7" s="41" t="str">
        <f>F16</f>
        <v>IPC: Reaction Conversion</v>
      </c>
      <c r="B7" s="455">
        <f>INDEX($A$11:$A$62,MATCH(A7,$F$11:$F$59,0))</f>
        <v>44341.375</v>
      </c>
      <c r="C7" s="37">
        <f>INDEX($A$11:$A$62,MATCH(A7,$F$11:$F$59,0))</f>
        <v>44341.375</v>
      </c>
      <c r="D7" s="475"/>
    </row>
    <row r="8" spans="1:13" x14ac:dyDescent="0.25">
      <c r="A8" s="35" t="s">
        <v>2445</v>
      </c>
      <c r="B8" s="455">
        <f>INDEX($A$11:$A$62,MATCH(A8,$F$11:$F$59,0))</f>
        <v>44344.71875</v>
      </c>
      <c r="C8" s="37">
        <f>INDEX($A$11:$A$62,MATCH(A8,$F$11:$F$59,0))</f>
        <v>44344.71875</v>
      </c>
      <c r="D8" s="110"/>
    </row>
    <row r="9" spans="1:13" x14ac:dyDescent="0.25">
      <c r="B9" s="453"/>
    </row>
    <row r="10" spans="1:13" ht="23" x14ac:dyDescent="0.25">
      <c r="A10" s="749" t="s">
        <v>492</v>
      </c>
      <c r="B10" s="749" t="s">
        <v>493</v>
      </c>
      <c r="C10" s="749" t="s">
        <v>494</v>
      </c>
      <c r="D10" s="86" t="s">
        <v>495</v>
      </c>
      <c r="E10" s="749" t="s">
        <v>560</v>
      </c>
      <c r="F10" s="749" t="s">
        <v>541</v>
      </c>
      <c r="G10" s="749" t="s">
        <v>498</v>
      </c>
      <c r="H10" s="749" t="s">
        <v>561</v>
      </c>
      <c r="I10" s="749" t="s">
        <v>126</v>
      </c>
      <c r="J10" s="749" t="s">
        <v>92</v>
      </c>
      <c r="K10" s="749" t="s">
        <v>501</v>
      </c>
    </row>
    <row r="11" spans="1:13" x14ac:dyDescent="0.25">
      <c r="A11" s="31">
        <v>44340.395833333336</v>
      </c>
      <c r="B11" s="38">
        <f>A11</f>
        <v>44340.395833333336</v>
      </c>
      <c r="C11" s="36">
        <v>6.25E-2</v>
      </c>
      <c r="D11" s="327" t="str">
        <f t="shared" ref="D11:D29" si="0">IF(_xlfn.ISFORMULA(E11)=TRUE,"",E11-B11)</f>
        <v/>
      </c>
      <c r="E11" s="114">
        <f t="shared" ref="E11:E29" si="1">B11+C11</f>
        <v>44340.458333333336</v>
      </c>
      <c r="F11" s="35" t="s">
        <v>562</v>
      </c>
      <c r="G11" s="35"/>
      <c r="H11" s="684"/>
      <c r="I11" s="684"/>
      <c r="J11" s="684"/>
      <c r="K11" s="684"/>
      <c r="L11" s="1057"/>
      <c r="M11" s="1056"/>
    </row>
    <row r="12" spans="1:13" ht="12.75" customHeight="1" x14ac:dyDescent="0.25">
      <c r="A12" s="31">
        <f t="shared" ref="A12:A29" si="2">IF(D11 = "",A11+C11,A11+D11)</f>
        <v>44340.458333333336</v>
      </c>
      <c r="B12" s="685">
        <f>IF(D11 = "",B11+C11,B11+D11)</f>
        <v>44340.458333333336</v>
      </c>
      <c r="C12" s="36">
        <v>0.375</v>
      </c>
      <c r="D12" s="327" t="str">
        <f t="shared" si="0"/>
        <v/>
      </c>
      <c r="E12" s="114">
        <f t="shared" si="1"/>
        <v>44340.833333333336</v>
      </c>
      <c r="F12" s="35" t="s">
        <v>563</v>
      </c>
      <c r="G12" s="35"/>
      <c r="H12" s="684"/>
      <c r="I12" s="684"/>
      <c r="J12" s="684"/>
      <c r="K12" s="684"/>
      <c r="L12" s="1055"/>
      <c r="M12" s="1056"/>
    </row>
    <row r="13" spans="1:13" ht="12" customHeight="1" x14ac:dyDescent="0.25">
      <c r="A13" s="31">
        <f t="shared" si="2"/>
        <v>44340.833333333336</v>
      </c>
      <c r="B13" s="37">
        <f t="shared" ref="B13:B29" si="3">IF(D12 = "",B12+C12,B12+D12)</f>
        <v>44340.833333333336</v>
      </c>
      <c r="C13" s="36">
        <v>0.22916666666666666</v>
      </c>
      <c r="D13" s="327" t="str">
        <f t="shared" si="0"/>
        <v/>
      </c>
      <c r="E13" s="114">
        <f t="shared" si="1"/>
        <v>44341.0625</v>
      </c>
      <c r="F13" s="35" t="s">
        <v>564</v>
      </c>
      <c r="G13" s="39"/>
      <c r="H13" s="684"/>
      <c r="I13" s="684"/>
      <c r="J13" s="684">
        <f>(199.6 + 36 + 81 + 81 + 81) / 0.997</f>
        <v>480.04012036108327</v>
      </c>
      <c r="K13" s="684"/>
    </row>
    <row r="14" spans="1:13" ht="12" customHeight="1" x14ac:dyDescent="0.25">
      <c r="A14" s="31">
        <f t="shared" si="2"/>
        <v>44341.0625</v>
      </c>
      <c r="B14" s="37">
        <f t="shared" si="3"/>
        <v>44341.0625</v>
      </c>
      <c r="C14" s="36">
        <v>0.10416666666666667</v>
      </c>
      <c r="D14" s="327" t="str">
        <f t="shared" si="0"/>
        <v/>
      </c>
      <c r="E14" s="114">
        <f t="shared" si="1"/>
        <v>44341.166666666664</v>
      </c>
      <c r="F14" s="35" t="s">
        <v>565</v>
      </c>
      <c r="G14" s="39"/>
      <c r="H14" s="684"/>
      <c r="I14" s="684"/>
      <c r="J14" s="684"/>
      <c r="K14" s="684"/>
      <c r="L14" s="1057"/>
      <c r="M14" s="1056"/>
    </row>
    <row r="15" spans="1:13" ht="12.75" customHeight="1" x14ac:dyDescent="0.25">
      <c r="A15" s="31">
        <f t="shared" si="2"/>
        <v>44341.166666666664</v>
      </c>
      <c r="B15" s="37">
        <f t="shared" si="3"/>
        <v>44341.166666666664</v>
      </c>
      <c r="C15" s="36">
        <v>0.20833333333333334</v>
      </c>
      <c r="D15" s="327" t="str">
        <f t="shared" si="0"/>
        <v/>
      </c>
      <c r="E15" s="114">
        <f t="shared" si="1"/>
        <v>44341.375</v>
      </c>
      <c r="F15" s="35" t="s">
        <v>566</v>
      </c>
      <c r="G15" s="35"/>
      <c r="H15" s="684"/>
      <c r="I15" s="684"/>
      <c r="J15" s="684"/>
      <c r="K15" s="684"/>
      <c r="L15" s="1055"/>
      <c r="M15" s="1056"/>
    </row>
    <row r="16" spans="1:13" ht="13.4" customHeight="1" x14ac:dyDescent="0.25">
      <c r="A16" s="31">
        <f t="shared" si="2"/>
        <v>44341.375</v>
      </c>
      <c r="B16" s="37">
        <f t="shared" si="3"/>
        <v>44341.375</v>
      </c>
      <c r="C16" s="111">
        <v>0.14583333333333334</v>
      </c>
      <c r="D16" s="327" t="str">
        <f t="shared" si="0"/>
        <v/>
      </c>
      <c r="E16" s="114">
        <f t="shared" si="1"/>
        <v>44341.520833333336</v>
      </c>
      <c r="F16" s="39" t="s">
        <v>567</v>
      </c>
      <c r="G16" s="35" t="s">
        <v>568</v>
      </c>
      <c r="H16" s="458"/>
      <c r="I16" s="458"/>
      <c r="J16" s="458"/>
      <c r="K16" s="458"/>
    </row>
    <row r="17" spans="1:13" x14ac:dyDescent="0.25">
      <c r="A17" s="31">
        <f t="shared" si="2"/>
        <v>44341.520833333336</v>
      </c>
      <c r="B17" s="37">
        <f t="shared" si="3"/>
        <v>44341.520833333336</v>
      </c>
      <c r="C17" s="111">
        <v>0.375</v>
      </c>
      <c r="D17" s="327" t="str">
        <f t="shared" si="0"/>
        <v/>
      </c>
      <c r="E17" s="114">
        <f t="shared" si="1"/>
        <v>44341.895833333336</v>
      </c>
      <c r="F17" s="35" t="s">
        <v>569</v>
      </c>
      <c r="G17" s="35"/>
      <c r="H17" s="684"/>
      <c r="I17" s="684"/>
      <c r="J17" s="684"/>
      <c r="K17" s="684"/>
    </row>
    <row r="18" spans="1:13" x14ac:dyDescent="0.25">
      <c r="A18" s="31">
        <f t="shared" si="2"/>
        <v>44341.895833333336</v>
      </c>
      <c r="B18" s="37">
        <f t="shared" si="3"/>
        <v>44341.895833333336</v>
      </c>
      <c r="C18" s="111">
        <v>0.5</v>
      </c>
      <c r="D18" s="327" t="str">
        <f t="shared" si="0"/>
        <v/>
      </c>
      <c r="E18" s="114">
        <f t="shared" si="1"/>
        <v>44342.395833333336</v>
      </c>
      <c r="F18" s="35" t="s">
        <v>570</v>
      </c>
      <c r="G18" s="35"/>
      <c r="H18" s="684"/>
      <c r="I18" s="684"/>
      <c r="J18" s="684">
        <f>(69.5 + 36 + 48 + 62.6 + 36 + 48 + 48 + 48)/0.997</f>
        <v>397.29187562688065</v>
      </c>
      <c r="K18" s="684"/>
    </row>
    <row r="19" spans="1:13" x14ac:dyDescent="0.25">
      <c r="A19" s="31">
        <f t="shared" si="2"/>
        <v>44342.395833333336</v>
      </c>
      <c r="B19" s="37">
        <f t="shared" si="3"/>
        <v>44342.395833333336</v>
      </c>
      <c r="C19" s="111">
        <v>4.1666666666666664E-2</v>
      </c>
      <c r="D19" s="683"/>
      <c r="E19" s="114">
        <f t="shared" si="1"/>
        <v>44342.4375</v>
      </c>
      <c r="F19" s="35" t="s">
        <v>2446</v>
      </c>
      <c r="G19" s="35"/>
      <c r="H19" s="684">
        <f>40+120</f>
        <v>160</v>
      </c>
      <c r="I19" s="684"/>
      <c r="J19" s="684"/>
      <c r="K19" s="684">
        <f>H19</f>
        <v>160</v>
      </c>
    </row>
    <row r="20" spans="1:13" ht="13.5" customHeight="1" x14ac:dyDescent="0.25">
      <c r="A20" s="31">
        <f t="shared" si="2"/>
        <v>44342.4375</v>
      </c>
      <c r="B20" s="37">
        <f t="shared" si="3"/>
        <v>44342.4375</v>
      </c>
      <c r="C20" s="111">
        <v>0.52083333333333337</v>
      </c>
      <c r="D20" s="327" t="str">
        <f t="shared" si="0"/>
        <v/>
      </c>
      <c r="E20" s="114">
        <f t="shared" si="1"/>
        <v>44342.958333333336</v>
      </c>
      <c r="F20" s="35" t="s">
        <v>571</v>
      </c>
      <c r="G20" s="35"/>
      <c r="H20" s="684"/>
      <c r="I20" s="684"/>
      <c r="J20" s="684"/>
      <c r="K20" s="684"/>
    </row>
    <row r="21" spans="1:13" ht="12" customHeight="1" x14ac:dyDescent="0.25">
      <c r="A21" s="31">
        <f t="shared" si="2"/>
        <v>44342.958333333336</v>
      </c>
      <c r="B21" s="37">
        <f t="shared" si="3"/>
        <v>44342.958333333336</v>
      </c>
      <c r="C21" s="36">
        <v>0.57291666666666663</v>
      </c>
      <c r="D21" s="327" t="str">
        <f t="shared" si="0"/>
        <v/>
      </c>
      <c r="E21" s="114">
        <f t="shared" si="1"/>
        <v>44343.53125</v>
      </c>
      <c r="F21" s="35" t="s">
        <v>548</v>
      </c>
      <c r="G21" s="39"/>
      <c r="H21" s="684"/>
      <c r="I21" s="684"/>
      <c r="J21" s="684"/>
      <c r="K21" s="684"/>
      <c r="L21" s="1058"/>
      <c r="M21" s="1059"/>
    </row>
    <row r="22" spans="1:13" ht="12.75" customHeight="1" x14ac:dyDescent="0.25">
      <c r="A22" s="31">
        <f t="shared" si="2"/>
        <v>44343.53125</v>
      </c>
      <c r="B22" s="37">
        <f t="shared" si="3"/>
        <v>44343.53125</v>
      </c>
      <c r="C22" s="36">
        <v>0.125</v>
      </c>
      <c r="D22" s="327" t="str">
        <f t="shared" si="0"/>
        <v/>
      </c>
      <c r="E22" s="114">
        <f t="shared" si="1"/>
        <v>44343.65625</v>
      </c>
      <c r="F22" s="35" t="s">
        <v>549</v>
      </c>
      <c r="G22" s="35"/>
      <c r="H22" s="684">
        <f>(252.2 + 36 + 78.4 + 174.3 + 70.4 + 70.4 + 70.4 + 66 + 54.7)/0.902</f>
        <v>967.62749445676275</v>
      </c>
      <c r="I22" s="684">
        <f>54.7/0.684</f>
        <v>79.970760233918128</v>
      </c>
      <c r="J22" s="684"/>
      <c r="K22" s="684">
        <f>SUM(H22:I22)</f>
        <v>1047.598254690681</v>
      </c>
      <c r="L22" s="1060"/>
      <c r="M22" s="1059"/>
    </row>
    <row r="23" spans="1:13" ht="12.75" customHeight="1" x14ac:dyDescent="0.25">
      <c r="A23" s="31">
        <f t="shared" si="2"/>
        <v>44343.65625</v>
      </c>
      <c r="B23" s="37">
        <f t="shared" si="3"/>
        <v>44343.65625</v>
      </c>
      <c r="C23" s="36">
        <v>0.4375</v>
      </c>
      <c r="D23" s="327" t="str">
        <f t="shared" si="0"/>
        <v/>
      </c>
      <c r="E23" s="114">
        <f t="shared" si="1"/>
        <v>44344.09375</v>
      </c>
      <c r="F23" s="35" t="s">
        <v>572</v>
      </c>
      <c r="G23" s="35"/>
      <c r="H23" s="1061">
        <f>26.1/0.902</f>
        <v>28.935698447893571</v>
      </c>
      <c r="I23" s="1063">
        <f>(13.1 + 32.8)/0.684</f>
        <v>67.105263157894726</v>
      </c>
      <c r="J23" s="684"/>
      <c r="K23" s="1061">
        <f t="shared" ref="K23" si="4">SUM(H23:I23)</f>
        <v>96.040961605788297</v>
      </c>
    </row>
    <row r="24" spans="1:13" ht="12.75" customHeight="1" x14ac:dyDescent="0.25">
      <c r="A24" s="31">
        <f t="shared" si="2"/>
        <v>44344.09375</v>
      </c>
      <c r="B24" s="37">
        <f t="shared" si="3"/>
        <v>44344.09375</v>
      </c>
      <c r="C24" s="36">
        <v>0.625</v>
      </c>
      <c r="D24" s="327" t="str">
        <f t="shared" si="0"/>
        <v/>
      </c>
      <c r="E24" s="114">
        <f t="shared" si="1"/>
        <v>44344.71875</v>
      </c>
      <c r="F24" s="35" t="s">
        <v>551</v>
      </c>
      <c r="G24" s="35"/>
      <c r="H24" s="1062"/>
      <c r="I24" s="1063"/>
      <c r="J24" s="684"/>
      <c r="K24" s="1062"/>
    </row>
    <row r="25" spans="1:13" ht="12.75" customHeight="1" x14ac:dyDescent="0.25">
      <c r="A25" s="31">
        <f t="shared" si="2"/>
        <v>44344.71875</v>
      </c>
      <c r="B25" s="37">
        <f t="shared" si="3"/>
        <v>44344.71875</v>
      </c>
      <c r="C25" s="36">
        <v>6.25E-2</v>
      </c>
      <c r="D25" s="327" t="str">
        <f t="shared" si="0"/>
        <v/>
      </c>
      <c r="E25" s="114">
        <f t="shared" si="1"/>
        <v>44344.78125</v>
      </c>
      <c r="F25" s="35" t="s">
        <v>2445</v>
      </c>
      <c r="G25" s="35"/>
      <c r="H25" s="684"/>
      <c r="I25" s="684"/>
      <c r="J25" s="684"/>
      <c r="K25" s="684"/>
    </row>
    <row r="26" spans="1:13" ht="12.75" customHeight="1" x14ac:dyDescent="0.25">
      <c r="A26" s="31">
        <f t="shared" si="2"/>
        <v>44344.78125</v>
      </c>
      <c r="B26" s="37">
        <f t="shared" si="3"/>
        <v>44344.78125</v>
      </c>
      <c r="C26" s="36">
        <v>0.16666666666666666</v>
      </c>
      <c r="D26" s="327" t="str">
        <f t="shared" si="0"/>
        <v/>
      </c>
      <c r="E26" s="114">
        <f t="shared" si="1"/>
        <v>44344.947916666664</v>
      </c>
      <c r="F26" s="35" t="s">
        <v>2447</v>
      </c>
      <c r="G26" s="35"/>
      <c r="H26" s="684"/>
      <c r="I26" s="684"/>
      <c r="J26" s="684"/>
      <c r="K26" s="684"/>
    </row>
    <row r="27" spans="1:13" ht="12.75" hidden="1" customHeight="1" x14ac:dyDescent="0.25">
      <c r="A27" s="31">
        <f t="shared" si="2"/>
        <v>44344.947916666664</v>
      </c>
      <c r="B27" s="37">
        <f t="shared" si="3"/>
        <v>44344.947916666664</v>
      </c>
      <c r="C27" s="36">
        <v>1.0416666666666666E-2</v>
      </c>
      <c r="D27" s="327" t="str">
        <f t="shared" si="0"/>
        <v/>
      </c>
      <c r="E27" s="114">
        <f t="shared" si="1"/>
        <v>44344.958333333328</v>
      </c>
      <c r="F27" s="167" t="s">
        <v>573</v>
      </c>
      <c r="G27" s="167"/>
      <c r="H27" s="459"/>
      <c r="I27" s="459"/>
      <c r="J27" s="459"/>
      <c r="K27" s="459">
        <f>SUM(H27:I27)</f>
        <v>0</v>
      </c>
    </row>
    <row r="28" spans="1:13" ht="12.75" hidden="1" customHeight="1" x14ac:dyDescent="0.25">
      <c r="A28" s="31">
        <f t="shared" si="2"/>
        <v>44344.958333333328</v>
      </c>
      <c r="B28" s="37">
        <f t="shared" si="3"/>
        <v>44344.958333333328</v>
      </c>
      <c r="C28" s="36">
        <v>0.22916666666666666</v>
      </c>
      <c r="D28" s="327" t="str">
        <f t="shared" si="0"/>
        <v/>
      </c>
      <c r="E28" s="114">
        <f t="shared" si="1"/>
        <v>44345.187499999993</v>
      </c>
      <c r="F28" s="167" t="s">
        <v>574</v>
      </c>
      <c r="G28" s="167"/>
      <c r="H28" s="459"/>
      <c r="I28" s="459"/>
      <c r="J28" s="459"/>
      <c r="K28" s="459">
        <f>SUM(H28:I28)</f>
        <v>0</v>
      </c>
    </row>
    <row r="29" spans="1:13" ht="12.75" hidden="1" customHeight="1" x14ac:dyDescent="0.25">
      <c r="A29" s="31">
        <f t="shared" si="2"/>
        <v>44345.187499999993</v>
      </c>
      <c r="B29" s="37">
        <f t="shared" si="3"/>
        <v>44345.187499999993</v>
      </c>
      <c r="C29" s="36">
        <v>1.0416666666666666E-2</v>
      </c>
      <c r="D29" s="327" t="str">
        <f t="shared" si="0"/>
        <v/>
      </c>
      <c r="E29" s="114">
        <f t="shared" si="1"/>
        <v>44345.197916666657</v>
      </c>
      <c r="F29" s="167" t="s">
        <v>575</v>
      </c>
      <c r="G29" s="167"/>
      <c r="H29" s="459"/>
      <c r="I29" s="459"/>
      <c r="J29" s="459"/>
      <c r="K29" s="459"/>
    </row>
    <row r="30" spans="1:13" x14ac:dyDescent="0.25">
      <c r="B30" s="112" t="s">
        <v>534</v>
      </c>
      <c r="C30" s="36">
        <f>SUM(C11:C29)</f>
        <v>4.8020833333333339</v>
      </c>
      <c r="D30" s="32">
        <f>SUM(D11:D26)</f>
        <v>0</v>
      </c>
      <c r="G30" s="26"/>
      <c r="H30" s="460">
        <f>SUM(H11:H29)</f>
        <v>1156.5631929046563</v>
      </c>
      <c r="I30" s="460">
        <f>SUM(I11:I29)</f>
        <v>147.07602339181284</v>
      </c>
      <c r="J30" s="460">
        <f>SUM(J11:J29)</f>
        <v>877.33199598796386</v>
      </c>
      <c r="K30" s="460">
        <f>SUM(K11:K29)</f>
        <v>1303.6392162964692</v>
      </c>
    </row>
    <row r="31" spans="1:13" x14ac:dyDescent="0.25">
      <c r="B31" s="31" t="s">
        <v>536</v>
      </c>
      <c r="C31" s="36">
        <f>C30/24</f>
        <v>0.20008680555555558</v>
      </c>
      <c r="D31" s="112">
        <f>D30/24</f>
        <v>0</v>
      </c>
      <c r="G31" s="26"/>
    </row>
    <row r="32" spans="1:13" ht="21" x14ac:dyDescent="0.55000000000000004">
      <c r="A32" s="34"/>
      <c r="D32" s="113"/>
      <c r="G32" s="26"/>
    </row>
    <row r="33" spans="7:7" x14ac:dyDescent="0.25">
      <c r="G33" s="26"/>
    </row>
    <row r="34" spans="7:7" x14ac:dyDescent="0.25">
      <c r="G34" s="26"/>
    </row>
    <row r="35" spans="7:7" x14ac:dyDescent="0.25">
      <c r="G35" s="26"/>
    </row>
    <row r="36" spans="7:7" x14ac:dyDescent="0.25">
      <c r="G36" s="26"/>
    </row>
    <row r="37" spans="7:7" x14ac:dyDescent="0.25">
      <c r="G37" s="26"/>
    </row>
    <row r="38" spans="7:7" x14ac:dyDescent="0.25">
      <c r="G38" s="26"/>
    </row>
    <row r="39" spans="7:7" x14ac:dyDescent="0.25">
      <c r="G39" s="26"/>
    </row>
    <row r="40" spans="7:7" x14ac:dyDescent="0.25">
      <c r="G40" s="26"/>
    </row>
    <row r="41" spans="7:7" x14ac:dyDescent="0.25">
      <c r="G41" s="26"/>
    </row>
    <row r="42" spans="7:7" x14ac:dyDescent="0.25">
      <c r="G42" s="26"/>
    </row>
    <row r="43" spans="7:7" x14ac:dyDescent="0.25">
      <c r="G43" s="26"/>
    </row>
    <row r="44" spans="7:7" x14ac:dyDescent="0.25">
      <c r="G44" s="26"/>
    </row>
    <row r="45" spans="7:7" x14ac:dyDescent="0.25">
      <c r="G45" s="26"/>
    </row>
    <row r="46" spans="7:7" x14ac:dyDescent="0.25">
      <c r="G46" s="26"/>
    </row>
    <row r="47" spans="7:7" x14ac:dyDescent="0.25">
      <c r="G47" s="26"/>
    </row>
    <row r="48" spans="7:7" x14ac:dyDescent="0.25">
      <c r="G48" s="26"/>
    </row>
    <row r="49" spans="6:11" x14ac:dyDescent="0.25">
      <c r="G49" s="26"/>
    </row>
    <row r="50" spans="6:11" x14ac:dyDescent="0.25">
      <c r="G50" s="26"/>
    </row>
    <row r="51" spans="6:11" x14ac:dyDescent="0.25">
      <c r="G51" s="26"/>
    </row>
    <row r="52" spans="6:11" x14ac:dyDescent="0.25">
      <c r="G52" s="26"/>
    </row>
    <row r="53" spans="6:11" x14ac:dyDescent="0.25">
      <c r="G53" s="26"/>
    </row>
    <row r="54" spans="6:11" x14ac:dyDescent="0.25">
      <c r="F54" s="26"/>
      <c r="H54" s="26"/>
      <c r="I54" s="26"/>
      <c r="J54" s="26"/>
      <c r="K54" s="26"/>
    </row>
    <row r="55" spans="6:11" x14ac:dyDescent="0.25">
      <c r="F55" s="26"/>
      <c r="H55" s="26"/>
      <c r="I55" s="26"/>
      <c r="J55" s="26"/>
      <c r="K55" s="26"/>
    </row>
  </sheetData>
  <mergeCells count="11">
    <mergeCell ref="L21:M21"/>
    <mergeCell ref="L22:M22"/>
    <mergeCell ref="H23:H24"/>
    <mergeCell ref="I23:I24"/>
    <mergeCell ref="K23:K24"/>
    <mergeCell ref="L15:M15"/>
    <mergeCell ref="A1:B1"/>
    <mergeCell ref="A5:D5"/>
    <mergeCell ref="L11:M11"/>
    <mergeCell ref="L12:M12"/>
    <mergeCell ref="L14:M14"/>
  </mergeCells>
  <pageMargins left="0.75" right="0.75" top="1" bottom="1" header="0.5" footer="0.5"/>
  <pageSetup orientation="portrait" r:id="rId1"/>
  <headerFooter alignWithMargins="0">
    <oddFooter>&amp;R&amp;"Arial,Regular"&amp;08&amp;K7F7F7FAmgen Proprietary - Confidential   &amp;C&amp;"Arial,Regular"&amp;08&amp;K7F7F7FAmgen Proprietary - For Internal Use Only</oddFooter>
    <evenFooter>&amp;R&amp;"Arial,Regular"&amp;08&amp;K7F7F7FAmgen Proprietary - Confidential   &amp;C&amp;"Arial,Regular"&amp;08&amp;K7F7F7FAmgen Proprietary - For Internal Use Only</evenFooter>
    <firstFooter>&amp;R&amp;"Arial,Regular"&amp;08&amp;K7F7F7FAmgen Proprietary - Confidential   &amp;C&amp;"Arial,Regular"&amp;08&amp;K7F7F7FAmgen Proprietary - For Internal Use Only</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9E4811-DDE2-4A67-A631-E4DA5E07793F}">
  <sheetPr codeName="Sheet82">
    <pageSetUpPr autoPageBreaks="0"/>
  </sheetPr>
  <dimension ref="A1:O93"/>
  <sheetViews>
    <sheetView topLeftCell="A34" zoomScale="110" zoomScaleNormal="110" workbookViewId="0">
      <selection activeCell="E61" sqref="E61"/>
    </sheetView>
  </sheetViews>
  <sheetFormatPr defaultColWidth="23.453125" defaultRowHeight="11.5" x14ac:dyDescent="0.25"/>
  <cols>
    <col min="1" max="1" width="53" style="25" customWidth="1"/>
    <col min="2" max="2" width="28" style="25" customWidth="1"/>
    <col min="3" max="5" width="23.453125" style="25" customWidth="1"/>
    <col min="6" max="6" width="79.54296875" style="25" bestFit="1" customWidth="1"/>
    <col min="7" max="7" width="40.54296875" style="25" customWidth="1"/>
    <col min="8" max="13" width="10.54296875" style="25" customWidth="1"/>
    <col min="14" max="14" width="11.453125" style="25" bestFit="1" customWidth="1"/>
    <col min="15" max="16384" width="23.453125" style="25"/>
  </cols>
  <sheetData>
    <row r="1" spans="1:13" ht="12" thickBot="1" x14ac:dyDescent="0.3">
      <c r="A1" s="1064" t="s">
        <v>479</v>
      </c>
      <c r="B1" s="1064"/>
    </row>
    <row r="2" spans="1:13" x14ac:dyDescent="0.25">
      <c r="A2" s="43" t="s">
        <v>480</v>
      </c>
      <c r="B2" s="289">
        <f>A13</f>
        <v>44347.354166666664</v>
      </c>
    </row>
    <row r="3" spans="1:13" ht="12" thickBot="1" x14ac:dyDescent="0.3">
      <c r="A3" s="42" t="s">
        <v>482</v>
      </c>
      <c r="B3" s="290">
        <f>A13</f>
        <v>44347.354166666664</v>
      </c>
    </row>
    <row r="5" spans="1:13" x14ac:dyDescent="0.25">
      <c r="A5" s="328" t="s">
        <v>484</v>
      </c>
      <c r="B5" s="328"/>
      <c r="C5" s="328"/>
      <c r="D5" s="328"/>
    </row>
    <row r="6" spans="1:13" x14ac:dyDescent="0.25">
      <c r="A6" s="781" t="s">
        <v>485</v>
      </c>
      <c r="B6" s="781" t="s">
        <v>486</v>
      </c>
      <c r="C6" s="781" t="s">
        <v>487</v>
      </c>
      <c r="D6" s="781" t="s">
        <v>488</v>
      </c>
    </row>
    <row r="7" spans="1:13" x14ac:dyDescent="0.25">
      <c r="A7" s="545" t="s">
        <v>2449</v>
      </c>
      <c r="B7" s="40">
        <f>INDEX($A$14:$A$82,MATCH(A7,$F$14:$F$82,0))</f>
        <v>44348.434027777788</v>
      </c>
      <c r="C7" s="37">
        <f>INDEX($B$14:$B$82,MATCH(A7,$F$14:$F$82,0))</f>
        <v>44348.434027777788</v>
      </c>
      <c r="D7" s="371"/>
    </row>
    <row r="8" spans="1:13" ht="23" x14ac:dyDescent="0.25">
      <c r="A8" s="545" t="s">
        <v>2450</v>
      </c>
      <c r="B8" s="40">
        <f>INDEX($A$14:$A$82,MATCH(A8,$F$14:$F$82,0))</f>
        <v>44350.645833333358</v>
      </c>
      <c r="C8" s="37">
        <f>INDEX($B$14:$B$82,MATCH(A8,$F$14:$F$82,0))</f>
        <v>44350.541666666693</v>
      </c>
      <c r="D8" s="371"/>
    </row>
    <row r="9" spans="1:13" x14ac:dyDescent="0.25">
      <c r="A9" s="545" t="s">
        <v>2451</v>
      </c>
      <c r="B9" s="40">
        <f>INDEX($A$14:$A$82,MATCH(A9,$F$14:$F$82,0))</f>
        <v>44350.750000000022</v>
      </c>
      <c r="C9" s="37">
        <f>E68</f>
        <v>44350.750000000022</v>
      </c>
      <c r="D9" s="371"/>
    </row>
    <row r="11" spans="1:13" ht="30.65" customHeight="1" x14ac:dyDescent="0.25">
      <c r="A11" s="749" t="s">
        <v>492</v>
      </c>
      <c r="B11" s="749" t="s">
        <v>576</v>
      </c>
      <c r="C11" s="749" t="s">
        <v>494</v>
      </c>
      <c r="D11" s="749" t="s">
        <v>495</v>
      </c>
      <c r="E11" s="749" t="s">
        <v>560</v>
      </c>
      <c r="F11" s="749" t="s">
        <v>541</v>
      </c>
      <c r="G11" s="749" t="s">
        <v>498</v>
      </c>
      <c r="H11" s="781" t="s">
        <v>92</v>
      </c>
      <c r="I11" s="781" t="s">
        <v>96</v>
      </c>
      <c r="J11" s="781" t="s">
        <v>577</v>
      </c>
      <c r="K11" s="781" t="s">
        <v>500</v>
      </c>
      <c r="L11" s="278" t="s">
        <v>108</v>
      </c>
      <c r="M11" s="278" t="s">
        <v>114</v>
      </c>
    </row>
    <row r="12" spans="1:13" x14ac:dyDescent="0.25">
      <c r="A12" s="279" t="s">
        <v>2452</v>
      </c>
      <c r="B12" s="279"/>
      <c r="C12" s="279"/>
      <c r="D12" s="279"/>
      <c r="E12" s="279"/>
      <c r="F12" s="279"/>
      <c r="G12" s="279"/>
      <c r="H12" s="777"/>
      <c r="I12" s="777"/>
      <c r="J12" s="777"/>
      <c r="K12" s="777"/>
      <c r="L12" s="777"/>
      <c r="M12" s="777"/>
    </row>
    <row r="13" spans="1:13" x14ac:dyDescent="0.25">
      <c r="A13" s="31">
        <v>44347.354166666664</v>
      </c>
      <c r="B13" s="332">
        <f>B3</f>
        <v>44347.354166666664</v>
      </c>
      <c r="C13" s="398">
        <v>3.125E-2</v>
      </c>
      <c r="D13" s="327"/>
      <c r="E13" s="37">
        <f>B13+C13</f>
        <v>44347.385416666664</v>
      </c>
      <c r="F13" s="476" t="s">
        <v>2453</v>
      </c>
      <c r="G13" s="544"/>
      <c r="H13" s="486"/>
      <c r="I13" s="486"/>
      <c r="J13" s="551">
        <v>150</v>
      </c>
      <c r="K13" s="487"/>
      <c r="L13" s="487">
        <v>150</v>
      </c>
      <c r="M13" s="487"/>
    </row>
    <row r="14" spans="1:13" x14ac:dyDescent="0.25">
      <c r="A14" s="31">
        <f>IF(D13 = "",A13+C13,A13+D13)</f>
        <v>44347.385416666664</v>
      </c>
      <c r="B14" s="332">
        <f>IF(D13 = "",B13+C13,B13+D13)</f>
        <v>44347.385416666664</v>
      </c>
      <c r="C14" s="423">
        <v>3.125E-2</v>
      </c>
      <c r="D14" s="327"/>
      <c r="E14" s="37">
        <f t="shared" ref="E14:E29" si="0">B14+C14</f>
        <v>44347.416666666664</v>
      </c>
      <c r="F14" s="476" t="s">
        <v>579</v>
      </c>
      <c r="G14" s="477"/>
      <c r="H14" s="551">
        <v>30</v>
      </c>
      <c r="I14" s="486"/>
      <c r="J14" s="486"/>
      <c r="K14" s="487"/>
      <c r="L14" s="488">
        <f>SUM(H14:K14)</f>
        <v>30</v>
      </c>
      <c r="M14" s="487"/>
    </row>
    <row r="15" spans="1:13" ht="12.75" customHeight="1" x14ac:dyDescent="0.25">
      <c r="A15" s="31">
        <f t="shared" ref="A15:A30" si="1">IF(D14 = "",A14+C14,A14+D14)</f>
        <v>44347.416666666664</v>
      </c>
      <c r="B15" s="332">
        <f t="shared" ref="B15:B30" si="2">IF(D14 = "",B14+C14,B14+D14)</f>
        <v>44347.416666666664</v>
      </c>
      <c r="C15" s="423">
        <v>6.25E-2</v>
      </c>
      <c r="D15" s="327"/>
      <c r="E15" s="37">
        <f t="shared" si="0"/>
        <v>44347.479166666664</v>
      </c>
      <c r="F15" s="476" t="s">
        <v>580</v>
      </c>
      <c r="G15" s="480"/>
      <c r="H15" s="489"/>
      <c r="I15" s="489">
        <v>30</v>
      </c>
      <c r="J15" s="489"/>
      <c r="K15" s="489"/>
      <c r="L15" s="488">
        <f t="shared" ref="L15:L26" si="3">SUM(H15:K15)</f>
        <v>30</v>
      </c>
      <c r="M15" s="487"/>
    </row>
    <row r="16" spans="1:13" ht="12.75" customHeight="1" x14ac:dyDescent="0.25">
      <c r="A16" s="31">
        <f t="shared" si="1"/>
        <v>44347.479166666664</v>
      </c>
      <c r="B16" s="332">
        <f t="shared" si="2"/>
        <v>44347.479166666664</v>
      </c>
      <c r="C16" s="423">
        <v>5.2083333333333336E-2</v>
      </c>
      <c r="D16" s="327"/>
      <c r="E16" s="37">
        <f t="shared" si="0"/>
        <v>44347.53125</v>
      </c>
      <c r="F16" s="476" t="s">
        <v>581</v>
      </c>
      <c r="G16" s="480"/>
      <c r="H16" s="489"/>
      <c r="I16" s="489"/>
      <c r="J16" s="489">
        <v>30</v>
      </c>
      <c r="K16" s="489"/>
      <c r="L16" s="488">
        <f t="shared" si="3"/>
        <v>30</v>
      </c>
      <c r="M16" s="487"/>
    </row>
    <row r="17" spans="1:15" ht="12.75" customHeight="1" x14ac:dyDescent="0.25">
      <c r="A17" s="31">
        <f t="shared" si="1"/>
        <v>44347.53125</v>
      </c>
      <c r="B17" s="332">
        <f t="shared" si="2"/>
        <v>44347.53125</v>
      </c>
      <c r="C17" s="423">
        <v>2.0833333333333332E-2</v>
      </c>
      <c r="D17" s="327"/>
      <c r="E17" s="37">
        <f t="shared" si="0"/>
        <v>44347.552083333336</v>
      </c>
      <c r="F17" s="476" t="s">
        <v>2454</v>
      </c>
      <c r="G17" s="480"/>
      <c r="H17" s="489">
        <v>250</v>
      </c>
      <c r="I17" s="489"/>
      <c r="J17" s="489"/>
      <c r="K17" s="489"/>
      <c r="L17" s="488">
        <v>250</v>
      </c>
      <c r="M17" s="487"/>
    </row>
    <row r="18" spans="1:15" ht="13.5" customHeight="1" x14ac:dyDescent="0.25">
      <c r="A18" s="31">
        <f t="shared" si="1"/>
        <v>44347.552083333336</v>
      </c>
      <c r="B18" s="332">
        <f t="shared" si="2"/>
        <v>44347.552083333336</v>
      </c>
      <c r="C18" s="423">
        <v>1.0416666666666666E-2</v>
      </c>
      <c r="D18" s="327"/>
      <c r="E18" s="37">
        <f t="shared" si="0"/>
        <v>44347.5625</v>
      </c>
      <c r="F18" s="476" t="s">
        <v>2455</v>
      </c>
      <c r="G18" s="480"/>
      <c r="H18" s="489"/>
      <c r="I18" s="489"/>
      <c r="J18" s="489">
        <v>250</v>
      </c>
      <c r="K18" s="489"/>
      <c r="L18" s="488"/>
      <c r="M18" s="487">
        <v>250</v>
      </c>
    </row>
    <row r="19" spans="1:15" x14ac:dyDescent="0.25">
      <c r="A19" s="31">
        <f t="shared" si="1"/>
        <v>44347.5625</v>
      </c>
      <c r="B19" s="332">
        <f t="shared" si="2"/>
        <v>44347.5625</v>
      </c>
      <c r="C19" s="423">
        <v>6.9444444444444441E-3</v>
      </c>
      <c r="D19" s="327"/>
      <c r="E19" s="37">
        <f t="shared" si="0"/>
        <v>44347.569444444445</v>
      </c>
      <c r="F19" s="476" t="s">
        <v>619</v>
      </c>
      <c r="G19" s="480"/>
      <c r="H19" s="489"/>
      <c r="I19" s="489"/>
      <c r="J19" s="489"/>
      <c r="K19" s="489">
        <v>55</v>
      </c>
      <c r="L19" s="488">
        <f t="shared" si="3"/>
        <v>55</v>
      </c>
      <c r="M19" s="487"/>
    </row>
    <row r="20" spans="1:15" x14ac:dyDescent="0.25">
      <c r="A20" s="31">
        <f t="shared" si="1"/>
        <v>44347.569444444445</v>
      </c>
      <c r="B20" s="332">
        <f t="shared" si="2"/>
        <v>44347.569444444445</v>
      </c>
      <c r="C20" s="423">
        <v>2.0833333333333332E-2</v>
      </c>
      <c r="D20" s="327"/>
      <c r="E20" s="37">
        <f t="shared" si="0"/>
        <v>44347.590277777781</v>
      </c>
      <c r="F20" s="476" t="s">
        <v>585</v>
      </c>
      <c r="G20" s="480"/>
      <c r="H20" s="489"/>
      <c r="I20" s="489"/>
      <c r="J20" s="489"/>
      <c r="K20" s="489">
        <v>610</v>
      </c>
      <c r="L20" s="488">
        <f t="shared" si="3"/>
        <v>610</v>
      </c>
      <c r="M20" s="487"/>
    </row>
    <row r="21" spans="1:15" hidden="1" x14ac:dyDescent="0.25">
      <c r="A21" s="579">
        <f t="shared" si="1"/>
        <v>44347.590277777781</v>
      </c>
      <c r="B21" s="686">
        <f t="shared" si="2"/>
        <v>44347.590277777781</v>
      </c>
      <c r="C21" s="687">
        <v>0</v>
      </c>
      <c r="D21" s="556"/>
      <c r="E21" s="580">
        <f t="shared" si="0"/>
        <v>44347.590277777781</v>
      </c>
      <c r="F21" s="560" t="s">
        <v>693</v>
      </c>
      <c r="G21" s="557"/>
      <c r="H21" s="489"/>
      <c r="I21" s="489"/>
      <c r="J21" s="489"/>
      <c r="K21" s="489"/>
      <c r="L21" s="488"/>
      <c r="M21" s="487"/>
    </row>
    <row r="22" spans="1:15" ht="13.5" customHeight="1" x14ac:dyDescent="0.25">
      <c r="A22" s="31">
        <f t="shared" si="1"/>
        <v>44347.590277777781</v>
      </c>
      <c r="B22" s="332">
        <f t="shared" si="2"/>
        <v>44347.590277777781</v>
      </c>
      <c r="C22" s="398">
        <v>0.3125</v>
      </c>
      <c r="D22" s="327"/>
      <c r="E22" s="37">
        <f t="shared" si="0"/>
        <v>44347.902777777781</v>
      </c>
      <c r="F22" s="476" t="s">
        <v>2456</v>
      </c>
      <c r="G22" s="480"/>
      <c r="H22" s="489"/>
      <c r="I22" s="489"/>
      <c r="J22" s="489"/>
      <c r="K22" s="489">
        <v>550</v>
      </c>
      <c r="L22" s="488">
        <f t="shared" si="3"/>
        <v>550</v>
      </c>
      <c r="M22" s="487"/>
    </row>
    <row r="23" spans="1:15" ht="13.5" hidden="1" customHeight="1" x14ac:dyDescent="0.25">
      <c r="A23" s="553" t="s">
        <v>2457</v>
      </c>
      <c r="B23" s="554"/>
      <c r="C23" s="554"/>
      <c r="D23" s="554"/>
      <c r="E23" s="554"/>
      <c r="F23" s="554"/>
      <c r="G23" s="554"/>
      <c r="H23" s="554"/>
      <c r="I23" s="554"/>
      <c r="J23" s="554"/>
      <c r="K23" s="554"/>
      <c r="L23" s="554"/>
      <c r="M23" s="555"/>
    </row>
    <row r="24" spans="1:15" ht="13.5" hidden="1" customHeight="1" x14ac:dyDescent="0.25">
      <c r="A24" s="494">
        <f>A22</f>
        <v>44347.590277777781</v>
      </c>
      <c r="B24" s="493">
        <f>B22</f>
        <v>44347.590277777781</v>
      </c>
      <c r="C24" s="498">
        <v>0.125</v>
      </c>
      <c r="D24" s="498"/>
      <c r="E24" s="493">
        <f>B24+C24</f>
        <v>44347.715277777781</v>
      </c>
      <c r="F24" s="546" t="s">
        <v>2458</v>
      </c>
      <c r="G24" s="547"/>
      <c r="H24" s="550"/>
      <c r="I24" s="548"/>
      <c r="J24" s="548"/>
      <c r="K24" s="548"/>
      <c r="L24" s="549"/>
      <c r="M24" s="552"/>
    </row>
    <row r="25" spans="1:15" ht="13.5" customHeight="1" x14ac:dyDescent="0.25">
      <c r="A25" s="31">
        <f>IF(D22 = "",A22+C22,A22+D22)</f>
        <v>44347.902777777781</v>
      </c>
      <c r="B25" s="332">
        <f>IF(D22 = "",B22+C22,B22+D22)</f>
        <v>44347.902777777781</v>
      </c>
      <c r="C25" s="398">
        <v>0.3125</v>
      </c>
      <c r="D25" s="327"/>
      <c r="E25" s="37">
        <f t="shared" si="0"/>
        <v>44348.215277777781</v>
      </c>
      <c r="F25" s="476" t="s">
        <v>2459</v>
      </c>
      <c r="G25" s="480"/>
      <c r="H25" s="489"/>
      <c r="I25" s="489"/>
      <c r="J25" s="489"/>
      <c r="K25" s="489">
        <v>370</v>
      </c>
      <c r="L25" s="488">
        <v>370</v>
      </c>
      <c r="M25" s="489"/>
      <c r="N25" s="25" t="s">
        <v>2460</v>
      </c>
      <c r="O25" s="530">
        <f>SUM(K13:K25)</f>
        <v>1585</v>
      </c>
    </row>
    <row r="26" spans="1:15" ht="12.75" customHeight="1" x14ac:dyDescent="0.25">
      <c r="A26" s="31">
        <f t="shared" si="1"/>
        <v>44348.215277777781</v>
      </c>
      <c r="B26" s="332">
        <f t="shared" si="2"/>
        <v>44348.215277777781</v>
      </c>
      <c r="C26" s="170">
        <v>5.2083333333333336E-2</v>
      </c>
      <c r="D26" s="327"/>
      <c r="E26" s="37">
        <f t="shared" si="0"/>
        <v>44348.267361111117</v>
      </c>
      <c r="F26" s="476" t="s">
        <v>2461</v>
      </c>
      <c r="G26" s="480"/>
      <c r="H26" s="489"/>
      <c r="I26" s="489"/>
      <c r="J26" s="489"/>
      <c r="K26" s="489">
        <v>820</v>
      </c>
      <c r="L26" s="488">
        <f t="shared" si="3"/>
        <v>820</v>
      </c>
      <c r="M26" s="487"/>
    </row>
    <row r="27" spans="1:15" ht="12.75" customHeight="1" x14ac:dyDescent="0.25">
      <c r="A27" s="31">
        <f t="shared" si="1"/>
        <v>44348.267361111117</v>
      </c>
      <c r="B27" s="332">
        <f t="shared" si="2"/>
        <v>44348.267361111117</v>
      </c>
      <c r="C27" s="170">
        <v>6.25E-2</v>
      </c>
      <c r="D27" s="327"/>
      <c r="E27" s="37">
        <f t="shared" si="0"/>
        <v>44348.329861111117</v>
      </c>
      <c r="F27" s="476" t="s">
        <v>589</v>
      </c>
      <c r="G27" s="480"/>
      <c r="H27" s="489"/>
      <c r="I27" s="489"/>
      <c r="J27" s="489"/>
      <c r="K27" s="489"/>
      <c r="L27" s="488"/>
      <c r="M27" s="487"/>
    </row>
    <row r="28" spans="1:15" ht="12.75" customHeight="1" x14ac:dyDescent="0.25">
      <c r="A28" s="31">
        <f t="shared" si="1"/>
        <v>44348.329861111117</v>
      </c>
      <c r="B28" s="332">
        <f t="shared" si="2"/>
        <v>44348.329861111117</v>
      </c>
      <c r="C28" s="170">
        <v>8.3333333333333329E-2</v>
      </c>
      <c r="D28" s="327"/>
      <c r="E28" s="37">
        <f t="shared" si="0"/>
        <v>44348.413194444453</v>
      </c>
      <c r="F28" s="476" t="s">
        <v>2462</v>
      </c>
      <c r="G28" s="480"/>
      <c r="H28" s="489"/>
      <c r="I28" s="489"/>
      <c r="J28" s="489"/>
      <c r="K28" s="489"/>
      <c r="L28" s="488"/>
      <c r="M28" s="487"/>
    </row>
    <row r="29" spans="1:15" ht="12.75" customHeight="1" x14ac:dyDescent="0.25">
      <c r="A29" s="31">
        <f t="shared" si="1"/>
        <v>44348.413194444453</v>
      </c>
      <c r="B29" s="332">
        <f t="shared" si="2"/>
        <v>44348.413194444453</v>
      </c>
      <c r="C29" s="398">
        <v>2.0833333333333332E-2</v>
      </c>
      <c r="D29" s="327"/>
      <c r="E29" s="37">
        <f t="shared" si="0"/>
        <v>44348.434027777788</v>
      </c>
      <c r="F29" s="476" t="s">
        <v>2463</v>
      </c>
      <c r="G29" s="480"/>
      <c r="H29" s="489"/>
      <c r="I29" s="489"/>
      <c r="J29" s="489"/>
      <c r="K29" s="489">
        <v>100</v>
      </c>
      <c r="L29" s="543">
        <v>100</v>
      </c>
      <c r="M29" s="487"/>
    </row>
    <row r="30" spans="1:15" ht="12.75" customHeight="1" x14ac:dyDescent="0.25">
      <c r="A30" s="31">
        <f t="shared" si="1"/>
        <v>44348.434027777788</v>
      </c>
      <c r="B30" s="332">
        <f t="shared" si="2"/>
        <v>44348.434027777788</v>
      </c>
      <c r="C30" s="170" t="s">
        <v>99</v>
      </c>
      <c r="D30" s="327"/>
      <c r="E30" s="37" t="s">
        <v>99</v>
      </c>
      <c r="F30" s="484" t="s">
        <v>2449</v>
      </c>
      <c r="G30" s="480"/>
      <c r="H30" s="489"/>
      <c r="I30" s="489"/>
      <c r="J30" s="489"/>
      <c r="K30" s="489"/>
      <c r="L30" s="487"/>
      <c r="M30" s="487"/>
    </row>
    <row r="31" spans="1:15" ht="12.75" customHeight="1" x14ac:dyDescent="0.25">
      <c r="A31" s="31">
        <f>IF(D29 = "",A29+C29,A29+D29)</f>
        <v>44348.434027777788</v>
      </c>
      <c r="B31" s="332">
        <f>IF(D29 = "",B29+C29,B29+D29)</f>
        <v>44348.434027777788</v>
      </c>
      <c r="C31" s="398">
        <v>6.25E-2</v>
      </c>
      <c r="D31" s="327"/>
      <c r="E31" s="37">
        <f t="shared" ref="E31:E47" si="4">B31+C31</f>
        <v>44348.496527777788</v>
      </c>
      <c r="F31" s="476" t="s">
        <v>647</v>
      </c>
      <c r="G31" s="480"/>
      <c r="H31" s="489"/>
      <c r="I31" s="489"/>
      <c r="J31" s="489"/>
      <c r="K31" s="489"/>
      <c r="L31" s="487"/>
      <c r="M31" s="487"/>
    </row>
    <row r="32" spans="1:15" ht="12.75" customHeight="1" x14ac:dyDescent="0.25">
      <c r="A32" s="31">
        <f t="shared" ref="A32" si="5">IF(D31 = "",A31+C31,A31+D31)</f>
        <v>44348.496527777788</v>
      </c>
      <c r="B32" s="332">
        <f>IF(D31 = "",B31+C31,B31+D31)</f>
        <v>44348.496527777788</v>
      </c>
      <c r="C32" s="398">
        <v>2.0833333333333332E-2</v>
      </c>
      <c r="D32" s="327"/>
      <c r="E32" s="37">
        <f t="shared" si="4"/>
        <v>44348.517361111124</v>
      </c>
      <c r="F32" s="476" t="s">
        <v>2464</v>
      </c>
      <c r="G32" s="480"/>
      <c r="H32" s="489"/>
      <c r="I32" s="489"/>
      <c r="J32" s="489"/>
      <c r="K32" s="489">
        <v>126</v>
      </c>
      <c r="L32" s="487">
        <v>126</v>
      </c>
      <c r="M32" s="487"/>
    </row>
    <row r="33" spans="1:15" ht="12.75" customHeight="1" x14ac:dyDescent="0.25">
      <c r="A33" s="31">
        <f>IF(D32 = "",A32+C32,A32+D32)</f>
        <v>44348.517361111124</v>
      </c>
      <c r="B33" s="332">
        <f>IF(D32 = "",B32+C32,B32+D32)</f>
        <v>44348.517361111124</v>
      </c>
      <c r="C33" s="398">
        <v>2.0833333333333332E-2</v>
      </c>
      <c r="D33" s="327"/>
      <c r="E33" s="37">
        <f t="shared" si="4"/>
        <v>44348.53819444446</v>
      </c>
      <c r="F33" s="476" t="s">
        <v>2465</v>
      </c>
      <c r="G33" s="480"/>
      <c r="H33" s="489"/>
      <c r="I33" s="489"/>
      <c r="J33" s="489"/>
      <c r="K33" s="551">
        <v>150</v>
      </c>
      <c r="L33" s="487">
        <v>150</v>
      </c>
      <c r="M33" s="487"/>
    </row>
    <row r="34" spans="1:15" s="267" customFormat="1" ht="14.9" customHeight="1" x14ac:dyDescent="0.25">
      <c r="A34" s="280" t="s">
        <v>2466</v>
      </c>
      <c r="B34" s="280"/>
      <c r="C34" s="280"/>
      <c r="D34" s="280"/>
      <c r="E34" s="280"/>
      <c r="F34" s="280"/>
      <c r="G34" s="280"/>
      <c r="H34" s="284"/>
      <c r="I34" s="284"/>
      <c r="J34" s="284"/>
      <c r="K34" s="284"/>
      <c r="L34" s="285"/>
      <c r="M34" s="341"/>
    </row>
    <row r="35" spans="1:15" x14ac:dyDescent="0.25">
      <c r="A35" s="31">
        <f>IF(D33 = "",A33+C33,A33+D33)</f>
        <v>44348.53819444446</v>
      </c>
      <c r="B35" s="37">
        <f>IF(D33 = "",B33+C33,B33+D33)</f>
        <v>44348.53819444446</v>
      </c>
      <c r="C35" s="170">
        <v>0</v>
      </c>
      <c r="D35" s="327" t="str">
        <f t="shared" ref="D35" si="6">IF(_xlfn.ISFORMULA(E35)=TRUE,"",E35-B35)</f>
        <v/>
      </c>
      <c r="E35" s="37">
        <f t="shared" si="4"/>
        <v>44348.53819444446</v>
      </c>
      <c r="F35" s="476" t="s">
        <v>2464</v>
      </c>
      <c r="G35" s="480"/>
      <c r="H35" s="481"/>
      <c r="I35" s="481"/>
      <c r="J35" s="481"/>
      <c r="K35" s="481">
        <v>0</v>
      </c>
      <c r="L35" s="479"/>
      <c r="M35" s="478"/>
    </row>
    <row r="36" spans="1:15" x14ac:dyDescent="0.25">
      <c r="A36" s="31">
        <f>IF(D35 = "",A35+C35,A35+D35)</f>
        <v>44348.53819444446</v>
      </c>
      <c r="B36" s="37">
        <f>IF(D35 = "",B35+C35,B35+D35)</f>
        <v>44348.53819444446</v>
      </c>
      <c r="C36" s="398">
        <v>1.0416666666666666E-2</v>
      </c>
      <c r="D36" s="327"/>
      <c r="E36" s="37">
        <f t="shared" si="4"/>
        <v>44348.548611111124</v>
      </c>
      <c r="F36" s="476" t="s">
        <v>2467</v>
      </c>
      <c r="G36" s="480"/>
      <c r="H36" s="481"/>
      <c r="I36" s="481"/>
      <c r="J36" s="481">
        <v>126</v>
      </c>
      <c r="K36" s="481"/>
      <c r="L36" s="479">
        <v>126</v>
      </c>
      <c r="M36" s="478"/>
    </row>
    <row r="37" spans="1:15" x14ac:dyDescent="0.25">
      <c r="A37" s="31">
        <f t="shared" ref="A37:A47" si="7">IF(D36 = "",A36+C36,A36+D36)</f>
        <v>44348.548611111124</v>
      </c>
      <c r="B37" s="37">
        <f t="shared" ref="B37:B47" si="8">IF(D36 = "",B36+C36,B36+D36)</f>
        <v>44348.548611111124</v>
      </c>
      <c r="C37" s="423">
        <v>1.0416666666666666E-2</v>
      </c>
      <c r="D37" s="327"/>
      <c r="E37" s="37">
        <f t="shared" si="4"/>
        <v>44348.559027777788</v>
      </c>
      <c r="F37" s="476" t="s">
        <v>619</v>
      </c>
      <c r="G37" s="480"/>
      <c r="H37" s="481"/>
      <c r="I37" s="481"/>
      <c r="J37" s="481"/>
      <c r="K37" s="481">
        <v>47</v>
      </c>
      <c r="L37" s="479">
        <v>47</v>
      </c>
      <c r="M37" s="478"/>
    </row>
    <row r="38" spans="1:15" x14ac:dyDescent="0.25">
      <c r="A38" s="31">
        <f t="shared" si="7"/>
        <v>44348.559027777788</v>
      </c>
      <c r="B38" s="37">
        <f t="shared" si="8"/>
        <v>44348.559027777788</v>
      </c>
      <c r="C38" s="170">
        <v>2.7777777777777776E-2</v>
      </c>
      <c r="D38" s="327"/>
      <c r="E38" s="37">
        <f t="shared" si="4"/>
        <v>44348.586805555569</v>
      </c>
      <c r="F38" s="476" t="s">
        <v>585</v>
      </c>
      <c r="G38" s="480"/>
      <c r="H38" s="481"/>
      <c r="I38" s="481"/>
      <c r="J38" s="481"/>
      <c r="K38" s="481">
        <v>540</v>
      </c>
      <c r="L38" s="481">
        <v>540</v>
      </c>
      <c r="M38" s="478"/>
    </row>
    <row r="39" spans="1:15" x14ac:dyDescent="0.25">
      <c r="A39" s="31">
        <f t="shared" si="7"/>
        <v>44348.586805555569</v>
      </c>
      <c r="B39" s="37">
        <f t="shared" si="8"/>
        <v>44348.586805555569</v>
      </c>
      <c r="C39" s="170">
        <v>0.27083333333333331</v>
      </c>
      <c r="D39" s="327">
        <v>0.3125</v>
      </c>
      <c r="E39" s="37">
        <f t="shared" si="4"/>
        <v>44348.857638888905</v>
      </c>
      <c r="F39" s="476" t="s">
        <v>2456</v>
      </c>
      <c r="G39" s="480"/>
      <c r="H39" s="481"/>
      <c r="I39" s="481"/>
      <c r="J39" s="481"/>
      <c r="K39" s="481">
        <v>450</v>
      </c>
      <c r="L39" s="481">
        <v>450</v>
      </c>
      <c r="M39" s="478"/>
      <c r="N39" s="25" t="s">
        <v>2468</v>
      </c>
      <c r="O39" s="530">
        <f>SUM(K13:K39)</f>
        <v>3818</v>
      </c>
    </row>
    <row r="40" spans="1:15" hidden="1" x14ac:dyDescent="0.25">
      <c r="A40" s="553" t="s">
        <v>2469</v>
      </c>
      <c r="B40" s="554"/>
      <c r="C40" s="554"/>
      <c r="D40" s="554"/>
      <c r="E40" s="554"/>
      <c r="F40" s="554"/>
      <c r="G40" s="554"/>
      <c r="H40" s="554"/>
      <c r="I40" s="554"/>
      <c r="J40" s="554"/>
      <c r="K40" s="554"/>
      <c r="L40" s="554"/>
      <c r="M40" s="555"/>
    </row>
    <row r="41" spans="1:15" hidden="1" x14ac:dyDescent="0.25">
      <c r="A41" s="494">
        <f>A39</f>
        <v>44348.586805555569</v>
      </c>
      <c r="B41" s="493">
        <f>B39</f>
        <v>44348.586805555569</v>
      </c>
      <c r="C41" s="498">
        <v>0.125</v>
      </c>
      <c r="D41" s="498"/>
      <c r="E41" s="493">
        <f>B41+C41</f>
        <v>44348.711805555569</v>
      </c>
      <c r="F41" s="546" t="s">
        <v>2470</v>
      </c>
      <c r="G41" s="547"/>
      <c r="H41" s="550"/>
      <c r="I41" s="548"/>
      <c r="J41" s="548"/>
      <c r="K41" s="548"/>
      <c r="L41" s="549"/>
      <c r="M41" s="552"/>
    </row>
    <row r="42" spans="1:15" x14ac:dyDescent="0.25">
      <c r="A42" s="31">
        <f>IF(D39 = "",A39+C39,A39+D39)</f>
        <v>44348.899305555569</v>
      </c>
      <c r="B42" s="37">
        <f>IF(D39 = "",B39+C39,B39+D39)</f>
        <v>44348.899305555569</v>
      </c>
      <c r="C42" s="170">
        <v>0.27083333333333331</v>
      </c>
      <c r="D42" s="327">
        <v>0.3125</v>
      </c>
      <c r="E42" s="37">
        <f t="shared" si="4"/>
        <v>44349.170138888905</v>
      </c>
      <c r="F42" s="476" t="s">
        <v>2459</v>
      </c>
      <c r="G42" s="480"/>
      <c r="H42" s="481"/>
      <c r="I42" s="481"/>
      <c r="J42" s="481"/>
      <c r="K42" s="481">
        <v>450</v>
      </c>
      <c r="L42" s="481">
        <v>450</v>
      </c>
      <c r="M42" s="478"/>
      <c r="N42" s="25" t="s">
        <v>2471</v>
      </c>
      <c r="O42" s="530">
        <f>SUM(K26:K42)</f>
        <v>2683</v>
      </c>
    </row>
    <row r="43" spans="1:15" x14ac:dyDescent="0.25">
      <c r="A43" s="31">
        <f t="shared" si="7"/>
        <v>44349.211805555569</v>
      </c>
      <c r="B43" s="37">
        <f t="shared" si="8"/>
        <v>44349.211805555569</v>
      </c>
      <c r="C43" s="170">
        <v>6.25E-2</v>
      </c>
      <c r="D43" s="327"/>
      <c r="E43" s="37">
        <f t="shared" si="4"/>
        <v>44349.274305555569</v>
      </c>
      <c r="F43" s="476" t="s">
        <v>647</v>
      </c>
      <c r="G43" s="480"/>
      <c r="H43" s="481"/>
      <c r="I43" s="481"/>
      <c r="J43" s="481"/>
      <c r="K43" s="481"/>
      <c r="L43" s="481"/>
      <c r="M43" s="478"/>
    </row>
    <row r="44" spans="1:15" hidden="1" x14ac:dyDescent="0.25">
      <c r="A44" s="532">
        <f t="shared" si="7"/>
        <v>44349.274305555569</v>
      </c>
      <c r="B44" s="561">
        <f t="shared" si="8"/>
        <v>44349.274305555569</v>
      </c>
      <c r="C44" s="556">
        <v>0</v>
      </c>
      <c r="D44" s="556"/>
      <c r="E44" s="561">
        <f t="shared" si="4"/>
        <v>44349.274305555569</v>
      </c>
      <c r="F44" s="560" t="s">
        <v>693</v>
      </c>
      <c r="G44" s="557"/>
      <c r="H44" s="558"/>
      <c r="I44" s="558"/>
      <c r="J44" s="558"/>
      <c r="K44" s="558"/>
      <c r="L44" s="558"/>
      <c r="M44" s="559"/>
    </row>
    <row r="45" spans="1:15" x14ac:dyDescent="0.25">
      <c r="A45" s="31">
        <f>IF(D44 = "",A44+C44,A44+D44)</f>
        <v>44349.274305555569</v>
      </c>
      <c r="B45" s="37">
        <f>IF(D44 = "",B44+C44,B44+D44)</f>
        <v>44349.274305555569</v>
      </c>
      <c r="C45" s="170">
        <v>0.14583333333333301</v>
      </c>
      <c r="D45" s="327"/>
      <c r="E45" s="37">
        <f t="shared" si="4"/>
        <v>44349.420138888905</v>
      </c>
      <c r="F45" s="476" t="s">
        <v>642</v>
      </c>
      <c r="G45" s="480"/>
      <c r="H45" s="481"/>
      <c r="I45" s="481"/>
      <c r="J45" s="481"/>
      <c r="K45" s="481">
        <v>783</v>
      </c>
      <c r="L45" s="481">
        <v>783</v>
      </c>
      <c r="M45" s="478"/>
    </row>
    <row r="46" spans="1:15" x14ac:dyDescent="0.25">
      <c r="A46" s="31">
        <f t="shared" si="7"/>
        <v>44349.420138888905</v>
      </c>
      <c r="B46" s="37">
        <f t="shared" si="8"/>
        <v>44349.420138888905</v>
      </c>
      <c r="C46" s="170">
        <v>6.25E-2</v>
      </c>
      <c r="D46" s="327"/>
      <c r="E46" s="37">
        <f t="shared" si="4"/>
        <v>44349.482638888905</v>
      </c>
      <c r="F46" s="476" t="s">
        <v>647</v>
      </c>
      <c r="G46" s="480"/>
      <c r="H46" s="481"/>
      <c r="I46" s="481"/>
      <c r="J46" s="481"/>
      <c r="K46" s="481"/>
      <c r="L46" s="481"/>
      <c r="M46" s="478"/>
    </row>
    <row r="47" spans="1:15" x14ac:dyDescent="0.25">
      <c r="A47" s="31">
        <f t="shared" si="7"/>
        <v>44349.482638888905</v>
      </c>
      <c r="B47" s="37">
        <f t="shared" si="8"/>
        <v>44349.482638888905</v>
      </c>
      <c r="C47" s="170">
        <v>8.3333333333333329E-2</v>
      </c>
      <c r="D47" s="327">
        <v>6.9444444444444434E-2</v>
      </c>
      <c r="E47" s="37">
        <f t="shared" si="4"/>
        <v>44349.565972222241</v>
      </c>
      <c r="F47" s="476" t="s">
        <v>2462</v>
      </c>
      <c r="G47" s="480"/>
      <c r="H47" s="481"/>
      <c r="I47" s="481"/>
      <c r="J47" s="481"/>
      <c r="K47" s="481"/>
      <c r="L47" s="481"/>
      <c r="M47" s="478"/>
    </row>
    <row r="48" spans="1:15" x14ac:dyDescent="0.25">
      <c r="A48" s="31">
        <f>IF(D47 = "",A47+C47,A47+D47)</f>
        <v>44349.55208333335</v>
      </c>
      <c r="B48" s="37">
        <f>IF(D47 = "",B47+C47,B47+D47)</f>
        <v>44349.55208333335</v>
      </c>
      <c r="C48" s="170">
        <v>2.0833333333333332E-2</v>
      </c>
      <c r="D48" s="327"/>
      <c r="E48" s="37">
        <f>B48+C48</f>
        <v>44349.572916666686</v>
      </c>
      <c r="F48" s="476" t="s">
        <v>2472</v>
      </c>
      <c r="G48" s="480"/>
      <c r="H48" s="481"/>
      <c r="I48" s="481"/>
      <c r="J48" s="481"/>
      <c r="K48" s="481">
        <v>134</v>
      </c>
      <c r="L48" s="481">
        <v>134</v>
      </c>
      <c r="M48" s="478"/>
    </row>
    <row r="49" spans="1:15" x14ac:dyDescent="0.25">
      <c r="A49" s="280" t="s">
        <v>2473</v>
      </c>
      <c r="B49" s="280"/>
      <c r="C49" s="280"/>
      <c r="D49" s="280"/>
      <c r="E49" s="280"/>
      <c r="F49" s="280"/>
      <c r="G49" s="280"/>
      <c r="H49" s="284"/>
      <c r="I49" s="284"/>
      <c r="J49" s="284"/>
      <c r="K49" s="284"/>
      <c r="L49" s="285"/>
      <c r="M49" s="341"/>
    </row>
    <row r="50" spans="1:15" x14ac:dyDescent="0.25">
      <c r="A50" s="31">
        <f>IF(D48 = "",A48+C48,A48+D48)</f>
        <v>44349.572916666686</v>
      </c>
      <c r="B50" s="37">
        <f>IF(D48 = "",B48+C48,B48+D48)</f>
        <v>44349.572916666686</v>
      </c>
      <c r="C50" s="170">
        <v>0</v>
      </c>
      <c r="D50" s="327"/>
      <c r="E50" s="37">
        <f>B50+C50</f>
        <v>44349.572916666686</v>
      </c>
      <c r="F50" s="476" t="s">
        <v>2465</v>
      </c>
      <c r="G50" s="480"/>
      <c r="H50" s="481"/>
      <c r="I50" s="481"/>
      <c r="J50" s="481"/>
      <c r="K50" s="481"/>
      <c r="L50" s="478"/>
      <c r="M50" s="478"/>
    </row>
    <row r="51" spans="1:15" x14ac:dyDescent="0.25">
      <c r="A51" s="31">
        <f>IF(D50 = "",A50+C50,A50+D50)</f>
        <v>44349.572916666686</v>
      </c>
      <c r="B51" s="37">
        <f>IF(D50 = "",B50+C50,B50+D50)</f>
        <v>44349.572916666686</v>
      </c>
      <c r="C51" s="170">
        <v>0</v>
      </c>
      <c r="D51" s="327"/>
      <c r="E51" s="37">
        <f t="shared" ref="E51:E66" si="9">B51+C51</f>
        <v>44349.572916666686</v>
      </c>
      <c r="F51" s="476" t="s">
        <v>2472</v>
      </c>
      <c r="G51" s="480"/>
      <c r="H51" s="481"/>
      <c r="I51" s="481"/>
      <c r="J51" s="481"/>
      <c r="K51" s="481"/>
      <c r="L51" s="478"/>
      <c r="M51" s="478"/>
    </row>
    <row r="52" spans="1:15" x14ac:dyDescent="0.25">
      <c r="A52" s="31">
        <f t="shared" ref="A52:A65" si="10">IF(D51 = "",A51+C51,A51+D51)</f>
        <v>44349.572916666686</v>
      </c>
      <c r="B52" s="37">
        <f t="shared" ref="B52:B65" si="11">IF(D51 = "",B51+C51,B51+D51)</f>
        <v>44349.572916666686</v>
      </c>
      <c r="C52" s="431">
        <v>6.25E-2</v>
      </c>
      <c r="D52" s="327">
        <v>9.375E-2</v>
      </c>
      <c r="E52" s="37">
        <f t="shared" si="9"/>
        <v>44349.635416666686</v>
      </c>
      <c r="F52" s="476" t="s">
        <v>2461</v>
      </c>
      <c r="G52" s="480"/>
      <c r="H52" s="481"/>
      <c r="I52" s="481"/>
      <c r="J52" s="481"/>
      <c r="K52" s="481">
        <v>1621</v>
      </c>
      <c r="L52" s="479">
        <v>1621</v>
      </c>
      <c r="M52" s="478"/>
    </row>
    <row r="53" spans="1:15" hidden="1" x14ac:dyDescent="0.25">
      <c r="A53" s="532">
        <f t="shared" si="10"/>
        <v>44349.666666666686</v>
      </c>
      <c r="B53" s="561">
        <f t="shared" si="11"/>
        <v>44349.666666666686</v>
      </c>
      <c r="C53" s="556">
        <v>0</v>
      </c>
      <c r="D53" s="556"/>
      <c r="E53" s="561">
        <f t="shared" si="9"/>
        <v>44349.666666666686</v>
      </c>
      <c r="F53" s="560" t="s">
        <v>693</v>
      </c>
      <c r="G53" s="557"/>
      <c r="H53" s="558"/>
      <c r="I53" s="558"/>
      <c r="J53" s="558"/>
      <c r="K53" s="558"/>
      <c r="L53" s="558"/>
      <c r="M53" s="559"/>
    </row>
    <row r="54" spans="1:15" x14ac:dyDescent="0.25">
      <c r="A54" s="553" t="s">
        <v>2474</v>
      </c>
      <c r="B54" s="554"/>
      <c r="C54" s="554"/>
      <c r="D54" s="554"/>
      <c r="E54" s="554"/>
      <c r="F54" s="554"/>
      <c r="G54" s="554"/>
      <c r="H54" s="554"/>
      <c r="I54" s="554"/>
      <c r="J54" s="554"/>
      <c r="K54" s="554"/>
      <c r="L54" s="554"/>
      <c r="M54" s="555"/>
    </row>
    <row r="55" spans="1:15" s="741" customFormat="1" x14ac:dyDescent="0.25">
      <c r="A55" s="494">
        <f>IF(D53 = "",A53+C53,A53+D53)</f>
        <v>44349.666666666686</v>
      </c>
      <c r="B55" s="493">
        <f>IF(D53 = "",B53+C53,B53+D53)</f>
        <v>44349.666666666686</v>
      </c>
      <c r="C55" s="498">
        <v>0.10416666666666667</v>
      </c>
      <c r="D55" s="498"/>
      <c r="E55" s="493">
        <f>B55+C55</f>
        <v>44349.77083333335</v>
      </c>
      <c r="F55" s="546"/>
      <c r="G55" s="547"/>
      <c r="H55" s="550"/>
      <c r="I55" s="548"/>
      <c r="J55" s="548"/>
      <c r="K55" s="548"/>
      <c r="L55" s="549"/>
      <c r="M55" s="552"/>
      <c r="N55" s="25"/>
      <c r="O55" s="25"/>
    </row>
    <row r="56" spans="1:15" x14ac:dyDescent="0.25">
      <c r="A56" s="31">
        <f>IF(D55 = "",A55+C55,A55+D55)</f>
        <v>44349.77083333335</v>
      </c>
      <c r="B56" s="37">
        <f>IF(D53 = "",B53+C53,B53+D53)</f>
        <v>44349.666666666686</v>
      </c>
      <c r="C56" s="432">
        <v>0.14583333333333334</v>
      </c>
      <c r="D56" s="327"/>
      <c r="E56" s="37">
        <f t="shared" si="9"/>
        <v>44349.812500000022</v>
      </c>
      <c r="F56" s="476" t="s">
        <v>2475</v>
      </c>
      <c r="G56" s="480"/>
      <c r="H56" s="481"/>
      <c r="I56" s="481"/>
      <c r="J56" s="481"/>
      <c r="K56" s="481">
        <v>260</v>
      </c>
      <c r="L56" s="481">
        <v>260</v>
      </c>
      <c r="M56" s="478"/>
    </row>
    <row r="57" spans="1:15" x14ac:dyDescent="0.25">
      <c r="A57" s="31">
        <f>IF(D56 = "",A56+C56,A56+D56)</f>
        <v>44349.916666666686</v>
      </c>
      <c r="B57" s="37">
        <f>IF(D56 = "",B56+C56,B56+D56)</f>
        <v>44349.812500000022</v>
      </c>
      <c r="C57" s="432">
        <v>0.14583333333333334</v>
      </c>
      <c r="D57" s="327"/>
      <c r="E57" s="37">
        <f t="shared" si="9"/>
        <v>44349.958333333358</v>
      </c>
      <c r="F57" s="476" t="s">
        <v>2476</v>
      </c>
      <c r="G57" s="480"/>
      <c r="H57" s="481"/>
      <c r="I57" s="481"/>
      <c r="J57" s="481"/>
      <c r="K57" s="481">
        <v>260</v>
      </c>
      <c r="L57" s="481">
        <v>260</v>
      </c>
      <c r="M57" s="478"/>
    </row>
    <row r="58" spans="1:15" x14ac:dyDescent="0.25">
      <c r="A58" s="31">
        <f t="shared" si="10"/>
        <v>44350.062500000022</v>
      </c>
      <c r="B58" s="37">
        <f t="shared" si="11"/>
        <v>44349.958333333358</v>
      </c>
      <c r="C58" s="432">
        <v>0.14583333333333334</v>
      </c>
      <c r="D58" s="327"/>
      <c r="E58" s="37">
        <f t="shared" si="9"/>
        <v>44350.104166666693</v>
      </c>
      <c r="F58" s="476" t="s">
        <v>2477</v>
      </c>
      <c r="G58" s="480"/>
      <c r="H58" s="481"/>
      <c r="I58" s="481"/>
      <c r="J58" s="481"/>
      <c r="K58" s="481">
        <v>260</v>
      </c>
      <c r="L58" s="481">
        <v>260</v>
      </c>
      <c r="M58" s="478"/>
      <c r="N58" s="25" t="s">
        <v>2478</v>
      </c>
      <c r="O58" s="530">
        <f>SUM(K43:K58)</f>
        <v>3318</v>
      </c>
    </row>
    <row r="59" spans="1:15" x14ac:dyDescent="0.25">
      <c r="A59" s="31">
        <f t="shared" si="10"/>
        <v>44350.208333333358</v>
      </c>
      <c r="B59" s="37">
        <f t="shared" si="11"/>
        <v>44350.104166666693</v>
      </c>
      <c r="C59" s="432">
        <v>0.125</v>
      </c>
      <c r="D59" s="327"/>
      <c r="E59" s="37">
        <f t="shared" si="9"/>
        <v>44350.229166666693</v>
      </c>
      <c r="F59" s="476" t="s">
        <v>647</v>
      </c>
      <c r="G59" s="480"/>
      <c r="H59" s="481"/>
      <c r="I59" s="481"/>
      <c r="J59" s="481"/>
      <c r="K59" s="481"/>
      <c r="L59" s="481"/>
      <c r="M59" s="478"/>
      <c r="N59" s="25" t="s">
        <v>2479</v>
      </c>
      <c r="O59" s="530">
        <f>SUM(L13:L58)</f>
        <v>8202</v>
      </c>
    </row>
    <row r="60" spans="1:15" x14ac:dyDescent="0.25">
      <c r="A60" s="31">
        <f>IF(D59 = "",A59+C59,A59+D59)</f>
        <v>44350.333333333358</v>
      </c>
      <c r="B60" s="37">
        <f>IF(D59 = "",B59+C59,B59+D59)</f>
        <v>44350.229166666693</v>
      </c>
      <c r="C60" s="431">
        <v>0.125</v>
      </c>
      <c r="D60" s="327"/>
      <c r="E60" s="37">
        <f t="shared" si="9"/>
        <v>44350.354166666693</v>
      </c>
      <c r="F60" s="476" t="s">
        <v>597</v>
      </c>
      <c r="G60" s="480"/>
      <c r="H60" s="481"/>
      <c r="I60" s="481"/>
      <c r="J60" s="481"/>
      <c r="K60" s="481"/>
      <c r="L60" s="481"/>
      <c r="M60" s="478"/>
    </row>
    <row r="61" spans="1:15" x14ac:dyDescent="0.25">
      <c r="A61" s="31">
        <f t="shared" si="10"/>
        <v>44350.458333333358</v>
      </c>
      <c r="B61" s="37">
        <f t="shared" si="11"/>
        <v>44350.354166666693</v>
      </c>
      <c r="C61" s="431">
        <v>2.0833333333333332E-2</v>
      </c>
      <c r="D61" s="327"/>
      <c r="E61" s="37">
        <f t="shared" si="9"/>
        <v>44350.375000000029</v>
      </c>
      <c r="F61" s="476" t="s">
        <v>2461</v>
      </c>
      <c r="G61" s="480"/>
      <c r="H61" s="481"/>
      <c r="I61" s="481"/>
      <c r="J61" s="481"/>
      <c r="K61" s="481">
        <v>1206</v>
      </c>
      <c r="L61" s="481">
        <v>1206</v>
      </c>
      <c r="M61" s="478"/>
    </row>
    <row r="62" spans="1:15" x14ac:dyDescent="0.25">
      <c r="A62" s="31">
        <f t="shared" si="10"/>
        <v>44350.479166666693</v>
      </c>
      <c r="B62" s="37">
        <f>IF(D61 = "",B61+C61,B61+D61)</f>
        <v>44350.375000000029</v>
      </c>
      <c r="C62" s="433">
        <v>0.10416666666666667</v>
      </c>
      <c r="D62" s="327"/>
      <c r="E62" s="37">
        <f t="shared" si="9"/>
        <v>44350.479166666693</v>
      </c>
      <c r="F62" s="476" t="s">
        <v>647</v>
      </c>
      <c r="G62" s="480"/>
      <c r="H62" s="481"/>
      <c r="I62" s="481"/>
      <c r="J62" s="481"/>
      <c r="K62" s="481"/>
      <c r="L62" s="481"/>
      <c r="M62" s="478"/>
    </row>
    <row r="63" spans="1:15" x14ac:dyDescent="0.25">
      <c r="A63" s="31">
        <f t="shared" si="10"/>
        <v>44350.583333333358</v>
      </c>
      <c r="B63" s="37">
        <f t="shared" si="11"/>
        <v>44350.479166666693</v>
      </c>
      <c r="C63" s="431">
        <v>4.1666666666666664E-2</v>
      </c>
      <c r="D63" s="327" t="str">
        <f>IF(_xlfn.ISFORMULA(E63)=TRUE,"",E63-B63)</f>
        <v/>
      </c>
      <c r="E63" s="37">
        <f t="shared" si="9"/>
        <v>44350.520833333358</v>
      </c>
      <c r="F63" s="476" t="s">
        <v>648</v>
      </c>
      <c r="G63" s="480"/>
      <c r="H63" s="481"/>
      <c r="I63" s="481"/>
      <c r="J63" s="481"/>
      <c r="K63" s="481"/>
      <c r="L63" s="481"/>
      <c r="M63" s="478"/>
    </row>
    <row r="64" spans="1:15" x14ac:dyDescent="0.25">
      <c r="A64" s="31">
        <f t="shared" si="10"/>
        <v>44350.625000000022</v>
      </c>
      <c r="B64" s="37">
        <f t="shared" si="11"/>
        <v>44350.520833333358</v>
      </c>
      <c r="C64" s="431">
        <v>2.0833333333333332E-2</v>
      </c>
      <c r="D64" s="327" t="str">
        <f>IF(_xlfn.ISFORMULA(E64)=TRUE,"",E64-B64)</f>
        <v/>
      </c>
      <c r="E64" s="37">
        <f t="shared" si="9"/>
        <v>44350.541666666693</v>
      </c>
      <c r="F64" s="476" t="s">
        <v>598</v>
      </c>
      <c r="G64" s="480"/>
      <c r="H64" s="481"/>
      <c r="I64" s="481"/>
      <c r="J64" s="481"/>
      <c r="K64" s="481">
        <v>37</v>
      </c>
      <c r="L64" s="481">
        <v>37</v>
      </c>
      <c r="M64" s="478"/>
    </row>
    <row r="65" spans="1:13" x14ac:dyDescent="0.25">
      <c r="A65" s="31">
        <f t="shared" si="10"/>
        <v>44350.645833333358</v>
      </c>
      <c r="B65" s="37">
        <f t="shared" si="11"/>
        <v>44350.541666666693</v>
      </c>
      <c r="C65" s="437" t="s">
        <v>99</v>
      </c>
      <c r="D65" s="327"/>
      <c r="E65" s="37" t="s">
        <v>99</v>
      </c>
      <c r="F65" s="484" t="s">
        <v>2450</v>
      </c>
      <c r="G65" s="480"/>
      <c r="H65" s="481"/>
      <c r="I65" s="481"/>
      <c r="J65" s="481"/>
      <c r="K65" s="481"/>
      <c r="L65" s="479"/>
      <c r="M65" s="478"/>
    </row>
    <row r="66" spans="1:13" x14ac:dyDescent="0.25">
      <c r="A66" s="31">
        <f>IF(D64 = "",A64+C64,A64+D64)</f>
        <v>44350.645833333358</v>
      </c>
      <c r="B66" s="37">
        <f>IF(D64 = "",B64+C64,B64+D64)</f>
        <v>44350.541666666693</v>
      </c>
      <c r="C66" s="437">
        <v>0.10416666666666667</v>
      </c>
      <c r="D66" s="327" t="str">
        <f t="shared" ref="D66" si="12">IF(_xlfn.ISFORMULA(E66)=TRUE,"",E66-B66)</f>
        <v/>
      </c>
      <c r="E66" s="37">
        <f t="shared" si="9"/>
        <v>44350.645833333358</v>
      </c>
      <c r="F66" s="476" t="s">
        <v>656</v>
      </c>
      <c r="G66" s="480"/>
      <c r="H66" s="481"/>
      <c r="I66" s="481"/>
      <c r="J66" s="481"/>
      <c r="K66" s="481"/>
      <c r="L66" s="479"/>
      <c r="M66" s="478"/>
    </row>
    <row r="67" spans="1:13" ht="11.25" customHeight="1" x14ac:dyDescent="0.25">
      <c r="A67" s="280" t="s">
        <v>2474</v>
      </c>
      <c r="B67" s="280"/>
      <c r="C67" s="280"/>
      <c r="D67" s="280"/>
      <c r="E67" s="280"/>
      <c r="F67" s="280"/>
      <c r="G67" s="280"/>
      <c r="H67" s="284"/>
      <c r="I67" s="284"/>
      <c r="J67" s="284"/>
      <c r="K67" s="284"/>
      <c r="L67" s="285"/>
      <c r="M67" s="341"/>
    </row>
    <row r="68" spans="1:13" x14ac:dyDescent="0.25">
      <c r="A68" s="31">
        <f>IF(D66 = "",A66+C66,A66+D66)</f>
        <v>44350.750000000022</v>
      </c>
      <c r="B68" s="37">
        <f>IF(D66 = "",B66+C66,B66+D66)</f>
        <v>44350.645833333358</v>
      </c>
      <c r="C68" s="683">
        <v>0.10416666666666667</v>
      </c>
      <c r="D68" s="683"/>
      <c r="E68" s="37">
        <f>B68+C68</f>
        <v>44350.750000000022</v>
      </c>
      <c r="F68" s="484" t="s">
        <v>2451</v>
      </c>
      <c r="G68" s="547"/>
      <c r="H68" s="550"/>
      <c r="I68" s="548"/>
      <c r="J68" s="548"/>
      <c r="K68" s="548"/>
      <c r="L68" s="549"/>
      <c r="M68" s="552"/>
    </row>
    <row r="69" spans="1:13" x14ac:dyDescent="0.25">
      <c r="G69" s="26"/>
      <c r="H69" s="481"/>
      <c r="I69" s="481"/>
      <c r="J69" s="481"/>
      <c r="K69" s="481">
        <f>SUM(K13:K66)</f>
        <v>8829</v>
      </c>
      <c r="L69" s="479">
        <f>SUM(L13:L22)+SUM(L25:L33)+SUM(L35:L39)+SUM(L41:L48)+SUM(L50:L66)</f>
        <v>9445</v>
      </c>
      <c r="M69" s="478"/>
    </row>
    <row r="70" spans="1:13" hidden="1" x14ac:dyDescent="0.25">
      <c r="A70" s="485"/>
      <c r="B70" s="33" t="s">
        <v>534</v>
      </c>
      <c r="C70" s="32" t="e">
        <f>SUM(C35:C69,C14:C28,#REF!,#REF!,#REF!)</f>
        <v>#REF!</v>
      </c>
      <c r="D70" s="32" t="e">
        <f>SUM(D35:D69,D14:D28,#REF!,#REF!,#REF!,#REF!,#REF!)</f>
        <v>#REF!</v>
      </c>
      <c r="G70" s="274" t="s">
        <v>607</v>
      </c>
      <c r="H70" s="287">
        <f t="shared" ref="H70:M70" si="13">SUM(H14:H69)</f>
        <v>280</v>
      </c>
      <c r="I70" s="287">
        <f t="shared" si="13"/>
        <v>30</v>
      </c>
      <c r="J70" s="287">
        <f t="shared" si="13"/>
        <v>406</v>
      </c>
      <c r="K70" s="287">
        <f t="shared" si="13"/>
        <v>17658</v>
      </c>
      <c r="L70" s="287">
        <f t="shared" si="13"/>
        <v>18740</v>
      </c>
      <c r="M70" s="287">
        <f t="shared" si="13"/>
        <v>250</v>
      </c>
    </row>
    <row r="71" spans="1:13" hidden="1" x14ac:dyDescent="0.25">
      <c r="B71" s="31" t="s">
        <v>536</v>
      </c>
      <c r="C71" s="112" t="e">
        <f>(C70/24)</f>
        <v>#REF!</v>
      </c>
      <c r="D71" s="112" t="e">
        <f>(D70/24)</f>
        <v>#REF!</v>
      </c>
      <c r="G71" s="26"/>
      <c r="H71" s="26"/>
      <c r="I71" s="26"/>
      <c r="J71" s="26"/>
    </row>
    <row r="72" spans="1:13" x14ac:dyDescent="0.25">
      <c r="C72" s="262"/>
      <c r="D72" s="262"/>
      <c r="G72" s="26"/>
      <c r="H72" s="26"/>
      <c r="I72" s="26"/>
      <c r="J72" s="26"/>
    </row>
    <row r="73" spans="1:13" x14ac:dyDescent="0.25">
      <c r="G73" s="26"/>
      <c r="H73" s="26"/>
      <c r="I73" s="26"/>
      <c r="J73" s="26"/>
    </row>
    <row r="74" spans="1:13" x14ac:dyDescent="0.25">
      <c r="G74" s="26"/>
      <c r="H74" s="26"/>
      <c r="I74" s="26"/>
      <c r="J74" s="26"/>
    </row>
    <row r="75" spans="1:13" x14ac:dyDescent="0.25">
      <c r="G75" s="26"/>
      <c r="H75" s="26"/>
      <c r="I75" s="26"/>
      <c r="J75" s="26"/>
    </row>
    <row r="76" spans="1:13" x14ac:dyDescent="0.25">
      <c r="G76" s="26"/>
      <c r="H76" s="26"/>
      <c r="I76" s="26"/>
      <c r="J76" s="26"/>
    </row>
    <row r="77" spans="1:13" x14ac:dyDescent="0.25">
      <c r="G77" s="26"/>
      <c r="H77" s="26"/>
      <c r="I77" s="26"/>
      <c r="J77" s="26"/>
    </row>
    <row r="78" spans="1:13" x14ac:dyDescent="0.25">
      <c r="G78" s="26"/>
      <c r="H78" s="26"/>
      <c r="I78" s="26"/>
      <c r="J78" s="26"/>
    </row>
    <row r="79" spans="1:13" x14ac:dyDescent="0.25">
      <c r="G79" s="26"/>
      <c r="H79" s="26"/>
      <c r="I79" s="26"/>
      <c r="J79" s="26"/>
    </row>
    <row r="80" spans="1:13" x14ac:dyDescent="0.25">
      <c r="G80" s="26"/>
      <c r="H80" s="26"/>
      <c r="I80" s="26"/>
      <c r="J80" s="26"/>
    </row>
    <row r="81" spans="6:10" x14ac:dyDescent="0.25">
      <c r="G81" s="26"/>
      <c r="H81" s="26"/>
      <c r="I81" s="26"/>
      <c r="J81" s="26"/>
    </row>
    <row r="82" spans="6:10" x14ac:dyDescent="0.25">
      <c r="G82" s="26"/>
      <c r="H82" s="26"/>
      <c r="I82" s="26"/>
      <c r="J82" s="26"/>
    </row>
    <row r="83" spans="6:10" x14ac:dyDescent="0.25">
      <c r="G83" s="26"/>
      <c r="H83" s="26"/>
      <c r="I83" s="26"/>
      <c r="J83" s="26"/>
    </row>
    <row r="84" spans="6:10" x14ac:dyDescent="0.25">
      <c r="G84" s="26"/>
      <c r="H84" s="26"/>
      <c r="I84" s="26"/>
      <c r="J84" s="26"/>
    </row>
    <row r="85" spans="6:10" x14ac:dyDescent="0.25">
      <c r="G85" s="26"/>
      <c r="H85" s="26"/>
      <c r="I85" s="26"/>
      <c r="J85" s="26"/>
    </row>
    <row r="86" spans="6:10" x14ac:dyDescent="0.25">
      <c r="G86" s="26"/>
      <c r="H86" s="26"/>
      <c r="I86" s="26"/>
      <c r="J86" s="26"/>
    </row>
    <row r="87" spans="6:10" x14ac:dyDescent="0.25">
      <c r="G87" s="26"/>
      <c r="H87" s="26"/>
      <c r="I87" s="26"/>
      <c r="J87" s="26"/>
    </row>
    <row r="88" spans="6:10" x14ac:dyDescent="0.25">
      <c r="G88" s="26"/>
      <c r="H88" s="26"/>
      <c r="I88" s="26"/>
      <c r="J88" s="26"/>
    </row>
    <row r="89" spans="6:10" x14ac:dyDescent="0.25">
      <c r="G89" s="26"/>
      <c r="H89" s="26"/>
      <c r="I89" s="26"/>
      <c r="J89" s="26"/>
    </row>
    <row r="90" spans="6:10" x14ac:dyDescent="0.25">
      <c r="G90" s="26"/>
      <c r="H90" s="26"/>
      <c r="I90" s="26"/>
      <c r="J90" s="26"/>
    </row>
    <row r="91" spans="6:10" x14ac:dyDescent="0.25">
      <c r="G91" s="26"/>
      <c r="H91" s="26"/>
      <c r="I91" s="26"/>
      <c r="J91" s="26"/>
    </row>
    <row r="92" spans="6:10" x14ac:dyDescent="0.25">
      <c r="F92" s="26"/>
    </row>
    <row r="93" spans="6:10" x14ac:dyDescent="0.25">
      <c r="F93" s="26"/>
    </row>
  </sheetData>
  <mergeCells count="1">
    <mergeCell ref="A1:B1"/>
  </mergeCells>
  <pageMargins left="0.75" right="0.75" top="1" bottom="1" header="0.5" footer="0.5"/>
  <pageSetup orientation="portrait" r:id="rId1"/>
  <headerFooter alignWithMargins="0">
    <oddFooter>&amp;R&amp;"Arial,Regular"&amp;08&amp;K7F7F7FAmgen Proprietary - Confidential   &amp;C&amp;"Arial,Regular"&amp;08&amp;K7F7F7FAmgen Proprietary - For Internal Use Only</oddFooter>
    <evenFooter>&amp;R&amp;"Arial,Regular"&amp;08&amp;K7F7F7FAmgen Proprietary - Confidential   &amp;C&amp;"Arial,Regular"&amp;08&amp;K7F7F7FAmgen Proprietary - For Internal Use Only</evenFooter>
    <firstFooter>&amp;R&amp;"Arial,Regular"&amp;08&amp;K7F7F7FAmgen Proprietary - Confidential   &amp;C&amp;"Arial,Regular"&amp;08&amp;K7F7F7FAmgen Proprietary - For Internal Use Only</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595AFA-FB58-442B-9877-BF6FFD1A896F}">
  <sheetPr codeName="Sheet83">
    <pageSetUpPr autoPageBreaks="0"/>
  </sheetPr>
  <dimension ref="A1:J50"/>
  <sheetViews>
    <sheetView zoomScale="170" zoomScaleNormal="170" workbookViewId="0">
      <selection activeCell="C25" sqref="C25"/>
    </sheetView>
  </sheetViews>
  <sheetFormatPr defaultColWidth="23.453125" defaultRowHeight="11.5" x14ac:dyDescent="0.25"/>
  <cols>
    <col min="1" max="2" width="23.54296875" style="25" bestFit="1" customWidth="1"/>
    <col min="3" max="3" width="23.453125" style="25"/>
    <col min="4" max="4" width="17.453125" style="25" customWidth="1"/>
    <col min="5" max="5" width="23.453125" style="25"/>
    <col min="6" max="6" width="76.54296875" style="25" bestFit="1" customWidth="1"/>
    <col min="7" max="7" width="27.453125" style="25" customWidth="1"/>
    <col min="8" max="8" width="9" style="25" bestFit="1" customWidth="1"/>
    <col min="9" max="9" width="9.54296875" style="25" bestFit="1" customWidth="1"/>
    <col min="10" max="10" width="9.54296875" style="25" customWidth="1"/>
    <col min="11" max="16384" width="23.453125" style="25"/>
  </cols>
  <sheetData>
    <row r="1" spans="1:10" ht="12" thickBot="1" x14ac:dyDescent="0.3">
      <c r="A1" s="1047" t="s">
        <v>479</v>
      </c>
      <c r="B1" s="1048"/>
    </row>
    <row r="2" spans="1:10" x14ac:dyDescent="0.25">
      <c r="A2" s="43" t="s">
        <v>480</v>
      </c>
      <c r="B2" s="319">
        <f>A12</f>
        <v>44354.354166666664</v>
      </c>
    </row>
    <row r="3" spans="1:10" ht="12" thickBot="1" x14ac:dyDescent="0.3">
      <c r="A3" s="42" t="s">
        <v>482</v>
      </c>
      <c r="B3" s="406">
        <f>B12</f>
        <v>44354.354166666664</v>
      </c>
    </row>
    <row r="5" spans="1:10" x14ac:dyDescent="0.25">
      <c r="A5" s="1049" t="s">
        <v>484</v>
      </c>
      <c r="B5" s="1050"/>
      <c r="C5" s="1050"/>
      <c r="D5" s="1051"/>
    </row>
    <row r="6" spans="1:10" x14ac:dyDescent="0.25">
      <c r="A6" s="781" t="s">
        <v>485</v>
      </c>
      <c r="B6" s="781" t="s">
        <v>486</v>
      </c>
      <c r="C6" s="781" t="s">
        <v>487</v>
      </c>
      <c r="D6" s="781" t="s">
        <v>488</v>
      </c>
    </row>
    <row r="7" spans="1:10" x14ac:dyDescent="0.25">
      <c r="A7" s="41" t="str">
        <f>F15</f>
        <v>IPC1.0: Reaction Conversion</v>
      </c>
      <c r="B7" s="40">
        <f>INDEX($A$12:$A$62,MATCH(A7,$F$12:$F$45,0))</f>
        <v>44354.75</v>
      </c>
      <c r="C7" s="37">
        <f>INDEX($B$12:$B$62,MATCH(A7,$F$12:$F$45,0))</f>
        <v>44354.75</v>
      </c>
      <c r="D7" s="297"/>
    </row>
    <row r="8" spans="1:10" x14ac:dyDescent="0.25">
      <c r="A8" s="41" t="str">
        <f>F24</f>
        <v>IPC2.0: Purity, LOD</v>
      </c>
      <c r="B8" s="40">
        <f>INDEX($A$12:$A$62,MATCH(A8,$F$12:$F$45,0))</f>
        <v>44356.267361111109</v>
      </c>
      <c r="C8" s="37">
        <f>INDEX($B$12:$B$62,MATCH(A8,$F$12:$F$45,0))</f>
        <v>44356.267361111109</v>
      </c>
      <c r="D8" s="297"/>
      <c r="E8" s="298"/>
    </row>
    <row r="9" spans="1:10" x14ac:dyDescent="0.25">
      <c r="A9" s="41" t="s">
        <v>2482</v>
      </c>
      <c r="B9" s="40">
        <f>INDEX($A$12:$A$62,MATCH(A9,$F$12:$F$45,0))</f>
        <v>44358.100694444438</v>
      </c>
      <c r="C9" s="37">
        <f>B33</f>
        <v>44358.333611111106</v>
      </c>
      <c r="D9" s="297"/>
      <c r="E9" s="298"/>
    </row>
    <row r="11" spans="1:10" ht="23" x14ac:dyDescent="0.25">
      <c r="A11" s="781" t="s">
        <v>492</v>
      </c>
      <c r="B11" s="781" t="s">
        <v>493</v>
      </c>
      <c r="C11" s="781" t="s">
        <v>494</v>
      </c>
      <c r="D11" s="500" t="s">
        <v>495</v>
      </c>
      <c r="E11" s="781" t="s">
        <v>540</v>
      </c>
      <c r="F11" s="781" t="s">
        <v>541</v>
      </c>
      <c r="G11" s="781" t="s">
        <v>498</v>
      </c>
      <c r="H11" s="501" t="s">
        <v>112</v>
      </c>
      <c r="I11" s="781" t="s">
        <v>542</v>
      </c>
      <c r="J11" s="781" t="s">
        <v>2429</v>
      </c>
    </row>
    <row r="12" spans="1:10" x14ac:dyDescent="0.25">
      <c r="A12" s="31">
        <v>44354.354166666664</v>
      </c>
      <c r="B12" s="37">
        <f>A12</f>
        <v>44354.354166666664</v>
      </c>
      <c r="C12" s="170">
        <v>0.10416666666666667</v>
      </c>
      <c r="D12" s="327" t="str">
        <f t="shared" ref="D12:D34" si="0">IF(_xlfn.ISFORMULA(E12)=TRUE,"",E12-B12)</f>
        <v/>
      </c>
      <c r="E12" s="37">
        <f t="shared" ref="E12:E34" si="1">B12+C12</f>
        <v>44354.458333333328</v>
      </c>
      <c r="F12" s="264" t="s">
        <v>543</v>
      </c>
      <c r="G12" s="78"/>
      <c r="H12" s="78"/>
      <c r="I12" s="78"/>
      <c r="J12" s="78"/>
    </row>
    <row r="13" spans="1:10" ht="12.75" customHeight="1" x14ac:dyDescent="0.25">
      <c r="A13" s="31">
        <f t="shared" ref="A13:A34" si="2">IF(D12 = "",A12+C12,A12+D12)</f>
        <v>44354.458333333328</v>
      </c>
      <c r="B13" s="37">
        <f t="shared" ref="B13:B34" si="3">IF(D12 = "",B12+C12,B12+D12)</f>
        <v>44354.458333333328</v>
      </c>
      <c r="C13" s="170">
        <v>8.3333333333333329E-2</v>
      </c>
      <c r="D13" s="327" t="str">
        <f t="shared" si="0"/>
        <v/>
      </c>
      <c r="E13" s="37">
        <f t="shared" si="1"/>
        <v>44354.541666666664</v>
      </c>
      <c r="F13" s="264" t="s">
        <v>544</v>
      </c>
      <c r="G13" s="35"/>
      <c r="H13" s="35"/>
      <c r="I13" s="35"/>
      <c r="J13" s="35"/>
    </row>
    <row r="14" spans="1:10" ht="12.75" customHeight="1" x14ac:dyDescent="0.25">
      <c r="A14" s="31">
        <f t="shared" si="2"/>
        <v>44354.541666666664</v>
      </c>
      <c r="B14" s="37">
        <f t="shared" si="3"/>
        <v>44354.541666666664</v>
      </c>
      <c r="C14" s="170">
        <v>0.20833333333333334</v>
      </c>
      <c r="D14" s="327" t="str">
        <f t="shared" si="0"/>
        <v/>
      </c>
      <c r="E14" s="37">
        <f t="shared" si="1"/>
        <v>44354.75</v>
      </c>
      <c r="F14" s="264" t="s">
        <v>545</v>
      </c>
      <c r="G14" s="39"/>
      <c r="H14" s="39"/>
      <c r="I14" s="39"/>
      <c r="J14" s="39"/>
    </row>
    <row r="15" spans="1:10" ht="13.5" customHeight="1" x14ac:dyDescent="0.25">
      <c r="A15" s="31">
        <f t="shared" si="2"/>
        <v>44354.75</v>
      </c>
      <c r="B15" s="37">
        <f>IF(D14 = "",B14+C14,B14+D14)</f>
        <v>44354.75</v>
      </c>
      <c r="C15" s="170">
        <v>0.1875</v>
      </c>
      <c r="D15" s="327">
        <v>0.11805555555555557</v>
      </c>
      <c r="E15" s="37">
        <f t="shared" si="1"/>
        <v>44354.9375</v>
      </c>
      <c r="F15" s="320" t="s">
        <v>546</v>
      </c>
      <c r="G15" s="35"/>
      <c r="H15" s="35"/>
      <c r="I15" s="35"/>
      <c r="J15" s="35"/>
    </row>
    <row r="16" spans="1:10" x14ac:dyDescent="0.25">
      <c r="A16" s="31">
        <f t="shared" si="2"/>
        <v>44354.868055555555</v>
      </c>
      <c r="B16" s="37">
        <f t="shared" si="3"/>
        <v>44354.868055555555</v>
      </c>
      <c r="C16" s="172">
        <v>0.57638888888888895</v>
      </c>
      <c r="D16" s="327" t="str">
        <f t="shared" si="0"/>
        <v/>
      </c>
      <c r="E16" s="37">
        <f t="shared" si="1"/>
        <v>44355.444444444445</v>
      </c>
      <c r="F16" s="264" t="s">
        <v>547</v>
      </c>
      <c r="G16" s="35"/>
      <c r="H16" s="497">
        <v>384</v>
      </c>
      <c r="I16" s="497">
        <v>384</v>
      </c>
      <c r="J16" s="235"/>
    </row>
    <row r="17" spans="1:10" x14ac:dyDescent="0.25">
      <c r="A17" s="503">
        <f>A16</f>
        <v>44354.868055555555</v>
      </c>
      <c r="B17" s="504">
        <f>E16 + B50</f>
        <v>44355.486111111109</v>
      </c>
      <c r="C17" s="509">
        <v>0.50694444444444442</v>
      </c>
      <c r="D17" s="505" t="str">
        <f t="shared" si="0"/>
        <v/>
      </c>
      <c r="E17" s="504">
        <f t="shared" si="1"/>
        <v>44355.993055555555</v>
      </c>
      <c r="F17" s="506" t="s">
        <v>2431</v>
      </c>
      <c r="G17" s="492"/>
      <c r="H17" s="495"/>
      <c r="I17" s="495"/>
      <c r="J17" s="495">
        <v>200</v>
      </c>
    </row>
    <row r="18" spans="1:10" ht="13.5" customHeight="1" x14ac:dyDescent="0.25">
      <c r="A18" s="31">
        <f>IF(D16 = "",A16+C16,A16+D16)</f>
        <v>44355.444444444445</v>
      </c>
      <c r="B18" s="37">
        <f>IF(D16 = "",B16+C16,B16+D16)</f>
        <v>44355.444444444445</v>
      </c>
      <c r="C18" s="172">
        <v>0.2638888888888889</v>
      </c>
      <c r="D18" s="327" t="str">
        <f t="shared" si="0"/>
        <v/>
      </c>
      <c r="E18" s="37">
        <f t="shared" si="1"/>
        <v>44355.708333333336</v>
      </c>
      <c r="F18" s="264" t="s">
        <v>548</v>
      </c>
      <c r="G18" s="35"/>
      <c r="H18" s="497"/>
      <c r="I18" s="497"/>
      <c r="J18" s="497"/>
    </row>
    <row r="19" spans="1:10" ht="13.5" customHeight="1" x14ac:dyDescent="0.25">
      <c r="A19" s="503">
        <f>A18</f>
        <v>44355.444444444445</v>
      </c>
      <c r="B19" s="504">
        <f>E17</f>
        <v>44355.993055555555</v>
      </c>
      <c r="C19" s="172">
        <v>0.20833333333333334</v>
      </c>
      <c r="D19" s="505" t="str">
        <f t="shared" si="0"/>
        <v/>
      </c>
      <c r="E19" s="504">
        <f>B19+C19</f>
        <v>44356.201388888891</v>
      </c>
      <c r="F19" s="506" t="s">
        <v>2432</v>
      </c>
      <c r="G19" s="507"/>
      <c r="H19" s="495">
        <v>384</v>
      </c>
      <c r="I19" s="495">
        <v>384</v>
      </c>
      <c r="J19" s="495"/>
    </row>
    <row r="20" spans="1:10" ht="12" customHeight="1" x14ac:dyDescent="0.25">
      <c r="A20" s="31">
        <f>IF(D18 = "",A18+C18,A18+D18)</f>
        <v>44355.708333333336</v>
      </c>
      <c r="B20" s="37">
        <f>IF(D18 = "",B18+C18,B18+D18)</f>
        <v>44355.708333333336</v>
      </c>
      <c r="C20" s="172">
        <v>4.8611111111111112E-2</v>
      </c>
      <c r="D20" s="327" t="str">
        <f t="shared" si="0"/>
        <v/>
      </c>
      <c r="E20" s="37">
        <f t="shared" si="1"/>
        <v>44355.756944444445</v>
      </c>
      <c r="F20" s="264" t="s">
        <v>549</v>
      </c>
      <c r="G20" s="39"/>
      <c r="H20" s="1052">
        <v>677.74</v>
      </c>
      <c r="I20" s="1052">
        <f>SUM(H20)</f>
        <v>677.74</v>
      </c>
      <c r="J20" s="1052"/>
    </row>
    <row r="21" spans="1:10" ht="12.75" customHeight="1" x14ac:dyDescent="0.25">
      <c r="A21" s="31">
        <f t="shared" si="2"/>
        <v>44355.756944444445</v>
      </c>
      <c r="B21" s="37">
        <f t="shared" si="3"/>
        <v>44355.756944444445</v>
      </c>
      <c r="C21" s="172">
        <v>6.25E-2</v>
      </c>
      <c r="D21" s="327">
        <v>4.1666666666666664E-2</v>
      </c>
      <c r="E21" s="37">
        <f t="shared" si="1"/>
        <v>44355.819444444445</v>
      </c>
      <c r="F21" s="264" t="s">
        <v>550</v>
      </c>
      <c r="G21" s="35"/>
      <c r="H21" s="1052"/>
      <c r="I21" s="1052"/>
      <c r="J21" s="1052"/>
    </row>
    <row r="22" spans="1:10" x14ac:dyDescent="0.25">
      <c r="A22" s="31">
        <f t="shared" si="2"/>
        <v>44355.798611111109</v>
      </c>
      <c r="B22" s="37">
        <f t="shared" si="3"/>
        <v>44355.798611111109</v>
      </c>
      <c r="C22" s="170">
        <v>0.42708333333333331</v>
      </c>
      <c r="D22" s="327" t="str">
        <f t="shared" si="0"/>
        <v/>
      </c>
      <c r="E22" s="37">
        <f t="shared" si="1"/>
        <v>44356.225694444445</v>
      </c>
      <c r="F22" s="264" t="s">
        <v>551</v>
      </c>
      <c r="G22" s="35"/>
      <c r="H22" s="1052"/>
      <c r="I22" s="1052"/>
      <c r="J22" s="1052"/>
    </row>
    <row r="23" spans="1:10" x14ac:dyDescent="0.25">
      <c r="A23" s="31">
        <f t="shared" si="2"/>
        <v>44356.225694444445</v>
      </c>
      <c r="B23" s="37">
        <f t="shared" si="3"/>
        <v>44356.225694444445</v>
      </c>
      <c r="C23" s="170">
        <v>4.1666666666666664E-2</v>
      </c>
      <c r="D23" s="327" t="str">
        <f t="shared" si="0"/>
        <v/>
      </c>
      <c r="E23" s="37">
        <f t="shared" si="1"/>
        <v>44356.267361111109</v>
      </c>
      <c r="F23" s="240" t="s">
        <v>552</v>
      </c>
      <c r="G23" s="35"/>
      <c r="H23" s="773"/>
      <c r="I23" s="773"/>
      <c r="J23" s="773"/>
    </row>
    <row r="24" spans="1:10" ht="12" customHeight="1" x14ac:dyDescent="0.25">
      <c r="A24" s="31">
        <f t="shared" si="2"/>
        <v>44356.267361111109</v>
      </c>
      <c r="B24" s="37">
        <f t="shared" si="3"/>
        <v>44356.267361111109</v>
      </c>
      <c r="C24" s="170">
        <v>0.27083333333333331</v>
      </c>
      <c r="D24" s="327" t="str">
        <f t="shared" si="0"/>
        <v/>
      </c>
      <c r="E24" s="37">
        <f t="shared" si="1"/>
        <v>44356.538194444445</v>
      </c>
      <c r="F24" s="320" t="s">
        <v>553</v>
      </c>
      <c r="G24" s="35"/>
      <c r="H24" s="35"/>
      <c r="I24" s="35"/>
      <c r="J24" s="35"/>
    </row>
    <row r="25" spans="1:10" ht="12" customHeight="1" x14ac:dyDescent="0.25">
      <c r="A25" s="494">
        <f t="shared" si="2"/>
        <v>44356.538194444445</v>
      </c>
      <c r="B25" s="493">
        <f t="shared" si="3"/>
        <v>44356.538194444445</v>
      </c>
      <c r="C25" s="170">
        <v>0.10416666666666667</v>
      </c>
      <c r="D25" s="498" t="str">
        <f t="shared" si="0"/>
        <v/>
      </c>
      <c r="E25" s="493">
        <f t="shared" si="1"/>
        <v>44356.642361111109</v>
      </c>
      <c r="F25" s="492" t="s">
        <v>2433</v>
      </c>
      <c r="G25" s="492"/>
      <c r="H25" s="495">
        <v>500</v>
      </c>
      <c r="I25" s="495">
        <v>500</v>
      </c>
      <c r="J25" s="495"/>
    </row>
    <row r="26" spans="1:10" x14ac:dyDescent="0.25">
      <c r="A26" s="31">
        <f t="shared" si="2"/>
        <v>44356.642361111109</v>
      </c>
      <c r="B26" s="37">
        <f>B24+C24</f>
        <v>44356.538194444445</v>
      </c>
      <c r="C26" s="170">
        <v>0.27083333333333331</v>
      </c>
      <c r="D26" s="327" t="str">
        <f t="shared" si="0"/>
        <v/>
      </c>
      <c r="E26" s="37">
        <f t="shared" si="1"/>
        <v>44356.809027777781</v>
      </c>
      <c r="F26" s="35" t="s">
        <v>2434</v>
      </c>
      <c r="G26" s="35"/>
      <c r="H26" s="497">
        <v>708</v>
      </c>
      <c r="I26" s="511">
        <v>708</v>
      </c>
      <c r="J26" s="35"/>
    </row>
    <row r="27" spans="1:10" x14ac:dyDescent="0.25">
      <c r="A27" s="31">
        <f t="shared" si="2"/>
        <v>44356.913194444445</v>
      </c>
      <c r="B27" s="37">
        <f>B26+C26</f>
        <v>44356.809027777781</v>
      </c>
      <c r="C27" s="170">
        <v>0.29166666666666669</v>
      </c>
      <c r="D27" s="327" t="str">
        <f t="shared" si="0"/>
        <v/>
      </c>
      <c r="E27" s="37">
        <f t="shared" si="1"/>
        <v>44357.100694444445</v>
      </c>
      <c r="F27" s="35" t="s">
        <v>2435</v>
      </c>
      <c r="G27" s="35"/>
      <c r="H27" s="497">
        <v>720</v>
      </c>
      <c r="I27" s="511">
        <v>720</v>
      </c>
      <c r="J27" s="35"/>
    </row>
    <row r="28" spans="1:10" x14ac:dyDescent="0.25">
      <c r="A28" s="31">
        <f>IF(D27 = "",A27+C27,A27+D27)</f>
        <v>44357.204861111109</v>
      </c>
      <c r="B28" s="718">
        <f>IF(D27="",B27+C27+(8.09/24),B27+D27)</f>
        <v>44357.437777777777</v>
      </c>
      <c r="C28" s="170">
        <v>0.25</v>
      </c>
      <c r="D28" s="683" t="str">
        <f t="shared" si="0"/>
        <v/>
      </c>
      <c r="E28" s="37">
        <f t="shared" si="1"/>
        <v>44357.687777777777</v>
      </c>
      <c r="F28" s="35" t="s">
        <v>2436</v>
      </c>
      <c r="G28" s="739"/>
      <c r="H28" s="497"/>
      <c r="I28" s="511"/>
      <c r="J28" s="35"/>
    </row>
    <row r="29" spans="1:10" x14ac:dyDescent="0.25">
      <c r="A29" s="31">
        <f t="shared" si="2"/>
        <v>44357.454861111109</v>
      </c>
      <c r="B29" s="37">
        <f t="shared" si="3"/>
        <v>44357.687777777777</v>
      </c>
      <c r="C29" s="170">
        <v>4.1666666666666664E-2</v>
      </c>
      <c r="D29" s="327" t="str">
        <f t="shared" si="0"/>
        <v/>
      </c>
      <c r="E29" s="37">
        <f t="shared" si="1"/>
        <v>44357.729444444441</v>
      </c>
      <c r="F29" s="35" t="s">
        <v>549</v>
      </c>
      <c r="G29" s="35"/>
      <c r="H29" s="320"/>
      <c r="I29" s="181"/>
      <c r="J29" s="181"/>
    </row>
    <row r="30" spans="1:10" x14ac:dyDescent="0.25">
      <c r="A30" s="31">
        <f t="shared" si="2"/>
        <v>44357.496527777774</v>
      </c>
      <c r="B30" s="37">
        <f t="shared" si="3"/>
        <v>44357.729444444441</v>
      </c>
      <c r="C30" s="170">
        <v>8.3333333333333329E-2</v>
      </c>
      <c r="D30" s="327" t="str">
        <f t="shared" si="0"/>
        <v/>
      </c>
      <c r="E30" s="37">
        <f t="shared" si="1"/>
        <v>44357.812777777777</v>
      </c>
      <c r="F30" s="35" t="s">
        <v>672</v>
      </c>
      <c r="G30" s="35"/>
      <c r="H30" s="320"/>
      <c r="I30" s="181"/>
      <c r="J30" s="181"/>
    </row>
    <row r="31" spans="1:10" x14ac:dyDescent="0.25">
      <c r="A31" s="31">
        <f t="shared" si="2"/>
        <v>44357.579861111109</v>
      </c>
      <c r="B31" s="37">
        <f t="shared" si="3"/>
        <v>44357.812777777777</v>
      </c>
      <c r="C31" s="170">
        <v>0.47916666666666669</v>
      </c>
      <c r="D31" s="327" t="str">
        <f t="shared" si="0"/>
        <v/>
      </c>
      <c r="E31" s="37">
        <f t="shared" si="1"/>
        <v>44358.291944444441</v>
      </c>
      <c r="F31" s="35" t="s">
        <v>551</v>
      </c>
      <c r="G31" s="35"/>
      <c r="H31" s="497">
        <v>290.7</v>
      </c>
      <c r="I31" s="512">
        <v>290.7</v>
      </c>
      <c r="J31" s="497"/>
    </row>
    <row r="32" spans="1:10" x14ac:dyDescent="0.25">
      <c r="A32" s="31">
        <f t="shared" si="2"/>
        <v>44358.059027777774</v>
      </c>
      <c r="B32" s="37">
        <f t="shared" si="3"/>
        <v>44358.291944444441</v>
      </c>
      <c r="C32" s="170">
        <v>4.1666666666666664E-2</v>
      </c>
      <c r="D32" s="327" t="str">
        <f t="shared" si="0"/>
        <v/>
      </c>
      <c r="E32" s="37">
        <f t="shared" si="1"/>
        <v>44358.333611111106</v>
      </c>
      <c r="F32" s="35" t="s">
        <v>2437</v>
      </c>
      <c r="G32" s="35"/>
      <c r="H32" s="35"/>
      <c r="I32" s="35"/>
      <c r="J32" s="35"/>
    </row>
    <row r="33" spans="1:10" x14ac:dyDescent="0.25">
      <c r="A33" s="31">
        <f t="shared" si="2"/>
        <v>44358.100694444438</v>
      </c>
      <c r="B33" s="37">
        <f t="shared" si="3"/>
        <v>44358.333611111106</v>
      </c>
      <c r="C33" s="170">
        <v>0.22916666666666666</v>
      </c>
      <c r="D33" s="327" t="str">
        <f t="shared" si="0"/>
        <v/>
      </c>
      <c r="E33" s="37">
        <f t="shared" si="1"/>
        <v>44358.56277777777</v>
      </c>
      <c r="F33" s="320" t="s">
        <v>2482</v>
      </c>
      <c r="G33" s="35"/>
      <c r="H33" s="35"/>
      <c r="I33" s="35"/>
      <c r="J33" s="35"/>
    </row>
    <row r="34" spans="1:10" x14ac:dyDescent="0.25">
      <c r="A34" s="31">
        <f t="shared" si="2"/>
        <v>44358.329861111102</v>
      </c>
      <c r="B34" s="37">
        <f t="shared" si="3"/>
        <v>44358.56277777777</v>
      </c>
      <c r="C34" s="170">
        <v>0.10416666666666667</v>
      </c>
      <c r="D34" s="327" t="str">
        <f t="shared" si="0"/>
        <v/>
      </c>
      <c r="E34" s="37">
        <f t="shared" si="1"/>
        <v>44358.666944444434</v>
      </c>
      <c r="F34" s="35" t="s">
        <v>2438</v>
      </c>
      <c r="G34" s="35"/>
      <c r="H34" s="35"/>
      <c r="I34" s="35"/>
      <c r="J34" s="35"/>
    </row>
    <row r="35" spans="1:10" ht="21" x14ac:dyDescent="0.55000000000000004">
      <c r="A35" s="34"/>
      <c r="B35" s="33" t="s">
        <v>534</v>
      </c>
      <c r="C35" s="32">
        <f>SUM(C12:C34)</f>
        <v>4.8854166666666679</v>
      </c>
      <c r="D35" s="32">
        <f>SUM(D12:D25)</f>
        <v>0.15972222222222224</v>
      </c>
      <c r="G35" s="243" t="s">
        <v>535</v>
      </c>
      <c r="H35" s="496">
        <f>SUM(H12:H34)</f>
        <v>3664.4399999999996</v>
      </c>
      <c r="I35" s="499">
        <f>SUM(I12:I34)</f>
        <v>3664.4399999999996</v>
      </c>
      <c r="J35" s="183">
        <f>SUM(J12:J34)</f>
        <v>200</v>
      </c>
    </row>
    <row r="36" spans="1:10" x14ac:dyDescent="0.25">
      <c r="B36" s="31" t="s">
        <v>536</v>
      </c>
      <c r="C36" s="30">
        <f>(C35*60)/1440</f>
        <v>0.20355902777777782</v>
      </c>
      <c r="D36" s="30">
        <f>(D35*60)/1440</f>
        <v>6.6550925925925927E-3</v>
      </c>
      <c r="F36" s="26"/>
    </row>
    <row r="37" spans="1:10" x14ac:dyDescent="0.25">
      <c r="C37" s="774"/>
      <c r="F37" s="26"/>
    </row>
    <row r="46" spans="1:10" x14ac:dyDescent="0.25">
      <c r="C46" s="27"/>
      <c r="D46" s="27"/>
    </row>
    <row r="50" spans="2:2" x14ac:dyDescent="0.25">
      <c r="B50" s="502">
        <v>4.1666666666666664E-2</v>
      </c>
    </row>
  </sheetData>
  <mergeCells count="5">
    <mergeCell ref="A1:B1"/>
    <mergeCell ref="A5:D5"/>
    <mergeCell ref="H20:H22"/>
    <mergeCell ref="I20:I22"/>
    <mergeCell ref="J20:J22"/>
  </mergeCells>
  <pageMargins left="0.75" right="0.75" top="1" bottom="1" header="0.5" footer="0.5"/>
  <pageSetup orientation="portrait" r:id="rId1"/>
  <headerFooter alignWithMargins="0">
    <oddFooter>&amp;R&amp;"Arial,Regular"&amp;08&amp;K7F7F7FAmgen Proprietary - Confidential   &amp;C&amp;"Arial,Regular"&amp;08&amp;K7F7F7FAmgen Proprietary - For Internal Use Only</oddFooter>
    <evenFooter>&amp;R&amp;"Arial,Regular"&amp;08&amp;K7F7F7FAmgen Proprietary - Confidential   &amp;C&amp;"Arial,Regular"&amp;08&amp;K7F7F7FAmgen Proprietary - For Internal Use Only</evenFooter>
    <firstFooter>&amp;R&amp;"Arial,Regular"&amp;08&amp;K7F7F7FAmgen Proprietary - Confidential   &amp;C&amp;"Arial,Regular"&amp;08&amp;K7F7F7FAmgen Proprietary - For Internal Use Only</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C97873-28C3-469E-AD2E-B97AC608EBCF}">
  <sheetPr codeName="Sheet85">
    <pageSetUpPr autoPageBreaks="0"/>
  </sheetPr>
  <dimension ref="A1:J50"/>
  <sheetViews>
    <sheetView topLeftCell="A7" zoomScale="170" zoomScaleNormal="170" workbookViewId="0">
      <selection activeCell="D30" sqref="D30"/>
    </sheetView>
  </sheetViews>
  <sheetFormatPr defaultColWidth="23.453125" defaultRowHeight="11.5" x14ac:dyDescent="0.25"/>
  <cols>
    <col min="1" max="2" width="23.54296875" style="25" bestFit="1" customWidth="1"/>
    <col min="3" max="3" width="23.453125" style="25"/>
    <col min="4" max="4" width="17.453125" style="25" customWidth="1"/>
    <col min="5" max="5" width="23.453125" style="25"/>
    <col min="6" max="6" width="76.54296875" style="25" bestFit="1" customWidth="1"/>
    <col min="7" max="7" width="27.453125" style="25" customWidth="1"/>
    <col min="8" max="8" width="9" style="25" bestFit="1" customWidth="1"/>
    <col min="9" max="9" width="9.54296875" style="25" bestFit="1" customWidth="1"/>
    <col min="10" max="10" width="9.54296875" style="25" customWidth="1"/>
    <col min="11" max="16384" width="23.453125" style="25"/>
  </cols>
  <sheetData>
    <row r="1" spans="1:10" ht="12" thickBot="1" x14ac:dyDescent="0.3">
      <c r="A1" s="1047" t="s">
        <v>479</v>
      </c>
      <c r="B1" s="1048"/>
    </row>
    <row r="2" spans="1:10" x14ac:dyDescent="0.25">
      <c r="A2" s="43" t="s">
        <v>480</v>
      </c>
      <c r="B2" s="319">
        <f>A12</f>
        <v>44361.354166666664</v>
      </c>
    </row>
    <row r="3" spans="1:10" ht="12" thickBot="1" x14ac:dyDescent="0.3">
      <c r="A3" s="42" t="s">
        <v>482</v>
      </c>
      <c r="B3" s="406">
        <f>B12</f>
        <v>44361.354166666664</v>
      </c>
    </row>
    <row r="5" spans="1:10" x14ac:dyDescent="0.25">
      <c r="A5" s="1049" t="s">
        <v>484</v>
      </c>
      <c r="B5" s="1050"/>
      <c r="C5" s="1050"/>
      <c r="D5" s="1051"/>
    </row>
    <row r="6" spans="1:10" x14ac:dyDescent="0.25">
      <c r="A6" s="781" t="s">
        <v>485</v>
      </c>
      <c r="B6" s="781" t="s">
        <v>486</v>
      </c>
      <c r="C6" s="781" t="s">
        <v>487</v>
      </c>
      <c r="D6" s="781" t="s">
        <v>488</v>
      </c>
    </row>
    <row r="7" spans="1:10" x14ac:dyDescent="0.25">
      <c r="A7" s="41" t="str">
        <f>F15</f>
        <v>IPC1.0: Reaction Conversion</v>
      </c>
      <c r="B7" s="40">
        <f>INDEX($A$12:$A$62,MATCH(A7,$F$12:$F$45,0))</f>
        <v>44361.729166666672</v>
      </c>
      <c r="C7" s="37">
        <f>INDEX($B$12:$B$62,MATCH(A7,$F$12:$F$45,0))</f>
        <v>44361.729166666672</v>
      </c>
      <c r="D7" s="297"/>
    </row>
    <row r="8" spans="1:10" x14ac:dyDescent="0.25">
      <c r="A8" s="41" t="str">
        <f>F24</f>
        <v>IPC2.0: Purity, LOD</v>
      </c>
      <c r="B8" s="40">
        <f>INDEX($A$12:$A$62,MATCH(A8,$F$12:$F$45,0))</f>
        <v>44363.232638888898</v>
      </c>
      <c r="C8" s="37">
        <f>INDEX($B$12:$B$62,MATCH(A8,$F$12:$F$45,0))</f>
        <v>44363.232638888898</v>
      </c>
      <c r="D8" s="297"/>
      <c r="E8" s="298"/>
    </row>
    <row r="9" spans="1:10" x14ac:dyDescent="0.25">
      <c r="A9" s="41" t="s">
        <v>2482</v>
      </c>
      <c r="B9" s="40">
        <f>INDEX($A$12:$A$62,MATCH(A9,$F$12:$F$45,0))</f>
        <v>44365.065972222226</v>
      </c>
      <c r="C9" s="37">
        <f>B33</f>
        <v>44365.333472222228</v>
      </c>
      <c r="D9" s="297"/>
      <c r="E9" s="298"/>
    </row>
    <row r="11" spans="1:10" ht="23" x14ac:dyDescent="0.25">
      <c r="A11" s="781" t="s">
        <v>492</v>
      </c>
      <c r="B11" s="781" t="s">
        <v>493</v>
      </c>
      <c r="C11" s="781" t="s">
        <v>494</v>
      </c>
      <c r="D11" s="500" t="s">
        <v>495</v>
      </c>
      <c r="E11" s="781" t="s">
        <v>540</v>
      </c>
      <c r="F11" s="781" t="s">
        <v>541</v>
      </c>
      <c r="G11" s="781" t="s">
        <v>498</v>
      </c>
      <c r="H11" s="501" t="s">
        <v>112</v>
      </c>
      <c r="I11" s="781" t="s">
        <v>542</v>
      </c>
      <c r="J11" s="781" t="s">
        <v>2429</v>
      </c>
    </row>
    <row r="12" spans="1:10" x14ac:dyDescent="0.25">
      <c r="A12" s="31">
        <v>44361.354166666664</v>
      </c>
      <c r="B12" s="37">
        <f>A12</f>
        <v>44361.354166666664</v>
      </c>
      <c r="C12" s="170">
        <v>0.10416666666666667</v>
      </c>
      <c r="D12" s="327">
        <v>8.3333333333333329E-2</v>
      </c>
      <c r="E12" s="37">
        <f t="shared" ref="E12:E34" si="0">B12+C12</f>
        <v>44361.458333333328</v>
      </c>
      <c r="F12" s="264" t="s">
        <v>543</v>
      </c>
      <c r="G12" s="78"/>
      <c r="H12" s="78"/>
      <c r="I12" s="78"/>
      <c r="J12" s="78"/>
    </row>
    <row r="13" spans="1:10" ht="12.75" customHeight="1" x14ac:dyDescent="0.25">
      <c r="A13" s="31">
        <f t="shared" ref="A13:A34" si="1">IF(D12 = "",A12+C12,A12+D12)</f>
        <v>44361.4375</v>
      </c>
      <c r="B13" s="37">
        <f t="shared" ref="B13:B34" si="2">IF(D12 = "",B12+C12,B12+D12)</f>
        <v>44361.4375</v>
      </c>
      <c r="C13" s="170">
        <v>8.3333333333333329E-2</v>
      </c>
      <c r="D13" s="327" t="str">
        <f t="shared" ref="D13:D34" si="3">IF(_xlfn.ISFORMULA(E13)=TRUE,"",E13-B13)</f>
        <v/>
      </c>
      <c r="E13" s="37">
        <f t="shared" si="0"/>
        <v>44361.520833333336</v>
      </c>
      <c r="F13" s="264" t="s">
        <v>544</v>
      </c>
      <c r="G13" s="35"/>
      <c r="H13" s="35"/>
      <c r="I13" s="35"/>
      <c r="J13" s="35"/>
    </row>
    <row r="14" spans="1:10" ht="12.75" customHeight="1" x14ac:dyDescent="0.25">
      <c r="A14" s="31">
        <f t="shared" si="1"/>
        <v>44361.520833333336</v>
      </c>
      <c r="B14" s="37">
        <f t="shared" si="2"/>
        <v>44361.520833333336</v>
      </c>
      <c r="C14" s="170">
        <v>0.20833333333333334</v>
      </c>
      <c r="D14" s="327" t="str">
        <f t="shared" si="3"/>
        <v/>
      </c>
      <c r="E14" s="37">
        <f t="shared" si="0"/>
        <v>44361.729166666672</v>
      </c>
      <c r="F14" s="264" t="s">
        <v>545</v>
      </c>
      <c r="G14" s="39"/>
      <c r="H14" s="39"/>
      <c r="I14" s="39"/>
      <c r="J14" s="39"/>
    </row>
    <row r="15" spans="1:10" ht="13.5" customHeight="1" x14ac:dyDescent="0.25">
      <c r="A15" s="31">
        <f t="shared" si="1"/>
        <v>44361.729166666672</v>
      </c>
      <c r="B15" s="37">
        <f t="shared" si="2"/>
        <v>44361.729166666672</v>
      </c>
      <c r="C15" s="170">
        <v>0.125</v>
      </c>
      <c r="D15" s="327">
        <v>8.3333333333333329E-2</v>
      </c>
      <c r="E15" s="37">
        <f t="shared" si="0"/>
        <v>44361.854166666672</v>
      </c>
      <c r="F15" s="320" t="s">
        <v>546</v>
      </c>
      <c r="G15" s="35"/>
      <c r="H15" s="35"/>
      <c r="I15" s="35"/>
      <c r="J15" s="35"/>
    </row>
    <row r="16" spans="1:10" x14ac:dyDescent="0.25">
      <c r="A16" s="31">
        <f t="shared" si="1"/>
        <v>44361.812500000007</v>
      </c>
      <c r="B16" s="37">
        <f t="shared" si="2"/>
        <v>44361.812500000007</v>
      </c>
      <c r="C16" s="172">
        <v>0.57638888888888895</v>
      </c>
      <c r="D16" s="327" t="str">
        <f t="shared" si="3"/>
        <v/>
      </c>
      <c r="E16" s="37">
        <f t="shared" si="0"/>
        <v>44362.388888888898</v>
      </c>
      <c r="F16" s="264" t="s">
        <v>547</v>
      </c>
      <c r="G16" s="35"/>
      <c r="H16" s="497">
        <v>384</v>
      </c>
      <c r="I16" s="497">
        <v>384</v>
      </c>
      <c r="J16" s="235"/>
    </row>
    <row r="17" spans="1:10" x14ac:dyDescent="0.25">
      <c r="A17" s="503">
        <f>A16</f>
        <v>44361.812500000007</v>
      </c>
      <c r="B17" s="504">
        <f>E16 + B50</f>
        <v>44362.430555555562</v>
      </c>
      <c r="C17" s="509">
        <v>0.50694444444444442</v>
      </c>
      <c r="D17" s="505" t="str">
        <f t="shared" si="3"/>
        <v/>
      </c>
      <c r="E17" s="504">
        <f t="shared" si="0"/>
        <v>44362.937500000007</v>
      </c>
      <c r="F17" s="506" t="s">
        <v>2431</v>
      </c>
      <c r="G17" s="492"/>
      <c r="H17" s="495"/>
      <c r="I17" s="495"/>
      <c r="J17" s="495">
        <v>200</v>
      </c>
    </row>
    <row r="18" spans="1:10" ht="13.5" customHeight="1" x14ac:dyDescent="0.25">
      <c r="A18" s="31">
        <f>IF(D16 = "",A16+C16,A16+D16)</f>
        <v>44362.388888888898</v>
      </c>
      <c r="B18" s="37">
        <f>IF(D16 = "",B16+C16,B16+D16)</f>
        <v>44362.388888888898</v>
      </c>
      <c r="C18" s="172">
        <v>0.2638888888888889</v>
      </c>
      <c r="D18" s="327" t="str">
        <f t="shared" si="3"/>
        <v/>
      </c>
      <c r="E18" s="37">
        <f t="shared" si="0"/>
        <v>44362.652777777788</v>
      </c>
      <c r="F18" s="264" t="s">
        <v>548</v>
      </c>
      <c r="G18" s="35"/>
      <c r="H18" s="497"/>
      <c r="I18" s="497"/>
      <c r="J18" s="497"/>
    </row>
    <row r="19" spans="1:10" ht="13.5" customHeight="1" x14ac:dyDescent="0.25">
      <c r="A19" s="503">
        <f>A18</f>
        <v>44362.388888888898</v>
      </c>
      <c r="B19" s="504">
        <f>E17</f>
        <v>44362.937500000007</v>
      </c>
      <c r="C19" s="172">
        <v>0.20833333333333334</v>
      </c>
      <c r="D19" s="505" t="str">
        <f t="shared" si="3"/>
        <v/>
      </c>
      <c r="E19" s="504">
        <f>B19+C19</f>
        <v>44363.145833333343</v>
      </c>
      <c r="F19" s="506" t="s">
        <v>2432</v>
      </c>
      <c r="G19" s="507"/>
      <c r="H19" s="495">
        <v>384</v>
      </c>
      <c r="I19" s="495">
        <v>384</v>
      </c>
      <c r="J19" s="495"/>
    </row>
    <row r="20" spans="1:10" ht="12" customHeight="1" x14ac:dyDescent="0.25">
      <c r="A20" s="31">
        <f>IF(D18 = "",A18+C18,A18+D18)</f>
        <v>44362.652777777788</v>
      </c>
      <c r="B20" s="37">
        <f>IF(D18 = "",B18+C18,B18+D18)</f>
        <v>44362.652777777788</v>
      </c>
      <c r="C20" s="172">
        <v>4.8611111111111112E-2</v>
      </c>
      <c r="D20" s="327" t="str">
        <f t="shared" si="3"/>
        <v/>
      </c>
      <c r="E20" s="37">
        <f t="shared" si="0"/>
        <v>44362.701388888898</v>
      </c>
      <c r="F20" s="264" t="s">
        <v>549</v>
      </c>
      <c r="G20" s="39"/>
      <c r="H20" s="1052">
        <v>677.74</v>
      </c>
      <c r="I20" s="1052">
        <f>SUM(H20)</f>
        <v>677.74</v>
      </c>
      <c r="J20" s="1052"/>
    </row>
    <row r="21" spans="1:10" ht="12.75" customHeight="1" x14ac:dyDescent="0.25">
      <c r="A21" s="31">
        <f t="shared" si="1"/>
        <v>44362.701388888898</v>
      </c>
      <c r="B21" s="37">
        <f t="shared" si="2"/>
        <v>44362.701388888898</v>
      </c>
      <c r="C21" s="172">
        <v>6.25E-2</v>
      </c>
      <c r="D21" s="327"/>
      <c r="E21" s="37">
        <f t="shared" si="0"/>
        <v>44362.763888888898</v>
      </c>
      <c r="F21" s="264" t="s">
        <v>550</v>
      </c>
      <c r="G21" s="35"/>
      <c r="H21" s="1052"/>
      <c r="I21" s="1052"/>
      <c r="J21" s="1052"/>
    </row>
    <row r="22" spans="1:10" x14ac:dyDescent="0.25">
      <c r="A22" s="31">
        <f t="shared" si="1"/>
        <v>44362.763888888898</v>
      </c>
      <c r="B22" s="37">
        <f t="shared" si="2"/>
        <v>44362.763888888898</v>
      </c>
      <c r="C22" s="170">
        <v>0.42708333333333331</v>
      </c>
      <c r="D22" s="327" t="str">
        <f t="shared" si="3"/>
        <v/>
      </c>
      <c r="E22" s="37">
        <f t="shared" si="0"/>
        <v>44363.190972222234</v>
      </c>
      <c r="F22" s="264" t="s">
        <v>551</v>
      </c>
      <c r="G22" s="35"/>
      <c r="H22" s="1052"/>
      <c r="I22" s="1052"/>
      <c r="J22" s="1052"/>
    </row>
    <row r="23" spans="1:10" x14ac:dyDescent="0.25">
      <c r="A23" s="31">
        <f t="shared" si="1"/>
        <v>44363.190972222234</v>
      </c>
      <c r="B23" s="37">
        <f t="shared" si="2"/>
        <v>44363.190972222234</v>
      </c>
      <c r="C23" s="170">
        <v>4.1666666666666664E-2</v>
      </c>
      <c r="D23" s="327" t="str">
        <f t="shared" si="3"/>
        <v/>
      </c>
      <c r="E23" s="37">
        <f t="shared" si="0"/>
        <v>44363.232638888898</v>
      </c>
      <c r="F23" s="240" t="s">
        <v>552</v>
      </c>
      <c r="G23" s="35"/>
      <c r="H23" s="773"/>
      <c r="I23" s="773"/>
      <c r="J23" s="773"/>
    </row>
    <row r="24" spans="1:10" ht="12" customHeight="1" x14ac:dyDescent="0.25">
      <c r="A24" s="31">
        <f t="shared" si="1"/>
        <v>44363.232638888898</v>
      </c>
      <c r="B24" s="37">
        <f t="shared" si="2"/>
        <v>44363.232638888898</v>
      </c>
      <c r="C24" s="170">
        <v>0.27083333333333331</v>
      </c>
      <c r="D24" s="327" t="str">
        <f t="shared" si="3"/>
        <v/>
      </c>
      <c r="E24" s="37">
        <f t="shared" si="0"/>
        <v>44363.503472222234</v>
      </c>
      <c r="F24" s="320" t="s">
        <v>553</v>
      </c>
      <c r="G24" s="35"/>
      <c r="H24" s="35"/>
      <c r="I24" s="35"/>
      <c r="J24" s="35"/>
    </row>
    <row r="25" spans="1:10" ht="12" customHeight="1" x14ac:dyDescent="0.25">
      <c r="A25" s="494">
        <f t="shared" si="1"/>
        <v>44363.503472222234</v>
      </c>
      <c r="B25" s="493">
        <f t="shared" si="2"/>
        <v>44363.503472222234</v>
      </c>
      <c r="C25" s="170">
        <v>0.10416666666666667</v>
      </c>
      <c r="D25" s="498" t="str">
        <f t="shared" si="3"/>
        <v/>
      </c>
      <c r="E25" s="493">
        <f t="shared" si="0"/>
        <v>44363.607638888898</v>
      </c>
      <c r="F25" s="492" t="s">
        <v>2433</v>
      </c>
      <c r="G25" s="492"/>
      <c r="H25" s="495">
        <v>500</v>
      </c>
      <c r="I25" s="495">
        <v>500</v>
      </c>
      <c r="J25" s="495"/>
    </row>
    <row r="26" spans="1:10" x14ac:dyDescent="0.25">
      <c r="A26" s="31">
        <f t="shared" si="1"/>
        <v>44363.607638888898</v>
      </c>
      <c r="B26" s="37">
        <f>B24+C24</f>
        <v>44363.503472222234</v>
      </c>
      <c r="C26" s="170">
        <v>0.27083333333333331</v>
      </c>
      <c r="D26" s="327" t="str">
        <f t="shared" si="3"/>
        <v/>
      </c>
      <c r="E26" s="37">
        <f t="shared" si="0"/>
        <v>44363.774305555569</v>
      </c>
      <c r="F26" s="35" t="s">
        <v>2434</v>
      </c>
      <c r="G26" s="35"/>
      <c r="H26" s="497">
        <v>708</v>
      </c>
      <c r="I26" s="511">
        <v>708</v>
      </c>
      <c r="J26" s="35"/>
    </row>
    <row r="27" spans="1:10" x14ac:dyDescent="0.25">
      <c r="A27" s="31">
        <f t="shared" si="1"/>
        <v>44363.878472222234</v>
      </c>
      <c r="B27" s="37">
        <f>B26+C26</f>
        <v>44363.774305555569</v>
      </c>
      <c r="C27" s="170">
        <v>0.29166666666666669</v>
      </c>
      <c r="D27" s="327" t="str">
        <f t="shared" si="3"/>
        <v/>
      </c>
      <c r="E27" s="37">
        <f t="shared" si="0"/>
        <v>44364.065972222234</v>
      </c>
      <c r="F27" s="35" t="s">
        <v>2435</v>
      </c>
      <c r="G27" s="35"/>
      <c r="H27" s="497">
        <v>720</v>
      </c>
      <c r="I27" s="511">
        <v>720</v>
      </c>
      <c r="J27" s="35"/>
    </row>
    <row r="28" spans="1:10" x14ac:dyDescent="0.25">
      <c r="A28" s="31">
        <f>IF(D27 = "",A27+C27,A27+D27)</f>
        <v>44364.170138888898</v>
      </c>
      <c r="B28" s="718">
        <f>IF(D27="",B27+C27+(8.92/24),B27+D27)</f>
        <v>44364.4376388889</v>
      </c>
      <c r="C28" s="170">
        <v>0.25</v>
      </c>
      <c r="D28" s="327" t="str">
        <f t="shared" si="3"/>
        <v/>
      </c>
      <c r="E28" s="37">
        <f t="shared" si="0"/>
        <v>44364.6876388889</v>
      </c>
      <c r="F28" s="35" t="s">
        <v>2436</v>
      </c>
      <c r="G28" s="739"/>
      <c r="H28" s="497"/>
      <c r="I28" s="511"/>
      <c r="J28" s="35"/>
    </row>
    <row r="29" spans="1:10" x14ac:dyDescent="0.25">
      <c r="A29" s="31">
        <f t="shared" si="1"/>
        <v>44364.420138888898</v>
      </c>
      <c r="B29" s="37">
        <f t="shared" si="2"/>
        <v>44364.6876388889</v>
      </c>
      <c r="C29" s="170">
        <v>4.1666666666666664E-2</v>
      </c>
      <c r="D29" s="327" t="str">
        <f t="shared" si="3"/>
        <v/>
      </c>
      <c r="E29" s="37">
        <f t="shared" si="0"/>
        <v>44364.729305555564</v>
      </c>
      <c r="F29" s="35" t="s">
        <v>549</v>
      </c>
      <c r="G29" s="35"/>
      <c r="H29" s="320"/>
      <c r="I29" s="181"/>
      <c r="J29" s="181"/>
    </row>
    <row r="30" spans="1:10" x14ac:dyDescent="0.25">
      <c r="A30" s="31">
        <f t="shared" si="1"/>
        <v>44364.461805555562</v>
      </c>
      <c r="B30" s="37">
        <f t="shared" si="2"/>
        <v>44364.729305555564</v>
      </c>
      <c r="C30" s="170">
        <v>8.3333333333333329E-2</v>
      </c>
      <c r="D30" s="327" t="str">
        <f t="shared" si="3"/>
        <v/>
      </c>
      <c r="E30" s="37">
        <f t="shared" si="0"/>
        <v>44364.8126388889</v>
      </c>
      <c r="F30" s="35" t="s">
        <v>672</v>
      </c>
      <c r="G30" s="35"/>
      <c r="H30" s="320"/>
      <c r="I30" s="181"/>
      <c r="J30" s="181"/>
    </row>
    <row r="31" spans="1:10" x14ac:dyDescent="0.25">
      <c r="A31" s="31">
        <f t="shared" si="1"/>
        <v>44364.545138888898</v>
      </c>
      <c r="B31" s="37">
        <f t="shared" si="2"/>
        <v>44364.8126388889</v>
      </c>
      <c r="C31" s="170">
        <v>0.47916666666666669</v>
      </c>
      <c r="D31" s="327" t="str">
        <f t="shared" si="3"/>
        <v/>
      </c>
      <c r="E31" s="37">
        <f t="shared" si="0"/>
        <v>44365.291805555564</v>
      </c>
      <c r="F31" s="35" t="s">
        <v>551</v>
      </c>
      <c r="G31" s="35"/>
      <c r="H31" s="497">
        <v>290.7</v>
      </c>
      <c r="I31" s="512">
        <v>290.7</v>
      </c>
      <c r="J31" s="497"/>
    </row>
    <row r="32" spans="1:10" x14ac:dyDescent="0.25">
      <c r="A32" s="31">
        <f t="shared" si="1"/>
        <v>44365.024305555562</v>
      </c>
      <c r="B32" s="37">
        <f t="shared" si="2"/>
        <v>44365.291805555564</v>
      </c>
      <c r="C32" s="170">
        <v>4.1666666666666664E-2</v>
      </c>
      <c r="D32" s="327" t="str">
        <f t="shared" si="3"/>
        <v/>
      </c>
      <c r="E32" s="37">
        <f t="shared" si="0"/>
        <v>44365.333472222228</v>
      </c>
      <c r="F32" s="35" t="s">
        <v>2437</v>
      </c>
      <c r="G32" s="35"/>
      <c r="H32" s="35"/>
      <c r="I32" s="35"/>
      <c r="J32" s="35"/>
    </row>
    <row r="33" spans="1:10" x14ac:dyDescent="0.25">
      <c r="A33" s="31">
        <f t="shared" si="1"/>
        <v>44365.065972222226</v>
      </c>
      <c r="B33" s="37">
        <f t="shared" si="2"/>
        <v>44365.333472222228</v>
      </c>
      <c r="C33" s="170">
        <v>0.22916666666666666</v>
      </c>
      <c r="D33" s="327" t="str">
        <f t="shared" si="3"/>
        <v/>
      </c>
      <c r="E33" s="37">
        <f t="shared" si="0"/>
        <v>44365.562638888892</v>
      </c>
      <c r="F33" s="320" t="s">
        <v>2482</v>
      </c>
      <c r="G33" s="35"/>
      <c r="H33" s="35"/>
      <c r="I33" s="35"/>
      <c r="J33" s="35"/>
    </row>
    <row r="34" spans="1:10" x14ac:dyDescent="0.25">
      <c r="A34" s="31">
        <f t="shared" si="1"/>
        <v>44365.295138888891</v>
      </c>
      <c r="B34" s="37">
        <f t="shared" si="2"/>
        <v>44365.562638888892</v>
      </c>
      <c r="C34" s="170">
        <v>0.10416666666666667</v>
      </c>
      <c r="D34" s="327" t="str">
        <f t="shared" si="3"/>
        <v/>
      </c>
      <c r="E34" s="37">
        <f t="shared" si="0"/>
        <v>44365.666805555556</v>
      </c>
      <c r="F34" s="35" t="s">
        <v>2438</v>
      </c>
      <c r="G34" s="35"/>
      <c r="H34" s="35"/>
      <c r="I34" s="35"/>
      <c r="J34" s="35"/>
    </row>
    <row r="35" spans="1:10" ht="21" x14ac:dyDescent="0.55000000000000004">
      <c r="A35" s="34"/>
      <c r="B35" s="33" t="s">
        <v>534</v>
      </c>
      <c r="C35" s="32">
        <f>SUM(C12:C34)</f>
        <v>4.8229166666666679</v>
      </c>
      <c r="D35" s="32">
        <f>SUM(D12:D25)</f>
        <v>0.16666666666666666</v>
      </c>
      <c r="G35" s="243" t="s">
        <v>535</v>
      </c>
      <c r="H35" s="496">
        <f>SUM(H12:H34)</f>
        <v>3664.4399999999996</v>
      </c>
      <c r="I35" s="499">
        <f>SUM(I12:I34)</f>
        <v>3664.4399999999996</v>
      </c>
      <c r="J35" s="183">
        <f>SUM(J12:J34)</f>
        <v>200</v>
      </c>
    </row>
    <row r="36" spans="1:10" x14ac:dyDescent="0.25">
      <c r="B36" s="31" t="s">
        <v>536</v>
      </c>
      <c r="C36" s="30">
        <f>(C35*60)/1440</f>
        <v>0.20095486111111116</v>
      </c>
      <c r="D36" s="30">
        <f>(D35*60)/1440</f>
        <v>6.9444444444444441E-3</v>
      </c>
      <c r="F36" s="26"/>
    </row>
    <row r="37" spans="1:10" x14ac:dyDescent="0.25">
      <c r="C37" s="774"/>
      <c r="F37" s="26"/>
    </row>
    <row r="46" spans="1:10" x14ac:dyDescent="0.25">
      <c r="C46" s="27"/>
      <c r="D46" s="27"/>
    </row>
    <row r="50" spans="2:2" x14ac:dyDescent="0.25">
      <c r="B50" s="502">
        <v>4.1666666666666664E-2</v>
      </c>
    </row>
  </sheetData>
  <mergeCells count="5">
    <mergeCell ref="A1:B1"/>
    <mergeCell ref="A5:D5"/>
    <mergeCell ref="H20:H22"/>
    <mergeCell ref="I20:I22"/>
    <mergeCell ref="J20:J22"/>
  </mergeCells>
  <pageMargins left="0.75" right="0.75" top="1" bottom="1" header="0.5" footer="0.5"/>
  <pageSetup orientation="portrait" r:id="rId1"/>
  <headerFooter alignWithMargins="0">
    <oddFooter>&amp;R&amp;"Arial,Regular"&amp;08&amp;K7F7F7FAmgen Proprietary - Confidential   &amp;C&amp;"Arial,Regular"&amp;08&amp;K7F7F7FAmgen Proprietary - For Internal Use Only</oddFooter>
    <evenFooter>&amp;R&amp;"Arial,Regular"&amp;08&amp;K7F7F7FAmgen Proprietary - Confidential   &amp;C&amp;"Arial,Regular"&amp;08&amp;K7F7F7FAmgen Proprietary - For Internal Use Only</evenFooter>
    <firstFooter>&amp;R&amp;"Arial,Regular"&amp;08&amp;K7F7F7FAmgen Proprietary - Confidential   &amp;C&amp;"Arial,Regular"&amp;08&amp;K7F7F7FAmgen Proprietary - For Internal Use Only</firstFoot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0BF8F0-2FAD-4FD2-A396-BBBEBC64B9D3}">
  <sheetPr codeName="Sheet86">
    <pageSetUpPr autoPageBreaks="0"/>
  </sheetPr>
  <dimension ref="A1:J50"/>
  <sheetViews>
    <sheetView topLeftCell="A13" zoomScale="170" zoomScaleNormal="170" workbookViewId="0">
      <selection activeCell="E22" sqref="E22"/>
    </sheetView>
  </sheetViews>
  <sheetFormatPr defaultColWidth="23.453125" defaultRowHeight="11.5" x14ac:dyDescent="0.25"/>
  <cols>
    <col min="1" max="2" width="23.54296875" style="25" bestFit="1" customWidth="1"/>
    <col min="3" max="3" width="23.453125" style="25"/>
    <col min="4" max="4" width="17.453125" style="25" customWidth="1"/>
    <col min="5" max="5" width="23.453125" style="25"/>
    <col min="6" max="6" width="76.54296875" style="25" bestFit="1" customWidth="1"/>
    <col min="7" max="7" width="27.453125" style="25" customWidth="1"/>
    <col min="8" max="8" width="9" style="25" bestFit="1" customWidth="1"/>
    <col min="9" max="9" width="9.54296875" style="25" bestFit="1" customWidth="1"/>
    <col min="10" max="10" width="9.54296875" style="25" customWidth="1"/>
    <col min="11" max="16384" width="23.453125" style="25"/>
  </cols>
  <sheetData>
    <row r="1" spans="1:10" ht="12" thickBot="1" x14ac:dyDescent="0.3">
      <c r="A1" s="1047" t="s">
        <v>479</v>
      </c>
      <c r="B1" s="1048"/>
    </row>
    <row r="2" spans="1:10" x14ac:dyDescent="0.25">
      <c r="A2" s="43" t="s">
        <v>480</v>
      </c>
      <c r="B2" s="319">
        <f>A12</f>
        <v>44368.354166666664</v>
      </c>
    </row>
    <row r="3" spans="1:10" ht="12" thickBot="1" x14ac:dyDescent="0.3">
      <c r="A3" s="42" t="s">
        <v>482</v>
      </c>
      <c r="B3" s="406">
        <f>B12</f>
        <v>44368.354166666664</v>
      </c>
    </row>
    <row r="5" spans="1:10" x14ac:dyDescent="0.25">
      <c r="A5" s="1049" t="s">
        <v>484</v>
      </c>
      <c r="B5" s="1050"/>
      <c r="C5" s="1050"/>
      <c r="D5" s="1051"/>
    </row>
    <row r="6" spans="1:10" x14ac:dyDescent="0.25">
      <c r="A6" s="781" t="s">
        <v>485</v>
      </c>
      <c r="B6" s="781" t="s">
        <v>486</v>
      </c>
      <c r="C6" s="781" t="s">
        <v>487</v>
      </c>
      <c r="D6" s="781" t="s">
        <v>488</v>
      </c>
    </row>
    <row r="7" spans="1:10" x14ac:dyDescent="0.25">
      <c r="A7" s="41" t="str">
        <f>F15</f>
        <v>IPC1.0: Reaction Conversion</v>
      </c>
      <c r="B7" s="40">
        <f>INDEX($A$12:$A$62,MATCH(A7,$F$12:$F$45,0))</f>
        <v>44368.75</v>
      </c>
      <c r="C7" s="37">
        <f>INDEX($B$12:$B$62,MATCH(A7,$F$12:$F$45,0))</f>
        <v>44368.75</v>
      </c>
      <c r="D7" s="297"/>
    </row>
    <row r="8" spans="1:10" x14ac:dyDescent="0.25">
      <c r="A8" s="41" t="str">
        <f>F24</f>
        <v>IPC2.0: Purity, LOD</v>
      </c>
      <c r="B8" s="40">
        <f>INDEX($A$12:$A$62,MATCH(A8,$F$12:$F$45,0))</f>
        <v>44370.274305555555</v>
      </c>
      <c r="C8" s="37">
        <f>INDEX($B$12:$B$62,MATCH(A8,$F$12:$F$45,0))</f>
        <v>44370.274305555555</v>
      </c>
      <c r="D8" s="297"/>
      <c r="E8" s="298"/>
    </row>
    <row r="9" spans="1:10" x14ac:dyDescent="0.25">
      <c r="A9" s="41" t="s">
        <v>2482</v>
      </c>
      <c r="B9" s="40">
        <f>INDEX($A$12:$A$62,MATCH(A9,$F$12:$F$45,0))</f>
        <v>44372.107638888883</v>
      </c>
      <c r="C9" s="37">
        <f>B33</f>
        <v>44372.333472222221</v>
      </c>
      <c r="D9" s="297"/>
      <c r="E9" s="298"/>
    </row>
    <row r="11" spans="1:10" ht="23" x14ac:dyDescent="0.25">
      <c r="A11" s="781" t="s">
        <v>492</v>
      </c>
      <c r="B11" s="781" t="s">
        <v>493</v>
      </c>
      <c r="C11" s="781" t="s">
        <v>494</v>
      </c>
      <c r="D11" s="500" t="s">
        <v>495</v>
      </c>
      <c r="E11" s="781" t="s">
        <v>540</v>
      </c>
      <c r="F11" s="781" t="s">
        <v>541</v>
      </c>
      <c r="G11" s="781" t="s">
        <v>498</v>
      </c>
      <c r="H11" s="501" t="s">
        <v>112</v>
      </c>
      <c r="I11" s="781" t="s">
        <v>542</v>
      </c>
      <c r="J11" s="781" t="s">
        <v>2429</v>
      </c>
    </row>
    <row r="12" spans="1:10" x14ac:dyDescent="0.25">
      <c r="A12" s="31">
        <v>44368.354166666664</v>
      </c>
      <c r="B12" s="37">
        <f>A12</f>
        <v>44368.354166666664</v>
      </c>
      <c r="C12" s="170">
        <v>0.10416666666666667</v>
      </c>
      <c r="D12" s="327"/>
      <c r="E12" s="37">
        <f t="shared" ref="E12:E34" si="0">B12+C12</f>
        <v>44368.458333333328</v>
      </c>
      <c r="F12" s="264" t="s">
        <v>543</v>
      </c>
      <c r="G12" s="78"/>
      <c r="H12" s="78"/>
      <c r="I12" s="78"/>
      <c r="J12" s="78"/>
    </row>
    <row r="13" spans="1:10" ht="12.75" customHeight="1" x14ac:dyDescent="0.25">
      <c r="A13" s="31">
        <f t="shared" ref="A13:A34" si="1">IF(D12 = "",A12+C12,A12+D12)</f>
        <v>44368.458333333328</v>
      </c>
      <c r="B13" s="37">
        <f t="shared" ref="B13:B34" si="2">IF(D12 = "",B12+C12,B12+D12)</f>
        <v>44368.458333333328</v>
      </c>
      <c r="C13" s="170">
        <v>8.3333333333333329E-2</v>
      </c>
      <c r="D13" s="327" t="str">
        <f t="shared" ref="D13:D34" si="3">IF(_xlfn.ISFORMULA(E13)=TRUE,"",E13-B13)</f>
        <v/>
      </c>
      <c r="E13" s="37">
        <f t="shared" si="0"/>
        <v>44368.541666666664</v>
      </c>
      <c r="F13" s="264" t="s">
        <v>544</v>
      </c>
      <c r="G13" s="35"/>
      <c r="H13" s="35"/>
      <c r="I13" s="35"/>
      <c r="J13" s="35"/>
    </row>
    <row r="14" spans="1:10" ht="12.75" customHeight="1" x14ac:dyDescent="0.25">
      <c r="A14" s="31">
        <f t="shared" si="1"/>
        <v>44368.541666666664</v>
      </c>
      <c r="B14" s="37">
        <f t="shared" si="2"/>
        <v>44368.541666666664</v>
      </c>
      <c r="C14" s="170">
        <v>0.20833333333333334</v>
      </c>
      <c r="D14" s="327" t="str">
        <f t="shared" si="3"/>
        <v/>
      </c>
      <c r="E14" s="37">
        <f t="shared" si="0"/>
        <v>44368.75</v>
      </c>
      <c r="F14" s="264" t="s">
        <v>545</v>
      </c>
      <c r="G14" s="39"/>
      <c r="H14" s="39"/>
      <c r="I14" s="39"/>
      <c r="J14" s="39"/>
    </row>
    <row r="15" spans="1:10" ht="13.5" customHeight="1" x14ac:dyDescent="0.25">
      <c r="A15" s="31">
        <f t="shared" si="1"/>
        <v>44368.75</v>
      </c>
      <c r="B15" s="37">
        <f t="shared" si="2"/>
        <v>44368.75</v>
      </c>
      <c r="C15" s="170">
        <v>0.10416666666666667</v>
      </c>
      <c r="D15" s="327"/>
      <c r="E15" s="37">
        <f t="shared" si="0"/>
        <v>44368.854166666664</v>
      </c>
      <c r="F15" s="320" t="s">
        <v>546</v>
      </c>
      <c r="G15" s="35"/>
      <c r="H15" s="35"/>
      <c r="I15" s="35"/>
      <c r="J15" s="35"/>
    </row>
    <row r="16" spans="1:10" x14ac:dyDescent="0.25">
      <c r="A16" s="31">
        <f t="shared" si="1"/>
        <v>44368.854166666664</v>
      </c>
      <c r="B16" s="37">
        <f t="shared" si="2"/>
        <v>44368.854166666664</v>
      </c>
      <c r="C16" s="172">
        <v>0.57638888888888895</v>
      </c>
      <c r="D16" s="327" t="str">
        <f t="shared" si="3"/>
        <v/>
      </c>
      <c r="E16" s="37">
        <f t="shared" si="0"/>
        <v>44369.430555555555</v>
      </c>
      <c r="F16" s="264" t="s">
        <v>547</v>
      </c>
      <c r="G16" s="35"/>
      <c r="H16" s="497">
        <v>384</v>
      </c>
      <c r="I16" s="497">
        <v>384</v>
      </c>
      <c r="J16" s="235"/>
    </row>
    <row r="17" spans="1:10" x14ac:dyDescent="0.25">
      <c r="A17" s="503">
        <f>A16</f>
        <v>44368.854166666664</v>
      </c>
      <c r="B17" s="504">
        <f>E16 + B50</f>
        <v>44369.472222222219</v>
      </c>
      <c r="C17" s="509">
        <v>0.50694444444444442</v>
      </c>
      <c r="D17" s="505" t="str">
        <f t="shared" si="3"/>
        <v/>
      </c>
      <c r="E17" s="504">
        <f t="shared" si="0"/>
        <v>44369.979166666664</v>
      </c>
      <c r="F17" s="506" t="s">
        <v>2431</v>
      </c>
      <c r="G17" s="492"/>
      <c r="H17" s="495"/>
      <c r="I17" s="495"/>
      <c r="J17" s="495">
        <v>200</v>
      </c>
    </row>
    <row r="18" spans="1:10" ht="13.5" customHeight="1" x14ac:dyDescent="0.25">
      <c r="A18" s="31">
        <f>IF(D16 = "",A16+C16,A16+D16)</f>
        <v>44369.430555555555</v>
      </c>
      <c r="B18" s="37">
        <f>IF(D16 = "",B16+C16,B16+D16)</f>
        <v>44369.430555555555</v>
      </c>
      <c r="C18" s="172">
        <v>0.2638888888888889</v>
      </c>
      <c r="D18" s="327" t="str">
        <f t="shared" si="3"/>
        <v/>
      </c>
      <c r="E18" s="37">
        <f t="shared" si="0"/>
        <v>44369.694444444445</v>
      </c>
      <c r="F18" s="264" t="s">
        <v>548</v>
      </c>
      <c r="G18" s="35"/>
      <c r="H18" s="497"/>
      <c r="I18" s="497"/>
      <c r="J18" s="497"/>
    </row>
    <row r="19" spans="1:10" ht="13.5" customHeight="1" x14ac:dyDescent="0.25">
      <c r="A19" s="503">
        <f>A18</f>
        <v>44369.430555555555</v>
      </c>
      <c r="B19" s="504">
        <f>E17</f>
        <v>44369.979166666664</v>
      </c>
      <c r="C19" s="172">
        <v>0.20833333333333334</v>
      </c>
      <c r="D19" s="505" t="str">
        <f t="shared" si="3"/>
        <v/>
      </c>
      <c r="E19" s="504">
        <f>B19+C19</f>
        <v>44370.1875</v>
      </c>
      <c r="F19" s="506" t="s">
        <v>2432</v>
      </c>
      <c r="G19" s="507"/>
      <c r="H19" s="495">
        <v>384</v>
      </c>
      <c r="I19" s="495">
        <v>384</v>
      </c>
      <c r="J19" s="495"/>
    </row>
    <row r="20" spans="1:10" ht="12" customHeight="1" x14ac:dyDescent="0.25">
      <c r="A20" s="31">
        <f>IF(D18 = "",A18+C18,A18+D18)</f>
        <v>44369.694444444445</v>
      </c>
      <c r="B20" s="37">
        <f>IF(D18 = "",B18+C18,B18+D18)</f>
        <v>44369.694444444445</v>
      </c>
      <c r="C20" s="172">
        <v>4.8611111111111112E-2</v>
      </c>
      <c r="D20" s="327" t="str">
        <f t="shared" si="3"/>
        <v/>
      </c>
      <c r="E20" s="37">
        <f t="shared" si="0"/>
        <v>44369.743055555555</v>
      </c>
      <c r="F20" s="264" t="s">
        <v>549</v>
      </c>
      <c r="G20" s="39"/>
      <c r="H20" s="1052">
        <v>677.74</v>
      </c>
      <c r="I20" s="1052">
        <f>SUM(H20)</f>
        <v>677.74</v>
      </c>
      <c r="J20" s="1052"/>
    </row>
    <row r="21" spans="1:10" ht="12.75" customHeight="1" x14ac:dyDescent="0.25">
      <c r="A21" s="31">
        <f t="shared" si="1"/>
        <v>44369.743055555555</v>
      </c>
      <c r="B21" s="37">
        <f t="shared" si="2"/>
        <v>44369.743055555555</v>
      </c>
      <c r="C21" s="172">
        <v>6.25E-2</v>
      </c>
      <c r="D21" s="327"/>
      <c r="E21" s="37">
        <f t="shared" si="0"/>
        <v>44369.805555555555</v>
      </c>
      <c r="F21" s="264" t="s">
        <v>550</v>
      </c>
      <c r="G21" s="35"/>
      <c r="H21" s="1052"/>
      <c r="I21" s="1052"/>
      <c r="J21" s="1052"/>
    </row>
    <row r="22" spans="1:10" x14ac:dyDescent="0.25">
      <c r="A22" s="31">
        <f t="shared" si="1"/>
        <v>44369.805555555555</v>
      </c>
      <c r="B22" s="37">
        <f t="shared" si="2"/>
        <v>44369.805555555555</v>
      </c>
      <c r="C22" s="170">
        <v>0.42708333333333331</v>
      </c>
      <c r="D22" s="327" t="str">
        <f t="shared" si="3"/>
        <v/>
      </c>
      <c r="E22" s="37">
        <f t="shared" si="0"/>
        <v>44370.232638888891</v>
      </c>
      <c r="F22" s="264" t="s">
        <v>551</v>
      </c>
      <c r="G22" s="35"/>
      <c r="H22" s="1052"/>
      <c r="I22" s="1052"/>
      <c r="J22" s="1052"/>
    </row>
    <row r="23" spans="1:10" x14ac:dyDescent="0.25">
      <c r="A23" s="31">
        <f t="shared" si="1"/>
        <v>44370.232638888891</v>
      </c>
      <c r="B23" s="37">
        <f t="shared" si="2"/>
        <v>44370.232638888891</v>
      </c>
      <c r="C23" s="170">
        <v>4.1666666666666664E-2</v>
      </c>
      <c r="D23" s="327" t="str">
        <f t="shared" si="3"/>
        <v/>
      </c>
      <c r="E23" s="37">
        <f t="shared" si="0"/>
        <v>44370.274305555555</v>
      </c>
      <c r="F23" s="240" t="s">
        <v>552</v>
      </c>
      <c r="G23" s="35"/>
      <c r="H23" s="773"/>
      <c r="I23" s="773"/>
      <c r="J23" s="773"/>
    </row>
    <row r="24" spans="1:10" ht="12" customHeight="1" x14ac:dyDescent="0.25">
      <c r="A24" s="31">
        <f t="shared" si="1"/>
        <v>44370.274305555555</v>
      </c>
      <c r="B24" s="37">
        <f t="shared" si="2"/>
        <v>44370.274305555555</v>
      </c>
      <c r="C24" s="170">
        <v>0.27083333333333331</v>
      </c>
      <c r="D24" s="327" t="str">
        <f t="shared" si="3"/>
        <v/>
      </c>
      <c r="E24" s="37">
        <f t="shared" si="0"/>
        <v>44370.545138888891</v>
      </c>
      <c r="F24" s="320" t="s">
        <v>553</v>
      </c>
      <c r="G24" s="35"/>
      <c r="H24" s="35"/>
      <c r="I24" s="35"/>
      <c r="J24" s="35"/>
    </row>
    <row r="25" spans="1:10" ht="12" customHeight="1" x14ac:dyDescent="0.25">
      <c r="A25" s="494">
        <f t="shared" si="1"/>
        <v>44370.545138888891</v>
      </c>
      <c r="B25" s="493">
        <f t="shared" si="2"/>
        <v>44370.545138888891</v>
      </c>
      <c r="C25" s="170">
        <v>0.10416666666666667</v>
      </c>
      <c r="D25" s="498" t="str">
        <f t="shared" si="3"/>
        <v/>
      </c>
      <c r="E25" s="493">
        <f t="shared" si="0"/>
        <v>44370.649305555555</v>
      </c>
      <c r="F25" s="492" t="s">
        <v>2433</v>
      </c>
      <c r="G25" s="492"/>
      <c r="H25" s="495">
        <v>500</v>
      </c>
      <c r="I25" s="495">
        <v>500</v>
      </c>
      <c r="J25" s="495"/>
    </row>
    <row r="26" spans="1:10" x14ac:dyDescent="0.25">
      <c r="A26" s="31">
        <f t="shared" si="1"/>
        <v>44370.649305555555</v>
      </c>
      <c r="B26" s="37">
        <f>B24+C24</f>
        <v>44370.545138888891</v>
      </c>
      <c r="C26" s="170">
        <v>0.27083333333333331</v>
      </c>
      <c r="D26" s="327" t="str">
        <f t="shared" si="3"/>
        <v/>
      </c>
      <c r="E26" s="37">
        <f t="shared" si="0"/>
        <v>44370.815972222226</v>
      </c>
      <c r="F26" s="35" t="s">
        <v>2434</v>
      </c>
      <c r="G26" s="35"/>
      <c r="H26" s="497">
        <v>708</v>
      </c>
      <c r="I26" s="511">
        <v>708</v>
      </c>
      <c r="J26" s="35"/>
    </row>
    <row r="27" spans="1:10" x14ac:dyDescent="0.25">
      <c r="A27" s="31">
        <f t="shared" si="1"/>
        <v>44370.920138888891</v>
      </c>
      <c r="B27" s="37">
        <f>B26+C26</f>
        <v>44370.815972222226</v>
      </c>
      <c r="C27" s="170">
        <v>0.29166666666666669</v>
      </c>
      <c r="D27" s="327" t="str">
        <f t="shared" si="3"/>
        <v/>
      </c>
      <c r="E27" s="37">
        <f t="shared" si="0"/>
        <v>44371.107638888891</v>
      </c>
      <c r="F27" s="35" t="s">
        <v>2435</v>
      </c>
      <c r="G27" s="35"/>
      <c r="H27" s="497">
        <v>720</v>
      </c>
      <c r="I27" s="511">
        <v>720</v>
      </c>
      <c r="J27" s="35"/>
    </row>
    <row r="28" spans="1:10" x14ac:dyDescent="0.25">
      <c r="A28" s="31">
        <f>IF(D27 = "",A27+C27,A27+D27)</f>
        <v>44371.211805555555</v>
      </c>
      <c r="B28" s="718">
        <f>IF(D27="",B27+C27+(7.92/24),B27+D27)</f>
        <v>44371.437638888892</v>
      </c>
      <c r="C28" s="170">
        <v>0.25</v>
      </c>
      <c r="D28" s="327" t="str">
        <f t="shared" si="3"/>
        <v/>
      </c>
      <c r="E28" s="37">
        <f t="shared" si="0"/>
        <v>44371.687638888892</v>
      </c>
      <c r="F28" s="35" t="s">
        <v>2436</v>
      </c>
      <c r="G28" s="739"/>
      <c r="H28" s="497"/>
      <c r="I28" s="511"/>
      <c r="J28" s="35"/>
    </row>
    <row r="29" spans="1:10" x14ac:dyDescent="0.25">
      <c r="A29" s="31">
        <f t="shared" si="1"/>
        <v>44371.461805555555</v>
      </c>
      <c r="B29" s="37">
        <f t="shared" si="2"/>
        <v>44371.687638888892</v>
      </c>
      <c r="C29" s="170">
        <v>4.1666666666666664E-2</v>
      </c>
      <c r="D29" s="327" t="str">
        <f t="shared" si="3"/>
        <v/>
      </c>
      <c r="E29" s="37">
        <f t="shared" si="0"/>
        <v>44371.729305555556</v>
      </c>
      <c r="F29" s="35" t="s">
        <v>549</v>
      </c>
      <c r="G29" s="35"/>
      <c r="H29" s="320"/>
      <c r="I29" s="181"/>
      <c r="J29" s="181"/>
    </row>
    <row r="30" spans="1:10" x14ac:dyDescent="0.25">
      <c r="A30" s="31">
        <f t="shared" si="1"/>
        <v>44371.503472222219</v>
      </c>
      <c r="B30" s="37">
        <f t="shared" si="2"/>
        <v>44371.729305555556</v>
      </c>
      <c r="C30" s="170">
        <v>8.3333333333333329E-2</v>
      </c>
      <c r="D30" s="327" t="str">
        <f t="shared" si="3"/>
        <v/>
      </c>
      <c r="E30" s="37">
        <f t="shared" si="0"/>
        <v>44371.812638888892</v>
      </c>
      <c r="F30" s="35" t="s">
        <v>672</v>
      </c>
      <c r="G30" s="35"/>
      <c r="H30" s="320"/>
      <c r="I30" s="181"/>
      <c r="J30" s="181"/>
    </row>
    <row r="31" spans="1:10" x14ac:dyDescent="0.25">
      <c r="A31" s="31">
        <f t="shared" si="1"/>
        <v>44371.586805555555</v>
      </c>
      <c r="B31" s="37">
        <f t="shared" si="2"/>
        <v>44371.812638888892</v>
      </c>
      <c r="C31" s="170">
        <v>0.47916666666666669</v>
      </c>
      <c r="D31" s="327" t="str">
        <f t="shared" si="3"/>
        <v/>
      </c>
      <c r="E31" s="37">
        <f t="shared" si="0"/>
        <v>44372.291805555556</v>
      </c>
      <c r="F31" s="35" t="s">
        <v>551</v>
      </c>
      <c r="G31" s="35"/>
      <c r="H31" s="497">
        <v>290.7</v>
      </c>
      <c r="I31" s="512">
        <v>290.7</v>
      </c>
      <c r="J31" s="497"/>
    </row>
    <row r="32" spans="1:10" x14ac:dyDescent="0.25">
      <c r="A32" s="31">
        <f t="shared" si="1"/>
        <v>44372.065972222219</v>
      </c>
      <c r="B32" s="37">
        <f t="shared" si="2"/>
        <v>44372.291805555556</v>
      </c>
      <c r="C32" s="170">
        <v>4.1666666666666664E-2</v>
      </c>
      <c r="D32" s="327" t="str">
        <f t="shared" si="3"/>
        <v/>
      </c>
      <c r="E32" s="37">
        <f t="shared" si="0"/>
        <v>44372.333472222221</v>
      </c>
      <c r="F32" s="35" t="s">
        <v>2437</v>
      </c>
      <c r="G32" s="35"/>
      <c r="H32" s="35"/>
      <c r="I32" s="35"/>
      <c r="J32" s="35"/>
    </row>
    <row r="33" spans="1:10" x14ac:dyDescent="0.25">
      <c r="A33" s="31">
        <f t="shared" si="1"/>
        <v>44372.107638888883</v>
      </c>
      <c r="B33" s="37">
        <f t="shared" si="2"/>
        <v>44372.333472222221</v>
      </c>
      <c r="C33" s="170">
        <v>0.22916666666666666</v>
      </c>
      <c r="D33" s="327" t="str">
        <f t="shared" si="3"/>
        <v/>
      </c>
      <c r="E33" s="37">
        <f t="shared" si="0"/>
        <v>44372.562638888885</v>
      </c>
      <c r="F33" s="320" t="s">
        <v>2482</v>
      </c>
      <c r="G33" s="35"/>
      <c r="H33" s="35"/>
      <c r="I33" s="35"/>
      <c r="J33" s="35"/>
    </row>
    <row r="34" spans="1:10" x14ac:dyDescent="0.25">
      <c r="A34" s="31">
        <f t="shared" si="1"/>
        <v>44372.336805555547</v>
      </c>
      <c r="B34" s="37">
        <f t="shared" si="2"/>
        <v>44372.562638888885</v>
      </c>
      <c r="C34" s="170">
        <v>0.10416666666666667</v>
      </c>
      <c r="D34" s="327" t="str">
        <f t="shared" si="3"/>
        <v/>
      </c>
      <c r="E34" s="37">
        <f t="shared" si="0"/>
        <v>44372.666805555549</v>
      </c>
      <c r="F34" s="35" t="s">
        <v>2438</v>
      </c>
      <c r="G34" s="35"/>
      <c r="H34" s="35"/>
      <c r="I34" s="35"/>
      <c r="J34" s="35"/>
    </row>
    <row r="35" spans="1:10" ht="21" x14ac:dyDescent="0.55000000000000004">
      <c r="A35" s="34"/>
      <c r="B35" s="33" t="s">
        <v>534</v>
      </c>
      <c r="C35" s="32">
        <f>SUM(C12:C34)</f>
        <v>4.8020833333333339</v>
      </c>
      <c r="D35" s="32">
        <f>SUM(D12:D25)</f>
        <v>0</v>
      </c>
      <c r="G35" s="243" t="s">
        <v>535</v>
      </c>
      <c r="H35" s="496">
        <f>SUM(H12:H34)</f>
        <v>3664.4399999999996</v>
      </c>
      <c r="I35" s="499">
        <f>SUM(I12:I34)</f>
        <v>3664.4399999999996</v>
      </c>
      <c r="J35" s="183">
        <f>SUM(J12:J34)</f>
        <v>200</v>
      </c>
    </row>
    <row r="36" spans="1:10" x14ac:dyDescent="0.25">
      <c r="B36" s="31" t="s">
        <v>536</v>
      </c>
      <c r="C36" s="30">
        <f>(C35*60)/1440</f>
        <v>0.20008680555555561</v>
      </c>
      <c r="D36" s="30">
        <f>(D35*60)/1440</f>
        <v>0</v>
      </c>
      <c r="F36" s="26"/>
    </row>
    <row r="37" spans="1:10" x14ac:dyDescent="0.25">
      <c r="C37" s="774"/>
      <c r="F37" s="26"/>
    </row>
    <row r="46" spans="1:10" x14ac:dyDescent="0.25">
      <c r="C46" s="27"/>
      <c r="D46" s="27"/>
    </row>
    <row r="50" spans="2:2" x14ac:dyDescent="0.25">
      <c r="B50" s="502">
        <v>4.1666666666666664E-2</v>
      </c>
    </row>
  </sheetData>
  <mergeCells count="5">
    <mergeCell ref="A1:B1"/>
    <mergeCell ref="A5:D5"/>
    <mergeCell ref="H20:H22"/>
    <mergeCell ref="I20:I22"/>
    <mergeCell ref="J20:J22"/>
  </mergeCells>
  <pageMargins left="0.75" right="0.75" top="1" bottom="1" header="0.5" footer="0.5"/>
  <pageSetup orientation="portrait" r:id="rId1"/>
  <headerFooter alignWithMargins="0">
    <oddFooter>&amp;R&amp;"Arial,Regular"&amp;08&amp;K7F7F7FAmgen Proprietary - Confidential   &amp;C&amp;"Arial,Regular"&amp;08&amp;K7F7F7FAmgen Proprietary - For Internal Use Only</oddFooter>
    <evenFooter>&amp;R&amp;"Arial,Regular"&amp;08&amp;K7F7F7FAmgen Proprietary - Confidential   &amp;C&amp;"Arial,Regular"&amp;08&amp;K7F7F7FAmgen Proprietary - For Internal Use Only</evenFooter>
    <firstFooter>&amp;R&amp;"Arial,Regular"&amp;08&amp;K7F7F7FAmgen Proprietary - Confidential   &amp;C&amp;"Arial,Regular"&amp;08&amp;K7F7F7FAmgen Proprietary - For Internal Use Only</firstFooter>
  </headerFooter>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AB8460-C367-4DCD-A416-4BFBA1F6B404}">
  <sheetPr codeName="Sheet87">
    <pageSetUpPr autoPageBreaks="0"/>
  </sheetPr>
  <dimension ref="A1:J50"/>
  <sheetViews>
    <sheetView topLeftCell="A6" zoomScale="120" zoomScaleNormal="120" workbookViewId="0">
      <selection activeCell="B28" sqref="B28"/>
    </sheetView>
  </sheetViews>
  <sheetFormatPr defaultColWidth="23.453125" defaultRowHeight="11.5" x14ac:dyDescent="0.25"/>
  <cols>
    <col min="1" max="2" width="23.54296875" style="25" customWidth="1"/>
    <col min="3" max="3" width="23.453125" style="25"/>
    <col min="4" max="4" width="17.453125" style="25" hidden="1" customWidth="1"/>
    <col min="5" max="5" width="23.453125" style="25"/>
    <col min="6" max="6" width="76.54296875" style="25" bestFit="1" customWidth="1"/>
    <col min="7" max="7" width="27.453125" style="25" customWidth="1"/>
    <col min="8" max="8" width="9" style="25" bestFit="1" customWidth="1"/>
    <col min="9" max="9" width="9.54296875" style="25" bestFit="1" customWidth="1"/>
    <col min="10" max="10" width="9.54296875" style="25" customWidth="1"/>
    <col min="11" max="16384" width="23.453125" style="25"/>
  </cols>
  <sheetData>
    <row r="1" spans="1:10" ht="12" thickBot="1" x14ac:dyDescent="0.3">
      <c r="A1" s="1047" t="s">
        <v>479</v>
      </c>
      <c r="B1" s="1048"/>
    </row>
    <row r="2" spans="1:10" x14ac:dyDescent="0.25">
      <c r="A2" s="43" t="s">
        <v>480</v>
      </c>
      <c r="B2" s="319">
        <f>A12</f>
        <v>44375.354166666664</v>
      </c>
    </row>
    <row r="3" spans="1:10" ht="12" thickBot="1" x14ac:dyDescent="0.3">
      <c r="A3" s="42" t="s">
        <v>482</v>
      </c>
      <c r="B3" s="406">
        <f>B12</f>
        <v>44375.354166666664</v>
      </c>
    </row>
    <row r="5" spans="1:10" x14ac:dyDescent="0.25">
      <c r="A5" s="1049" t="s">
        <v>484</v>
      </c>
      <c r="B5" s="1050"/>
      <c r="C5" s="1050"/>
      <c r="D5" s="1051"/>
    </row>
    <row r="6" spans="1:10" x14ac:dyDescent="0.25">
      <c r="A6" s="781" t="s">
        <v>485</v>
      </c>
      <c r="B6" s="781" t="s">
        <v>486</v>
      </c>
      <c r="C6" s="781" t="s">
        <v>487</v>
      </c>
      <c r="D6" s="781" t="s">
        <v>488</v>
      </c>
    </row>
    <row r="7" spans="1:10" x14ac:dyDescent="0.25">
      <c r="A7" s="41" t="str">
        <f>F15</f>
        <v>IPC1.0: Reaction Conversion</v>
      </c>
      <c r="B7" s="40">
        <f>INDEX($A$12:$A$62,MATCH(A7,$F$12:$F$45,0))</f>
        <v>44375.75</v>
      </c>
      <c r="C7" s="37">
        <f>INDEX($B$12:$B$62,MATCH(A7,$F$12:$F$45,0))</f>
        <v>44375.75</v>
      </c>
      <c r="D7" s="297"/>
    </row>
    <row r="8" spans="1:10" x14ac:dyDescent="0.25">
      <c r="A8" s="41" t="str">
        <f>F24</f>
        <v>IPC2.0: Purity, LOD</v>
      </c>
      <c r="B8" s="40">
        <f>INDEX($A$12:$A$62,MATCH(A8,$F$12:$F$45,0))</f>
        <v>44377.274305555555</v>
      </c>
      <c r="C8" s="37">
        <f>INDEX($B$12:$B$62,MATCH(A8,$F$12:$F$45,0))</f>
        <v>44377.274305555555</v>
      </c>
      <c r="D8" s="297"/>
      <c r="E8" s="298"/>
    </row>
    <row r="9" spans="1:10" x14ac:dyDescent="0.25">
      <c r="A9" s="41" t="s">
        <v>2482</v>
      </c>
      <c r="B9" s="40">
        <f>INDEX($A$12:$A$62,MATCH(A9,$F$12:$F$45,0))</f>
        <v>44379.107638888883</v>
      </c>
      <c r="C9" s="37">
        <f>B33</f>
        <v>44379.333472222221</v>
      </c>
      <c r="D9" s="297"/>
      <c r="E9" s="298"/>
    </row>
    <row r="11" spans="1:10" ht="23" x14ac:dyDescent="0.25">
      <c r="A11" s="781" t="s">
        <v>492</v>
      </c>
      <c r="B11" s="781" t="s">
        <v>493</v>
      </c>
      <c r="C11" s="781" t="s">
        <v>494</v>
      </c>
      <c r="D11" s="500" t="s">
        <v>495</v>
      </c>
      <c r="E11" s="781" t="s">
        <v>540</v>
      </c>
      <c r="F11" s="781" t="s">
        <v>541</v>
      </c>
      <c r="G11" s="781" t="s">
        <v>498</v>
      </c>
      <c r="H11" s="501" t="s">
        <v>112</v>
      </c>
      <c r="I11" s="781" t="s">
        <v>542</v>
      </c>
      <c r="J11" s="781" t="s">
        <v>2429</v>
      </c>
    </row>
    <row r="12" spans="1:10" x14ac:dyDescent="0.25">
      <c r="A12" s="31">
        <v>44375.354166666664</v>
      </c>
      <c r="B12" s="37">
        <f>A12</f>
        <v>44375.354166666664</v>
      </c>
      <c r="C12" s="170">
        <v>0.10416666666666667</v>
      </c>
      <c r="D12" s="327"/>
      <c r="E12" s="37">
        <f t="shared" ref="E12:E34" si="0">B12+C12</f>
        <v>44375.458333333328</v>
      </c>
      <c r="F12" s="264" t="s">
        <v>543</v>
      </c>
      <c r="G12" s="78"/>
      <c r="H12" s="78"/>
      <c r="I12" s="78"/>
      <c r="J12" s="78"/>
    </row>
    <row r="13" spans="1:10" ht="12.75" customHeight="1" x14ac:dyDescent="0.25">
      <c r="A13" s="31">
        <f t="shared" ref="A13:A34" si="1">IF(D12 = "",A12+C12,A12+D12)</f>
        <v>44375.458333333328</v>
      </c>
      <c r="B13" s="37">
        <f t="shared" ref="B13:B34" si="2">IF(D12 = "",B12+C12,B12+D12)</f>
        <v>44375.458333333328</v>
      </c>
      <c r="C13" s="170">
        <v>8.3333333333333329E-2</v>
      </c>
      <c r="D13" s="327" t="str">
        <f t="shared" ref="D13:D34" si="3">IF(_xlfn.ISFORMULA(E13)=TRUE,"",E13-B13)</f>
        <v/>
      </c>
      <c r="E13" s="37">
        <f t="shared" si="0"/>
        <v>44375.541666666664</v>
      </c>
      <c r="F13" s="264" t="s">
        <v>544</v>
      </c>
      <c r="G13" s="35"/>
      <c r="H13" s="35"/>
      <c r="I13" s="35"/>
      <c r="J13" s="35"/>
    </row>
    <row r="14" spans="1:10" ht="12.75" customHeight="1" x14ac:dyDescent="0.25">
      <c r="A14" s="31">
        <f t="shared" si="1"/>
        <v>44375.541666666664</v>
      </c>
      <c r="B14" s="37">
        <f t="shared" si="2"/>
        <v>44375.541666666664</v>
      </c>
      <c r="C14" s="170">
        <v>0.20833333333333334</v>
      </c>
      <c r="D14" s="327" t="str">
        <f t="shared" si="3"/>
        <v/>
      </c>
      <c r="E14" s="37">
        <f t="shared" si="0"/>
        <v>44375.75</v>
      </c>
      <c r="F14" s="264" t="s">
        <v>545</v>
      </c>
      <c r="G14" s="39"/>
      <c r="H14" s="39"/>
      <c r="I14" s="39"/>
      <c r="J14" s="39"/>
    </row>
    <row r="15" spans="1:10" ht="13.5" customHeight="1" x14ac:dyDescent="0.25">
      <c r="A15" s="31">
        <f t="shared" si="1"/>
        <v>44375.75</v>
      </c>
      <c r="B15" s="37">
        <f t="shared" si="2"/>
        <v>44375.75</v>
      </c>
      <c r="C15" s="170">
        <v>0.10416666666666667</v>
      </c>
      <c r="D15" s="327"/>
      <c r="E15" s="37">
        <f t="shared" si="0"/>
        <v>44375.854166666664</v>
      </c>
      <c r="F15" s="320" t="s">
        <v>546</v>
      </c>
      <c r="G15" s="35"/>
      <c r="H15" s="35"/>
      <c r="I15" s="35"/>
      <c r="J15" s="35"/>
    </row>
    <row r="16" spans="1:10" x14ac:dyDescent="0.25">
      <c r="A16" s="31">
        <f t="shared" si="1"/>
        <v>44375.854166666664</v>
      </c>
      <c r="B16" s="37">
        <f t="shared" si="2"/>
        <v>44375.854166666664</v>
      </c>
      <c r="C16" s="172">
        <v>0.57638888888888895</v>
      </c>
      <c r="D16" s="327" t="str">
        <f t="shared" si="3"/>
        <v/>
      </c>
      <c r="E16" s="37">
        <f t="shared" si="0"/>
        <v>44376.430555555555</v>
      </c>
      <c r="F16" s="264" t="s">
        <v>547</v>
      </c>
      <c r="G16" s="35"/>
      <c r="H16" s="497">
        <v>384</v>
      </c>
      <c r="I16" s="497">
        <v>384</v>
      </c>
      <c r="J16" s="235"/>
    </row>
    <row r="17" spans="1:10" x14ac:dyDescent="0.25">
      <c r="A17" s="503">
        <f>A16</f>
        <v>44375.854166666664</v>
      </c>
      <c r="B17" s="504">
        <f>E16 + B50</f>
        <v>44376.472222222219</v>
      </c>
      <c r="C17" s="509">
        <v>0.50694444444444442</v>
      </c>
      <c r="D17" s="505" t="str">
        <f t="shared" si="3"/>
        <v/>
      </c>
      <c r="E17" s="504">
        <f t="shared" si="0"/>
        <v>44376.979166666664</v>
      </c>
      <c r="F17" s="506" t="s">
        <v>2431</v>
      </c>
      <c r="G17" s="492"/>
      <c r="H17" s="495"/>
      <c r="I17" s="495"/>
      <c r="J17" s="495">
        <v>200</v>
      </c>
    </row>
    <row r="18" spans="1:10" ht="13.5" customHeight="1" x14ac:dyDescent="0.25">
      <c r="A18" s="31">
        <f>IF(D16 = "",A16+C16,A16+D16)</f>
        <v>44376.430555555555</v>
      </c>
      <c r="B18" s="37">
        <f>IF(D16 = "",B16+C16,B16+D16)</f>
        <v>44376.430555555555</v>
      </c>
      <c r="C18" s="172">
        <v>0.2638888888888889</v>
      </c>
      <c r="D18" s="327" t="str">
        <f t="shared" si="3"/>
        <v/>
      </c>
      <c r="E18" s="37">
        <f t="shared" si="0"/>
        <v>44376.694444444445</v>
      </c>
      <c r="F18" s="264" t="s">
        <v>548</v>
      </c>
      <c r="G18" s="35"/>
      <c r="H18" s="497"/>
      <c r="I18" s="497"/>
      <c r="J18" s="497"/>
    </row>
    <row r="19" spans="1:10" ht="13.5" hidden="1" customHeight="1" x14ac:dyDescent="0.25">
      <c r="A19" s="503">
        <f>A18</f>
        <v>44376.430555555555</v>
      </c>
      <c r="B19" s="504">
        <f>E17</f>
        <v>44376.979166666664</v>
      </c>
      <c r="C19" s="172">
        <v>0.20833333333333334</v>
      </c>
      <c r="D19" s="505" t="str">
        <f t="shared" si="3"/>
        <v/>
      </c>
      <c r="E19" s="504">
        <f>B19+C19</f>
        <v>44377.1875</v>
      </c>
      <c r="F19" s="506" t="s">
        <v>2432</v>
      </c>
      <c r="G19" s="507"/>
      <c r="H19" s="495">
        <v>384</v>
      </c>
      <c r="I19" s="495">
        <v>384</v>
      </c>
      <c r="J19" s="495"/>
    </row>
    <row r="20" spans="1:10" ht="12" customHeight="1" x14ac:dyDescent="0.25">
      <c r="A20" s="31">
        <f>IF(D18 = "",A18+C18,A18+D18)</f>
        <v>44376.694444444445</v>
      </c>
      <c r="B20" s="37">
        <f>IF(D18 = "",B18+C18,B18+D18)</f>
        <v>44376.694444444445</v>
      </c>
      <c r="C20" s="172">
        <v>4.8611111111111112E-2</v>
      </c>
      <c r="D20" s="327" t="str">
        <f t="shared" si="3"/>
        <v/>
      </c>
      <c r="E20" s="37">
        <f t="shared" si="0"/>
        <v>44376.743055555555</v>
      </c>
      <c r="F20" s="264" t="s">
        <v>549</v>
      </c>
      <c r="G20" s="39"/>
      <c r="H20" s="1052">
        <v>677.74</v>
      </c>
      <c r="I20" s="1052">
        <f>SUM(H20)</f>
        <v>677.74</v>
      </c>
      <c r="J20" s="1052"/>
    </row>
    <row r="21" spans="1:10" ht="12.75" customHeight="1" x14ac:dyDescent="0.25">
      <c r="A21" s="31">
        <f t="shared" si="1"/>
        <v>44376.743055555555</v>
      </c>
      <c r="B21" s="37">
        <f t="shared" si="2"/>
        <v>44376.743055555555</v>
      </c>
      <c r="C21" s="172">
        <v>6.25E-2</v>
      </c>
      <c r="D21" s="327"/>
      <c r="E21" s="37">
        <f t="shared" si="0"/>
        <v>44376.805555555555</v>
      </c>
      <c r="F21" s="264" t="s">
        <v>550</v>
      </c>
      <c r="G21" s="35"/>
      <c r="H21" s="1052"/>
      <c r="I21" s="1052"/>
      <c r="J21" s="1052"/>
    </row>
    <row r="22" spans="1:10" x14ac:dyDescent="0.25">
      <c r="A22" s="31">
        <f t="shared" si="1"/>
        <v>44376.805555555555</v>
      </c>
      <c r="B22" s="37">
        <f t="shared" si="2"/>
        <v>44376.805555555555</v>
      </c>
      <c r="C22" s="170">
        <v>0.42708333333333331</v>
      </c>
      <c r="D22" s="327" t="str">
        <f t="shared" si="3"/>
        <v/>
      </c>
      <c r="E22" s="37">
        <f t="shared" si="0"/>
        <v>44377.232638888891</v>
      </c>
      <c r="F22" s="264" t="s">
        <v>551</v>
      </c>
      <c r="G22" s="35"/>
      <c r="H22" s="1052"/>
      <c r="I22" s="1052"/>
      <c r="J22" s="1052"/>
    </row>
    <row r="23" spans="1:10" x14ac:dyDescent="0.25">
      <c r="A23" s="31">
        <f t="shared" si="1"/>
        <v>44377.232638888891</v>
      </c>
      <c r="B23" s="37">
        <f t="shared" si="2"/>
        <v>44377.232638888891</v>
      </c>
      <c r="C23" s="170">
        <v>4.1666666666666664E-2</v>
      </c>
      <c r="D23" s="327" t="str">
        <f t="shared" si="3"/>
        <v/>
      </c>
      <c r="E23" s="37">
        <f t="shared" si="0"/>
        <v>44377.274305555555</v>
      </c>
      <c r="F23" s="240" t="s">
        <v>552</v>
      </c>
      <c r="G23" s="35"/>
      <c r="H23" s="773"/>
      <c r="I23" s="773"/>
      <c r="J23" s="773"/>
    </row>
    <row r="24" spans="1:10" ht="12" customHeight="1" x14ac:dyDescent="0.25">
      <c r="A24" s="31">
        <f t="shared" si="1"/>
        <v>44377.274305555555</v>
      </c>
      <c r="B24" s="37">
        <f t="shared" si="2"/>
        <v>44377.274305555555</v>
      </c>
      <c r="C24" s="170">
        <v>0.27083333333333331</v>
      </c>
      <c r="D24" s="327" t="str">
        <f t="shared" si="3"/>
        <v/>
      </c>
      <c r="E24" s="37">
        <f t="shared" si="0"/>
        <v>44377.545138888891</v>
      </c>
      <c r="F24" s="320" t="s">
        <v>553</v>
      </c>
      <c r="G24" s="35"/>
      <c r="H24" s="35"/>
      <c r="I24" s="35"/>
      <c r="J24" s="35"/>
    </row>
    <row r="25" spans="1:10" ht="12" customHeight="1" x14ac:dyDescent="0.25">
      <c r="A25" s="494">
        <f t="shared" si="1"/>
        <v>44377.545138888891</v>
      </c>
      <c r="B25" s="493">
        <f t="shared" si="2"/>
        <v>44377.545138888891</v>
      </c>
      <c r="C25" s="170">
        <v>0.10416666666666667</v>
      </c>
      <c r="D25" s="498" t="str">
        <f t="shared" si="3"/>
        <v/>
      </c>
      <c r="E25" s="493">
        <f t="shared" si="0"/>
        <v>44377.649305555555</v>
      </c>
      <c r="F25" s="492" t="s">
        <v>2433</v>
      </c>
      <c r="G25" s="492"/>
      <c r="H25" s="495">
        <v>500</v>
      </c>
      <c r="I25" s="495">
        <v>500</v>
      </c>
      <c r="J25" s="495"/>
    </row>
    <row r="26" spans="1:10" x14ac:dyDescent="0.25">
      <c r="A26" s="31">
        <f t="shared" si="1"/>
        <v>44377.649305555555</v>
      </c>
      <c r="B26" s="37">
        <f>B24+C24</f>
        <v>44377.545138888891</v>
      </c>
      <c r="C26" s="170">
        <v>0.27083333333333331</v>
      </c>
      <c r="D26" s="327" t="str">
        <f t="shared" si="3"/>
        <v/>
      </c>
      <c r="E26" s="37">
        <f t="shared" si="0"/>
        <v>44377.815972222226</v>
      </c>
      <c r="F26" s="35" t="s">
        <v>2434</v>
      </c>
      <c r="G26" s="35"/>
      <c r="H26" s="497">
        <v>708</v>
      </c>
      <c r="I26" s="511">
        <v>708</v>
      </c>
      <c r="J26" s="35"/>
    </row>
    <row r="27" spans="1:10" x14ac:dyDescent="0.25">
      <c r="A27" s="31">
        <f t="shared" si="1"/>
        <v>44377.920138888891</v>
      </c>
      <c r="B27" s="37">
        <f>B26+C26</f>
        <v>44377.815972222226</v>
      </c>
      <c r="C27" s="170">
        <v>0.29166666666666669</v>
      </c>
      <c r="D27" s="327" t="str">
        <f t="shared" si="3"/>
        <v/>
      </c>
      <c r="E27" s="37">
        <f t="shared" si="0"/>
        <v>44378.107638888891</v>
      </c>
      <c r="F27" s="35" t="s">
        <v>2435</v>
      </c>
      <c r="G27" s="35"/>
      <c r="H27" s="497">
        <v>720</v>
      </c>
      <c r="I27" s="511">
        <v>720</v>
      </c>
      <c r="J27" s="35"/>
    </row>
    <row r="28" spans="1:10" x14ac:dyDescent="0.25">
      <c r="A28" s="31">
        <f>IF(D27 = "",A27+C27,A27+D27)</f>
        <v>44378.211805555555</v>
      </c>
      <c r="B28" s="718">
        <f>IF(D27="",B27+C27+(7.92/24),B27+D27)</f>
        <v>44378.437638888892</v>
      </c>
      <c r="C28" s="170">
        <v>0.25</v>
      </c>
      <c r="D28" s="327" t="str">
        <f t="shared" si="3"/>
        <v/>
      </c>
      <c r="E28" s="37">
        <f t="shared" si="0"/>
        <v>44378.687638888892</v>
      </c>
      <c r="F28" s="35" t="s">
        <v>2436</v>
      </c>
      <c r="G28" s="739"/>
      <c r="H28" s="497"/>
      <c r="I28" s="511"/>
      <c r="J28" s="35"/>
    </row>
    <row r="29" spans="1:10" x14ac:dyDescent="0.25">
      <c r="A29" s="31">
        <f t="shared" si="1"/>
        <v>44378.461805555555</v>
      </c>
      <c r="B29" s="37">
        <f t="shared" si="2"/>
        <v>44378.687638888892</v>
      </c>
      <c r="C29" s="170">
        <v>4.1666666666666664E-2</v>
      </c>
      <c r="D29" s="327" t="str">
        <f t="shared" si="3"/>
        <v/>
      </c>
      <c r="E29" s="37">
        <f t="shared" si="0"/>
        <v>44378.729305555556</v>
      </c>
      <c r="F29" s="35" t="s">
        <v>549</v>
      </c>
      <c r="G29" s="35"/>
      <c r="H29" s="320"/>
      <c r="I29" s="181"/>
      <c r="J29" s="181"/>
    </row>
    <row r="30" spans="1:10" x14ac:dyDescent="0.25">
      <c r="A30" s="31">
        <f t="shared" si="1"/>
        <v>44378.503472222219</v>
      </c>
      <c r="B30" s="37">
        <f t="shared" si="2"/>
        <v>44378.729305555556</v>
      </c>
      <c r="C30" s="170">
        <v>8.3333333333333329E-2</v>
      </c>
      <c r="D30" s="327" t="str">
        <f t="shared" si="3"/>
        <v/>
      </c>
      <c r="E30" s="37">
        <f t="shared" si="0"/>
        <v>44378.812638888892</v>
      </c>
      <c r="F30" s="35" t="s">
        <v>672</v>
      </c>
      <c r="G30" s="35"/>
      <c r="H30" s="320"/>
      <c r="I30" s="181"/>
      <c r="J30" s="181"/>
    </row>
    <row r="31" spans="1:10" x14ac:dyDescent="0.25">
      <c r="A31" s="31">
        <f t="shared" si="1"/>
        <v>44378.586805555555</v>
      </c>
      <c r="B31" s="37">
        <f t="shared" si="2"/>
        <v>44378.812638888892</v>
      </c>
      <c r="C31" s="170">
        <v>0.47916666666666669</v>
      </c>
      <c r="D31" s="327" t="str">
        <f t="shared" si="3"/>
        <v/>
      </c>
      <c r="E31" s="37">
        <f t="shared" si="0"/>
        <v>44379.291805555556</v>
      </c>
      <c r="F31" s="35" t="s">
        <v>551</v>
      </c>
      <c r="G31" s="35"/>
      <c r="H31" s="497">
        <v>290.7</v>
      </c>
      <c r="I31" s="512">
        <v>290.7</v>
      </c>
      <c r="J31" s="497"/>
    </row>
    <row r="32" spans="1:10" x14ac:dyDescent="0.25">
      <c r="A32" s="31">
        <f t="shared" si="1"/>
        <v>44379.065972222219</v>
      </c>
      <c r="B32" s="37">
        <f t="shared" si="2"/>
        <v>44379.291805555556</v>
      </c>
      <c r="C32" s="170">
        <v>4.1666666666666664E-2</v>
      </c>
      <c r="D32" s="327" t="str">
        <f t="shared" si="3"/>
        <v/>
      </c>
      <c r="E32" s="37">
        <f t="shared" si="0"/>
        <v>44379.333472222221</v>
      </c>
      <c r="F32" s="35" t="s">
        <v>2437</v>
      </c>
      <c r="G32" s="35"/>
      <c r="H32" s="35"/>
      <c r="I32" s="35"/>
      <c r="J32" s="35"/>
    </row>
    <row r="33" spans="1:10" x14ac:dyDescent="0.25">
      <c r="A33" s="31">
        <f t="shared" si="1"/>
        <v>44379.107638888883</v>
      </c>
      <c r="B33" s="37">
        <f t="shared" si="2"/>
        <v>44379.333472222221</v>
      </c>
      <c r="C33" s="170">
        <v>0.22916666666666666</v>
      </c>
      <c r="D33" s="327" t="str">
        <f t="shared" si="3"/>
        <v/>
      </c>
      <c r="E33" s="37">
        <f t="shared" si="0"/>
        <v>44379.562638888885</v>
      </c>
      <c r="F33" s="320" t="s">
        <v>2482</v>
      </c>
      <c r="G33" s="35"/>
      <c r="H33" s="35"/>
      <c r="I33" s="35"/>
      <c r="J33" s="35"/>
    </row>
    <row r="34" spans="1:10" x14ac:dyDescent="0.25">
      <c r="A34" s="31">
        <f t="shared" si="1"/>
        <v>44379.336805555547</v>
      </c>
      <c r="B34" s="37">
        <f t="shared" si="2"/>
        <v>44379.562638888885</v>
      </c>
      <c r="C34" s="170">
        <v>0.10416666666666667</v>
      </c>
      <c r="D34" s="327" t="str">
        <f t="shared" si="3"/>
        <v/>
      </c>
      <c r="E34" s="37">
        <f t="shared" si="0"/>
        <v>44379.666805555549</v>
      </c>
      <c r="F34" s="35" t="s">
        <v>2438</v>
      </c>
      <c r="G34" s="35"/>
      <c r="H34" s="35"/>
      <c r="I34" s="35"/>
      <c r="J34" s="35"/>
    </row>
    <row r="35" spans="1:10" ht="21" x14ac:dyDescent="0.55000000000000004">
      <c r="A35" s="34"/>
      <c r="B35" s="33" t="s">
        <v>534</v>
      </c>
      <c r="C35" s="32">
        <f>SUM(C12:C34)</f>
        <v>4.8020833333333339</v>
      </c>
      <c r="D35" s="32">
        <f>SUM(D12:D25)</f>
        <v>0</v>
      </c>
      <c r="G35" s="243" t="s">
        <v>535</v>
      </c>
      <c r="H35" s="496">
        <f>SUM(H12:H34)</f>
        <v>3664.4399999999996</v>
      </c>
      <c r="I35" s="499">
        <f>SUM(I12:I34)</f>
        <v>3664.4399999999996</v>
      </c>
      <c r="J35" s="183">
        <f>SUM(J12:J34)</f>
        <v>200</v>
      </c>
    </row>
    <row r="36" spans="1:10" x14ac:dyDescent="0.25">
      <c r="B36" s="31" t="s">
        <v>536</v>
      </c>
      <c r="C36" s="30">
        <f>(C35*60)/1440</f>
        <v>0.20008680555555561</v>
      </c>
      <c r="D36" s="30">
        <f>(D35*60)/1440</f>
        <v>0</v>
      </c>
      <c r="F36" s="26"/>
    </row>
    <row r="37" spans="1:10" x14ac:dyDescent="0.25">
      <c r="C37" s="774"/>
      <c r="F37" s="26"/>
    </row>
    <row r="46" spans="1:10" x14ac:dyDescent="0.25">
      <c r="C46" s="27"/>
      <c r="D46" s="27"/>
    </row>
    <row r="50" spans="2:2" x14ac:dyDescent="0.25">
      <c r="B50" s="502">
        <v>4.1666666666666664E-2</v>
      </c>
    </row>
  </sheetData>
  <mergeCells count="5">
    <mergeCell ref="A1:B1"/>
    <mergeCell ref="A5:D5"/>
    <mergeCell ref="H20:H22"/>
    <mergeCell ref="I20:I22"/>
    <mergeCell ref="J20:J22"/>
  </mergeCells>
  <pageMargins left="0.75" right="0.75" top="1" bottom="1" header="0.5" footer="0.5"/>
  <pageSetup orientation="portrait" r:id="rId1"/>
  <headerFooter alignWithMargins="0">
    <oddFooter>&amp;R&amp;"Arial,Regular"&amp;08&amp;K7F7F7FAmgen Proprietary - Confidential   &amp;C&amp;"Arial,Regular"&amp;08&amp;K7F7F7FAmgen Proprietary - For Internal Use Only</oddFooter>
    <evenFooter>&amp;R&amp;"Arial,Regular"&amp;08&amp;K7F7F7FAmgen Proprietary - Confidential   &amp;C&amp;"Arial,Regular"&amp;08&amp;K7F7F7FAmgen Proprietary - For Internal Use Only</evenFooter>
    <firstFooter>&amp;R&amp;"Arial,Regular"&amp;08&amp;K7F7F7FAmgen Proprietary - Confidential   &amp;C&amp;"Arial,Regular"&amp;08&amp;K7F7F7FAmgen Proprietary - For Internal Use Only</firstFooter>
  </headerFooter>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64EB82-41A6-41FE-AF33-29A47B574314}">
  <sheetPr codeName="Sheet84">
    <pageSetUpPr autoPageBreaks="0"/>
  </sheetPr>
  <dimension ref="A1:M111"/>
  <sheetViews>
    <sheetView topLeftCell="A44" zoomScaleNormal="100" workbookViewId="0">
      <selection activeCell="F63" sqref="F63"/>
    </sheetView>
  </sheetViews>
  <sheetFormatPr defaultColWidth="23.453125" defaultRowHeight="11.5" x14ac:dyDescent="0.25"/>
  <cols>
    <col min="1" max="1" width="48.453125" style="25" bestFit="1" customWidth="1"/>
    <col min="2" max="2" width="28" style="25" customWidth="1"/>
    <col min="3" max="3" width="29.54296875" style="25" customWidth="1"/>
    <col min="4" max="4" width="26.453125" style="25" hidden="1" customWidth="1"/>
    <col min="5" max="5" width="23.453125" style="25"/>
    <col min="6" max="6" width="79.54296875" style="25" bestFit="1" customWidth="1"/>
    <col min="7" max="7" width="40.54296875" style="25" customWidth="1"/>
    <col min="8" max="11" width="10.54296875" style="25" customWidth="1"/>
    <col min="12" max="12" width="24" style="25" customWidth="1"/>
    <col min="13" max="16384" width="23.453125" style="25"/>
  </cols>
  <sheetData>
    <row r="1" spans="1:13" ht="12" thickBot="1" x14ac:dyDescent="0.3">
      <c r="A1" s="1064" t="s">
        <v>479</v>
      </c>
      <c r="B1" s="1065"/>
    </row>
    <row r="2" spans="1:13" x14ac:dyDescent="0.25">
      <c r="A2" s="43" t="s">
        <v>480</v>
      </c>
      <c r="B2" s="258">
        <f>A15</f>
        <v>44379.645833333336</v>
      </c>
    </row>
    <row r="3" spans="1:13" ht="12" thickBot="1" x14ac:dyDescent="0.3">
      <c r="A3" s="42" t="s">
        <v>482</v>
      </c>
      <c r="B3" s="259">
        <f>A15</f>
        <v>44379.645833333336</v>
      </c>
    </row>
    <row r="5" spans="1:13" x14ac:dyDescent="0.25">
      <c r="A5" s="1049" t="s">
        <v>484</v>
      </c>
      <c r="B5" s="1050"/>
      <c r="C5" s="1050"/>
      <c r="D5" s="1051"/>
    </row>
    <row r="6" spans="1:13" x14ac:dyDescent="0.25">
      <c r="A6" s="781" t="s">
        <v>485</v>
      </c>
      <c r="B6" s="781" t="s">
        <v>486</v>
      </c>
      <c r="C6" s="781" t="s">
        <v>487</v>
      </c>
      <c r="D6" s="781" t="s">
        <v>488</v>
      </c>
    </row>
    <row r="7" spans="1:13" x14ac:dyDescent="0.25">
      <c r="A7" s="41" t="str">
        <f>F27</f>
        <v xml:space="preserve">   Sample for drug substance analysis (PR-044 in Methanol)</v>
      </c>
      <c r="B7" s="455">
        <f>INDEX($B$15:$B$88,MATCH(A7,$F$15:$F$88,0))</f>
        <v>44382.687500000015</v>
      </c>
      <c r="C7" s="37">
        <f>INDEX($B$15:$B$88,MATCH(A7,$F$15:$F$88,0))</f>
        <v>44382.687500000015</v>
      </c>
      <c r="D7" s="297"/>
    </row>
    <row r="8" spans="1:13" x14ac:dyDescent="0.25">
      <c r="A8" s="41" t="str">
        <f>F35</f>
        <v xml:space="preserve">   Sample for residual solvent Methanol (in DCM)</v>
      </c>
      <c r="B8" s="455">
        <f>INDEX($B$15:$B$88,MATCH(A8,$F$15:$F$88,0))</f>
        <v>44383.458333333343</v>
      </c>
      <c r="C8" s="37">
        <f>INDEX($B$15:$B$88,MATCH(A8,$F$15:$F$88,0))</f>
        <v>44383.458333333343</v>
      </c>
      <c r="D8" s="297"/>
    </row>
    <row r="9" spans="1:13" x14ac:dyDescent="0.25">
      <c r="A9" s="41" t="str">
        <f>F62</f>
        <v xml:space="preserve">   Sample for drug substance analysis (PR-026 in Methanol)</v>
      </c>
      <c r="B9" s="455">
        <f>INDEX($B$15:$B$88,MATCH(A9,$F$15:$F$88,0))</f>
        <v>44385.33333333335</v>
      </c>
      <c r="C9" s="37">
        <f>INDEX($B$15:$B$88,MATCH(A9,$F$15:$F$88,0))</f>
        <v>44385.33333333335</v>
      </c>
      <c r="D9" s="297"/>
    </row>
    <row r="10" spans="1:13" x14ac:dyDescent="0.25">
      <c r="A10" s="41" t="str">
        <f>F69</f>
        <v xml:space="preserve">   Sample for residual solvent Methanol (in EA)</v>
      </c>
      <c r="B10" s="455">
        <f>INDEX($B$15:$B$88,MATCH(A10,$F$15:$F$88,0))</f>
        <v>44385.979166666686</v>
      </c>
      <c r="C10" s="37">
        <f>INDEX($B$15:$B$88,MATCH(A10,$F$15:$F$88,0))</f>
        <v>44385.979166666686</v>
      </c>
      <c r="D10" s="297"/>
    </row>
    <row r="11" spans="1:13" x14ac:dyDescent="0.25">
      <c r="A11" s="41" t="str">
        <f>F87</f>
        <v xml:space="preserve">   Filter Dryer Sample for drug substance analysis (PR-026 in Methanol)</v>
      </c>
      <c r="B11" s="455">
        <f>INDEX($B$15:$B$88,MATCH(A11,$F$15:$F$88,0))</f>
        <v>44387.048611111139</v>
      </c>
      <c r="C11" s="37">
        <f>INDEX($B$15:$B$88,MATCH(A11,$F$15:$F$88,0))</f>
        <v>44387.048611111139</v>
      </c>
      <c r="D11" s="297"/>
    </row>
    <row r="13" spans="1:13" ht="23" x14ac:dyDescent="0.25">
      <c r="A13" s="749" t="s">
        <v>492</v>
      </c>
      <c r="B13" s="749" t="s">
        <v>576</v>
      </c>
      <c r="C13" s="749" t="s">
        <v>494</v>
      </c>
      <c r="D13" s="749" t="s">
        <v>2484</v>
      </c>
      <c r="E13" s="749" t="s">
        <v>560</v>
      </c>
      <c r="F13" s="749" t="s">
        <v>541</v>
      </c>
      <c r="G13" s="749" t="s">
        <v>498</v>
      </c>
      <c r="H13" s="781" t="s">
        <v>204</v>
      </c>
      <c r="I13" s="781" t="s">
        <v>2485</v>
      </c>
      <c r="J13" s="781" t="s">
        <v>577</v>
      </c>
      <c r="K13" s="781" t="s">
        <v>500</v>
      </c>
    </row>
    <row r="14" spans="1:13" x14ac:dyDescent="0.25">
      <c r="A14" s="1095" t="s">
        <v>2486</v>
      </c>
      <c r="B14" s="1095"/>
      <c r="C14" s="1095"/>
      <c r="D14" s="1095"/>
      <c r="E14" s="1095"/>
      <c r="F14" s="1095"/>
      <c r="G14" s="1095"/>
      <c r="H14" s="777"/>
      <c r="I14" s="777"/>
      <c r="J14" s="777"/>
      <c r="K14" s="777"/>
    </row>
    <row r="15" spans="1:13" x14ac:dyDescent="0.25">
      <c r="A15" s="31">
        <v>44379.645833333336</v>
      </c>
      <c r="B15" s="37">
        <f>B3</f>
        <v>44379.645833333336</v>
      </c>
      <c r="C15" s="111">
        <v>2.0833333333333332E-2</v>
      </c>
      <c r="D15" s="327" t="str">
        <f t="shared" ref="D15:D88" si="0">IF(_xlfn.ISFORMULA(E15)=TRUE,"",E15-B15)</f>
        <v/>
      </c>
      <c r="E15" s="37">
        <f>B15+C15</f>
        <v>44379.666666666672</v>
      </c>
      <c r="F15" s="570" t="s">
        <v>584</v>
      </c>
      <c r="G15" s="571" t="s">
        <v>2487</v>
      </c>
      <c r="H15" s="572"/>
      <c r="I15" s="572"/>
      <c r="J15" s="572"/>
      <c r="K15" s="490">
        <v>46.870950000000001</v>
      </c>
      <c r="L15" s="570" t="s">
        <v>2488</v>
      </c>
      <c r="M15" s="570">
        <f>SUM(K15:K19)</f>
        <v>1558.4709499999999</v>
      </c>
    </row>
    <row r="16" spans="1:13" ht="12.75" customHeight="1" x14ac:dyDescent="0.25">
      <c r="A16" s="31">
        <f t="shared" ref="A16:A38" si="1">IF(D15 = "",A15+C15,A15+D15)</f>
        <v>44379.666666666672</v>
      </c>
      <c r="B16" s="37">
        <f t="shared" ref="B16:B38" si="2">IF(D15 = "",B15+C15,B15+D15)</f>
        <v>44379.666666666672</v>
      </c>
      <c r="C16" s="111">
        <v>2.0833333333333332E-2</v>
      </c>
      <c r="D16" s="327" t="str">
        <f t="shared" si="0"/>
        <v/>
      </c>
      <c r="E16" s="37">
        <f t="shared" ref="E16:E72" si="3">B16+C16</f>
        <v>44379.687500000007</v>
      </c>
      <c r="F16" s="570" t="s">
        <v>2489</v>
      </c>
      <c r="G16" s="573"/>
      <c r="H16" s="570"/>
      <c r="I16" s="570"/>
      <c r="J16" s="570"/>
      <c r="K16" s="570">
        <v>611.6</v>
      </c>
    </row>
    <row r="17" spans="1:13" ht="12.75" customHeight="1" x14ac:dyDescent="0.25">
      <c r="A17" s="31">
        <f t="shared" si="1"/>
        <v>44379.687500000007</v>
      </c>
      <c r="B17" s="37">
        <f t="shared" si="2"/>
        <v>44379.687500000007</v>
      </c>
      <c r="C17" s="111">
        <v>0.27083333333333331</v>
      </c>
      <c r="D17" s="327" t="str">
        <f t="shared" si="0"/>
        <v/>
      </c>
      <c r="E17" s="37">
        <f t="shared" si="3"/>
        <v>44379.958333333343</v>
      </c>
      <c r="F17" s="570" t="s">
        <v>2490</v>
      </c>
      <c r="G17" s="573"/>
      <c r="H17" s="570"/>
      <c r="I17" s="570"/>
      <c r="J17" s="570"/>
      <c r="K17" s="570">
        <v>450</v>
      </c>
    </row>
    <row r="18" spans="1:13" ht="12.75" customHeight="1" x14ac:dyDescent="0.25">
      <c r="A18" s="31">
        <f t="shared" si="1"/>
        <v>44379.958333333343</v>
      </c>
      <c r="B18" s="37">
        <f t="shared" si="2"/>
        <v>44379.958333333343</v>
      </c>
      <c r="C18" s="36">
        <v>0.27083333333333331</v>
      </c>
      <c r="D18" s="327" t="str">
        <f t="shared" si="0"/>
        <v/>
      </c>
      <c r="E18" s="37">
        <f t="shared" si="3"/>
        <v>44380.229166666679</v>
      </c>
      <c r="F18" s="570" t="s">
        <v>2491</v>
      </c>
      <c r="G18" s="573"/>
      <c r="H18" s="570"/>
      <c r="I18" s="570"/>
      <c r="J18" s="570"/>
      <c r="K18" s="570">
        <v>450</v>
      </c>
    </row>
    <row r="19" spans="1:13" ht="13.4" customHeight="1" x14ac:dyDescent="0.25">
      <c r="A19" s="604">
        <f>IF(D18 = "",A18+C18,A18+D18)</f>
        <v>44380.229166666679</v>
      </c>
      <c r="B19" s="605">
        <f>IF(D18 = "",B18+C18,B18+D18)</f>
        <v>44380.229166666679</v>
      </c>
      <c r="C19" s="701">
        <v>2.125</v>
      </c>
      <c r="D19" s="562" t="str">
        <f t="shared" si="0"/>
        <v/>
      </c>
      <c r="E19" s="605">
        <f t="shared" si="3"/>
        <v>44382.354166666679</v>
      </c>
      <c r="F19" s="702" t="s">
        <v>693</v>
      </c>
      <c r="G19" s="703"/>
      <c r="H19" s="704"/>
      <c r="I19" s="704"/>
      <c r="J19" s="704"/>
      <c r="K19" s="704"/>
    </row>
    <row r="20" spans="1:13" ht="13.5" customHeight="1" x14ac:dyDescent="0.25">
      <c r="A20" s="31">
        <f>IF(D19 = "",A19+C19,A19+D19)</f>
        <v>44382.354166666679</v>
      </c>
      <c r="B20" s="37">
        <f>IF(D19 = "",B19+C19,B19+D19)</f>
        <v>44382.354166666679</v>
      </c>
      <c r="C20" s="36">
        <v>7.2916666666666671E-2</v>
      </c>
      <c r="D20" s="562"/>
      <c r="E20" s="37">
        <f>B20+C20</f>
        <v>44382.427083333343</v>
      </c>
      <c r="F20" s="578" t="s">
        <v>2535</v>
      </c>
      <c r="G20" s="746"/>
      <c r="H20" s="578"/>
      <c r="I20" s="578"/>
      <c r="J20" s="578"/>
      <c r="K20" s="578"/>
    </row>
    <row r="21" spans="1:13" x14ac:dyDescent="0.25">
      <c r="A21" s="31">
        <f>IF(D20 = "",A20+C20,A20+D20)</f>
        <v>44382.427083333343</v>
      </c>
      <c r="B21" s="37">
        <f>IF(D20 = "",B20+C20,B20+D20)</f>
        <v>44382.427083333343</v>
      </c>
      <c r="C21" s="111">
        <v>8.3333333333333329E-2</v>
      </c>
      <c r="D21" s="327" t="str">
        <f t="shared" si="0"/>
        <v/>
      </c>
      <c r="E21" s="37">
        <f t="shared" si="3"/>
        <v>44382.510416666679</v>
      </c>
      <c r="F21" s="570" t="s">
        <v>2493</v>
      </c>
      <c r="G21" s="573"/>
      <c r="H21" s="570"/>
      <c r="I21" s="570"/>
      <c r="J21" s="570"/>
      <c r="K21" s="570">
        <v>783</v>
      </c>
      <c r="L21" s="570" t="s">
        <v>2494</v>
      </c>
      <c r="M21" s="570">
        <f>SUM(K21:K23)</f>
        <v>783</v>
      </c>
    </row>
    <row r="22" spans="1:13" x14ac:dyDescent="0.25">
      <c r="A22" s="31">
        <f t="shared" si="1"/>
        <v>44382.510416666679</v>
      </c>
      <c r="B22" s="37">
        <f t="shared" si="2"/>
        <v>44382.510416666679</v>
      </c>
      <c r="C22" s="111">
        <v>6.25E-2</v>
      </c>
      <c r="D22" s="327" t="str">
        <f t="shared" si="0"/>
        <v/>
      </c>
      <c r="E22" s="37">
        <f t="shared" si="3"/>
        <v>44382.572916666679</v>
      </c>
      <c r="F22" s="570" t="s">
        <v>589</v>
      </c>
      <c r="G22" s="570"/>
      <c r="H22" s="570"/>
      <c r="I22" s="570"/>
      <c r="J22" s="570"/>
      <c r="K22" s="570"/>
    </row>
    <row r="23" spans="1:13" ht="12" hidden="1" thickBot="1" x14ac:dyDescent="0.3">
      <c r="A23" s="31">
        <f t="shared" si="1"/>
        <v>44382.572916666679</v>
      </c>
      <c r="B23" s="37">
        <f t="shared" si="2"/>
        <v>44382.572916666679</v>
      </c>
      <c r="C23" s="603">
        <v>0</v>
      </c>
      <c r="D23" s="520" t="str">
        <f t="shared" si="0"/>
        <v/>
      </c>
      <c r="E23" s="519">
        <f t="shared" si="3"/>
        <v>44382.572916666679</v>
      </c>
      <c r="F23" s="695"/>
      <c r="G23" s="696"/>
      <c r="H23" s="695"/>
      <c r="I23" s="695"/>
      <c r="J23" s="695"/>
      <c r="K23" s="697"/>
    </row>
    <row r="24" spans="1:13" ht="13.5" customHeight="1" x14ac:dyDescent="0.25">
      <c r="A24" s="31">
        <f t="shared" si="1"/>
        <v>44382.572916666679</v>
      </c>
      <c r="B24" s="37">
        <f t="shared" si="2"/>
        <v>44382.572916666679</v>
      </c>
      <c r="C24" s="469">
        <v>8.3333333333333329E-2</v>
      </c>
      <c r="D24" s="470" t="str">
        <f t="shared" si="0"/>
        <v/>
      </c>
      <c r="E24" s="331">
        <f t="shared" si="3"/>
        <v>44382.656250000015</v>
      </c>
      <c r="F24" s="574" t="s">
        <v>2495</v>
      </c>
      <c r="G24" s="575"/>
      <c r="H24" s="574"/>
      <c r="I24" s="574"/>
      <c r="J24" s="574"/>
      <c r="K24" s="574"/>
      <c r="L24" s="570" t="s">
        <v>2496</v>
      </c>
      <c r="M24" s="570">
        <f>SUM(I24:K34)</f>
        <v>98.8</v>
      </c>
    </row>
    <row r="25" spans="1:13" ht="13.5" hidden="1" customHeight="1" x14ac:dyDescent="0.25">
      <c r="A25" s="604">
        <f t="shared" si="1"/>
        <v>44382.656250000015</v>
      </c>
      <c r="B25" s="605">
        <f t="shared" si="2"/>
        <v>44382.656250000015</v>
      </c>
      <c r="C25" s="742">
        <v>0</v>
      </c>
      <c r="D25" s="743"/>
      <c r="E25" s="744">
        <f t="shared" si="3"/>
        <v>44382.656250000015</v>
      </c>
      <c r="F25" s="745" t="s">
        <v>693</v>
      </c>
      <c r="G25" s="575"/>
      <c r="H25" s="574"/>
      <c r="I25" s="574"/>
      <c r="J25" s="574"/>
      <c r="K25" s="574"/>
      <c r="L25" s="570"/>
      <c r="M25" s="570"/>
    </row>
    <row r="26" spans="1:13" ht="13.5" customHeight="1" x14ac:dyDescent="0.25">
      <c r="A26" s="31">
        <f t="shared" si="1"/>
        <v>44382.656250000015</v>
      </c>
      <c r="B26" s="37">
        <f t="shared" si="2"/>
        <v>44382.656250000015</v>
      </c>
      <c r="C26" s="111">
        <v>3.125E-2</v>
      </c>
      <c r="D26" s="327" t="str">
        <f t="shared" si="0"/>
        <v/>
      </c>
      <c r="E26" s="331">
        <f t="shared" si="3"/>
        <v>44382.687500000015</v>
      </c>
      <c r="F26" s="570" t="s">
        <v>2463</v>
      </c>
      <c r="G26" s="573"/>
      <c r="H26" s="570"/>
      <c r="I26" s="570"/>
      <c r="J26" s="570"/>
      <c r="K26" s="570">
        <v>48.8</v>
      </c>
      <c r="L26" s="570" t="s">
        <v>2497</v>
      </c>
      <c r="M26" s="570">
        <f>SUM(H24:H34)</f>
        <v>750</v>
      </c>
    </row>
    <row r="27" spans="1:13" x14ac:dyDescent="0.25">
      <c r="A27" s="31">
        <f t="shared" si="1"/>
        <v>44382.687500000015</v>
      </c>
      <c r="B27" s="37">
        <f t="shared" si="2"/>
        <v>44382.687500000015</v>
      </c>
      <c r="C27" s="36" t="s">
        <v>99</v>
      </c>
      <c r="D27" s="327"/>
      <c r="E27" s="37" t="s">
        <v>99</v>
      </c>
      <c r="F27" s="576" t="s">
        <v>2498</v>
      </c>
      <c r="G27" s="573"/>
      <c r="H27" s="570"/>
      <c r="I27" s="570"/>
      <c r="J27" s="570"/>
      <c r="K27" s="570"/>
    </row>
    <row r="28" spans="1:13" ht="12.65" customHeight="1" x14ac:dyDescent="0.25">
      <c r="A28" s="31">
        <f>IF(D26 = "",A26+C26,A26+D26)</f>
        <v>44382.687500000015</v>
      </c>
      <c r="B28" s="37">
        <f>IF(D26 = "",B26+C26,B26+D26)</f>
        <v>44382.687500000015</v>
      </c>
      <c r="C28" s="111">
        <v>3.125E-2</v>
      </c>
      <c r="D28" s="327" t="str">
        <f t="shared" si="0"/>
        <v/>
      </c>
      <c r="E28" s="37">
        <f t="shared" si="3"/>
        <v>44382.718750000015</v>
      </c>
      <c r="F28" s="570" t="s">
        <v>2499</v>
      </c>
      <c r="G28" s="573"/>
      <c r="H28" s="570">
        <v>150</v>
      </c>
      <c r="I28" s="570"/>
      <c r="J28" s="570"/>
      <c r="K28" s="570"/>
    </row>
    <row r="29" spans="1:13" ht="12.75" customHeight="1" x14ac:dyDescent="0.25">
      <c r="A29" s="31">
        <f t="shared" si="1"/>
        <v>44382.718750000015</v>
      </c>
      <c r="B29" s="37">
        <f t="shared" si="2"/>
        <v>44382.718750000015</v>
      </c>
      <c r="C29" s="111">
        <v>3.125E-2</v>
      </c>
      <c r="D29" s="327" t="str">
        <f t="shared" si="0"/>
        <v/>
      </c>
      <c r="E29" s="37">
        <f t="shared" si="3"/>
        <v>44382.750000000015</v>
      </c>
      <c r="F29" s="570" t="s">
        <v>2500</v>
      </c>
      <c r="G29" s="573"/>
      <c r="H29" s="570"/>
      <c r="I29" s="570">
        <v>50</v>
      </c>
      <c r="J29" s="570"/>
      <c r="K29" s="570"/>
    </row>
    <row r="30" spans="1:13" ht="12.75" customHeight="1" x14ac:dyDescent="0.25">
      <c r="A30" s="31">
        <f t="shared" si="1"/>
        <v>44382.750000000015</v>
      </c>
      <c r="B30" s="37">
        <f t="shared" si="2"/>
        <v>44382.750000000015</v>
      </c>
      <c r="C30" s="36">
        <v>0.10416666666666667</v>
      </c>
      <c r="D30" s="327" t="str">
        <f t="shared" si="0"/>
        <v/>
      </c>
      <c r="E30" s="37">
        <f>B30+C30</f>
        <v>44382.854166666679</v>
      </c>
      <c r="F30" s="570" t="s">
        <v>2501</v>
      </c>
      <c r="G30" s="573"/>
      <c r="H30" s="570"/>
      <c r="I30" s="570"/>
      <c r="J30" s="570"/>
      <c r="K30" s="570"/>
    </row>
    <row r="31" spans="1:13" x14ac:dyDescent="0.25">
      <c r="A31" s="31">
        <f t="shared" si="1"/>
        <v>44382.854166666679</v>
      </c>
      <c r="B31" s="37">
        <f t="shared" si="2"/>
        <v>44382.854166666679</v>
      </c>
      <c r="C31" s="36">
        <v>0.15625</v>
      </c>
      <c r="D31" s="327" t="str">
        <f t="shared" si="0"/>
        <v/>
      </c>
      <c r="E31" s="37">
        <f t="shared" si="3"/>
        <v>44383.010416666679</v>
      </c>
      <c r="F31" s="570" t="s">
        <v>2502</v>
      </c>
      <c r="G31" s="573"/>
      <c r="H31" s="570">
        <v>150</v>
      </c>
      <c r="I31" s="570"/>
      <c r="J31" s="570"/>
      <c r="K31" s="570"/>
    </row>
    <row r="32" spans="1:13" x14ac:dyDescent="0.25">
      <c r="A32" s="31">
        <f t="shared" si="1"/>
        <v>44383.010416666679</v>
      </c>
      <c r="B32" s="37">
        <f t="shared" si="2"/>
        <v>44383.010416666679</v>
      </c>
      <c r="C32" s="36">
        <v>0.15625</v>
      </c>
      <c r="D32" s="327" t="str">
        <f t="shared" si="0"/>
        <v/>
      </c>
      <c r="E32" s="37">
        <f t="shared" si="3"/>
        <v>44383.166666666679</v>
      </c>
      <c r="F32" s="570" t="s">
        <v>2503</v>
      </c>
      <c r="G32" s="573"/>
      <c r="H32" s="570">
        <v>150</v>
      </c>
      <c r="I32" s="570"/>
      <c r="J32" s="570"/>
      <c r="K32" s="570"/>
    </row>
    <row r="33" spans="1:13" x14ac:dyDescent="0.25">
      <c r="A33" s="31">
        <f t="shared" si="1"/>
        <v>44383.166666666679</v>
      </c>
      <c r="B33" s="37">
        <f t="shared" si="2"/>
        <v>44383.166666666679</v>
      </c>
      <c r="C33" s="36">
        <v>0.15625</v>
      </c>
      <c r="D33" s="327" t="str">
        <f t="shared" si="0"/>
        <v/>
      </c>
      <c r="E33" s="37">
        <f t="shared" si="3"/>
        <v>44383.322916666679</v>
      </c>
      <c r="F33" s="570" t="s">
        <v>2504</v>
      </c>
      <c r="G33" s="573"/>
      <c r="H33" s="570">
        <v>150</v>
      </c>
      <c r="I33" s="570"/>
      <c r="J33" s="570"/>
      <c r="K33" s="570"/>
    </row>
    <row r="34" spans="1:13" x14ac:dyDescent="0.25">
      <c r="A34" s="31">
        <f t="shared" si="1"/>
        <v>44383.322916666679</v>
      </c>
      <c r="B34" s="37">
        <f t="shared" si="2"/>
        <v>44383.322916666679</v>
      </c>
      <c r="C34" s="36">
        <v>0.13541666666666666</v>
      </c>
      <c r="D34" s="327" t="str">
        <f t="shared" si="0"/>
        <v/>
      </c>
      <c r="E34" s="37">
        <f t="shared" si="3"/>
        <v>44383.458333333343</v>
      </c>
      <c r="F34" s="570" t="s">
        <v>2505</v>
      </c>
      <c r="G34" s="573"/>
      <c r="H34" s="570">
        <v>150</v>
      </c>
      <c r="I34" s="570"/>
      <c r="J34" s="570"/>
      <c r="K34" s="570"/>
      <c r="L34" s="570" t="s">
        <v>2506</v>
      </c>
      <c r="M34" s="570">
        <f>SUM(H34:K45)</f>
        <v>3284.3</v>
      </c>
    </row>
    <row r="35" spans="1:13" x14ac:dyDescent="0.25">
      <c r="A35" s="31">
        <f t="shared" si="1"/>
        <v>44383.458333333343</v>
      </c>
      <c r="B35" s="37">
        <f t="shared" si="2"/>
        <v>44383.458333333343</v>
      </c>
      <c r="C35" s="36" t="s">
        <v>99</v>
      </c>
      <c r="D35" s="327"/>
      <c r="E35" s="37" t="s">
        <v>99</v>
      </c>
      <c r="F35" s="576" t="s">
        <v>2507</v>
      </c>
      <c r="G35" s="573"/>
      <c r="H35" s="570"/>
      <c r="I35" s="570"/>
      <c r="J35" s="570"/>
      <c r="K35" s="570"/>
    </row>
    <row r="36" spans="1:13" x14ac:dyDescent="0.25">
      <c r="A36" s="31">
        <f>IF(D34 = "",A34+C34,A34+D34)</f>
        <v>44383.458333333343</v>
      </c>
      <c r="B36" s="37">
        <f>IF(D34 = "",B34+C34,B34+D34)</f>
        <v>44383.458333333343</v>
      </c>
      <c r="C36" s="36">
        <v>2.0833333333333332E-2</v>
      </c>
      <c r="D36" s="327" t="str">
        <f t="shared" si="0"/>
        <v/>
      </c>
      <c r="E36" s="37">
        <f t="shared" si="3"/>
        <v>44383.479166666679</v>
      </c>
      <c r="F36" s="570" t="s">
        <v>2508</v>
      </c>
      <c r="G36" s="573"/>
      <c r="H36" s="570"/>
      <c r="I36" s="570"/>
      <c r="J36" s="570"/>
      <c r="K36" s="570"/>
    </row>
    <row r="37" spans="1:13" x14ac:dyDescent="0.25">
      <c r="A37" s="31">
        <f t="shared" si="1"/>
        <v>44383.479166666679</v>
      </c>
      <c r="B37" s="37">
        <f t="shared" si="2"/>
        <v>44383.479166666679</v>
      </c>
      <c r="C37" s="36">
        <v>6.25E-2</v>
      </c>
      <c r="D37" s="327" t="str">
        <f t="shared" si="0"/>
        <v/>
      </c>
      <c r="E37" s="37">
        <f t="shared" si="3"/>
        <v>44383.541666666679</v>
      </c>
      <c r="F37" s="570" t="s">
        <v>656</v>
      </c>
      <c r="G37" s="573"/>
      <c r="H37" s="570"/>
      <c r="I37" s="570"/>
      <c r="J37" s="570"/>
      <c r="K37" s="570"/>
    </row>
    <row r="38" spans="1:13" x14ac:dyDescent="0.25">
      <c r="A38" s="31">
        <f t="shared" si="1"/>
        <v>44383.541666666679</v>
      </c>
      <c r="B38" s="37">
        <f t="shared" si="2"/>
        <v>44383.541666666679</v>
      </c>
      <c r="C38" s="36">
        <v>1.3888888888888888E-2</v>
      </c>
      <c r="D38" s="327" t="str">
        <f t="shared" si="0"/>
        <v/>
      </c>
      <c r="E38" s="37">
        <f t="shared" si="3"/>
        <v>44383.555555555569</v>
      </c>
      <c r="F38" s="570" t="s">
        <v>2509</v>
      </c>
      <c r="G38" s="573"/>
      <c r="H38" s="570"/>
      <c r="I38" s="570"/>
      <c r="J38" s="570"/>
      <c r="K38" s="570">
        <v>133.69999999999999</v>
      </c>
    </row>
    <row r="39" spans="1:13" x14ac:dyDescent="0.25">
      <c r="A39" s="31">
        <f>IF(D38 = "",A38+C38,A38+D38)</f>
        <v>44383.555555555569</v>
      </c>
      <c r="B39" s="37">
        <f>IF(D38 = "",B38+C38,B38+D38)</f>
        <v>44383.555555555569</v>
      </c>
      <c r="C39" s="36">
        <v>1.3888888888888888E-2</v>
      </c>
      <c r="D39" s="327" t="str">
        <f t="shared" si="0"/>
        <v/>
      </c>
      <c r="E39" s="37">
        <f t="shared" si="3"/>
        <v>44383.56944444446</v>
      </c>
      <c r="F39" s="570" t="s">
        <v>2510</v>
      </c>
      <c r="G39" s="573"/>
      <c r="H39" s="570"/>
      <c r="I39" s="570">
        <v>146.19999999999999</v>
      </c>
      <c r="J39" s="570"/>
      <c r="K39" s="570"/>
    </row>
    <row r="40" spans="1:13" ht="15" customHeight="1" x14ac:dyDescent="0.25">
      <c r="A40" s="1070" t="s">
        <v>2511</v>
      </c>
      <c r="B40" s="1070"/>
      <c r="C40" s="1070"/>
      <c r="D40" s="1070"/>
      <c r="E40" s="1070"/>
      <c r="F40" s="1070"/>
      <c r="G40" s="1071"/>
      <c r="H40" s="777"/>
      <c r="I40" s="777"/>
      <c r="J40" s="777"/>
      <c r="K40" s="777"/>
    </row>
    <row r="41" spans="1:13" x14ac:dyDescent="0.25">
      <c r="A41" s="31">
        <f>IF(D39 = "",A39+C39,A39+D39)</f>
        <v>44383.56944444446</v>
      </c>
      <c r="B41" s="37">
        <f>IF(D39 = "",B39+C39,B39+D39)</f>
        <v>44383.56944444446</v>
      </c>
      <c r="C41" s="36">
        <v>0</v>
      </c>
      <c r="D41" s="327"/>
      <c r="E41" s="37">
        <f>B41+C41</f>
        <v>44383.56944444446</v>
      </c>
      <c r="F41" s="570" t="s">
        <v>2509</v>
      </c>
      <c r="G41" s="573"/>
      <c r="H41" s="570"/>
      <c r="I41" s="570"/>
      <c r="J41" s="570"/>
      <c r="K41" s="570"/>
    </row>
    <row r="42" spans="1:13" x14ac:dyDescent="0.25">
      <c r="A42" s="31">
        <f>IF(D41 = "",A41+C41,A41+D41)</f>
        <v>44383.56944444446</v>
      </c>
      <c r="B42" s="37">
        <f>IF(D41 = "",B41+C41,B41+D41)</f>
        <v>44383.56944444446</v>
      </c>
      <c r="C42" s="36">
        <v>3.4722222222222224E-2</v>
      </c>
      <c r="D42" s="327" t="str">
        <f t="shared" si="0"/>
        <v/>
      </c>
      <c r="E42" s="37">
        <f t="shared" si="3"/>
        <v>44383.604166666679</v>
      </c>
      <c r="F42" s="570" t="s">
        <v>2512</v>
      </c>
      <c r="G42" s="573"/>
      <c r="H42" s="570"/>
      <c r="I42" s="570"/>
      <c r="J42" s="570"/>
      <c r="K42" s="570">
        <v>70</v>
      </c>
    </row>
    <row r="43" spans="1:13" x14ac:dyDescent="0.25">
      <c r="A43" s="31">
        <f t="shared" ref="A43:A46" si="4">IF(D42 = "",A42+C42,A42+D42)</f>
        <v>44383.604166666679</v>
      </c>
      <c r="B43" s="37">
        <f t="shared" ref="B43:B46" si="5">IF(D42 = "",B42+C42,B42+D42)</f>
        <v>44383.604166666679</v>
      </c>
      <c r="C43" s="36">
        <v>0.125</v>
      </c>
      <c r="D43" s="327" t="str">
        <f t="shared" si="0"/>
        <v/>
      </c>
      <c r="E43" s="37">
        <f t="shared" si="3"/>
        <v>44383.729166666679</v>
      </c>
      <c r="F43" s="570" t="s">
        <v>2513</v>
      </c>
      <c r="G43" s="573"/>
      <c r="H43" s="570"/>
      <c r="I43" s="570"/>
      <c r="J43" s="570"/>
      <c r="K43" s="570">
        <v>792.2</v>
      </c>
    </row>
    <row r="44" spans="1:13" x14ac:dyDescent="0.25">
      <c r="A44" s="31">
        <f t="shared" si="4"/>
        <v>44383.729166666679</v>
      </c>
      <c r="B44" s="37">
        <f t="shared" si="5"/>
        <v>44383.729166666679</v>
      </c>
      <c r="C44" s="36">
        <v>0.51041666666666663</v>
      </c>
      <c r="D44" s="327" t="str">
        <f t="shared" si="0"/>
        <v/>
      </c>
      <c r="E44" s="37">
        <f t="shared" si="3"/>
        <v>44384.239583333343</v>
      </c>
      <c r="F44" s="570" t="s">
        <v>2514</v>
      </c>
      <c r="G44" s="573"/>
      <c r="H44" s="570"/>
      <c r="I44" s="570"/>
      <c r="J44" s="570"/>
      <c r="K44" s="570">
        <v>1200</v>
      </c>
    </row>
    <row r="45" spans="1:13" x14ac:dyDescent="0.25">
      <c r="A45" s="31">
        <f t="shared" si="4"/>
        <v>44384.239583333343</v>
      </c>
      <c r="B45" s="37">
        <f t="shared" si="5"/>
        <v>44384.239583333343</v>
      </c>
      <c r="C45" s="36">
        <v>0.15625</v>
      </c>
      <c r="D45" s="327" t="str">
        <f t="shared" si="0"/>
        <v/>
      </c>
      <c r="E45" s="37">
        <f t="shared" si="3"/>
        <v>44384.395833333343</v>
      </c>
      <c r="F45" s="570" t="s">
        <v>2515</v>
      </c>
      <c r="G45" s="573"/>
      <c r="H45" s="570"/>
      <c r="I45" s="570"/>
      <c r="J45" s="570"/>
      <c r="K45" s="570">
        <v>792.2</v>
      </c>
      <c r="L45" s="570" t="s">
        <v>2516</v>
      </c>
      <c r="M45" s="570">
        <f>SUM(H46:K59)</f>
        <v>2522.9</v>
      </c>
    </row>
    <row r="46" spans="1:13" x14ac:dyDescent="0.25">
      <c r="A46" s="31">
        <f t="shared" si="4"/>
        <v>44384.395833333343</v>
      </c>
      <c r="B46" s="37">
        <f t="shared" si="5"/>
        <v>44384.395833333343</v>
      </c>
      <c r="C46" s="36">
        <v>1.3888888888888888E-2</v>
      </c>
      <c r="D46" s="327" t="str">
        <f t="shared" si="0"/>
        <v/>
      </c>
      <c r="E46" s="37">
        <f t="shared" si="3"/>
        <v>44384.409722222234</v>
      </c>
      <c r="F46" s="570" t="s">
        <v>2517</v>
      </c>
      <c r="G46" s="573"/>
      <c r="H46" s="570"/>
      <c r="I46" s="570"/>
      <c r="J46" s="570"/>
      <c r="K46" s="570"/>
    </row>
    <row r="47" spans="1:13" x14ac:dyDescent="0.25">
      <c r="A47" s="31">
        <f>IF(D46 = "",A46+C46,A46+D46)</f>
        <v>44384.409722222234</v>
      </c>
      <c r="B47" s="37">
        <f>IF(D46 = "",B46+C46,B46+D46)</f>
        <v>44384.409722222234</v>
      </c>
      <c r="C47" s="36">
        <v>6.9444444444444441E-3</v>
      </c>
      <c r="D47" s="327" t="str">
        <f t="shared" si="0"/>
        <v/>
      </c>
      <c r="E47" s="37">
        <f t="shared" si="3"/>
        <v>44384.416666666679</v>
      </c>
      <c r="F47" s="570" t="s">
        <v>2518</v>
      </c>
      <c r="G47" s="573"/>
      <c r="H47" s="570"/>
      <c r="I47" s="570"/>
      <c r="J47" s="570"/>
      <c r="K47" s="570">
        <v>126.3</v>
      </c>
    </row>
    <row r="48" spans="1:13" x14ac:dyDescent="0.25">
      <c r="A48" s="1070" t="s">
        <v>2519</v>
      </c>
      <c r="B48" s="1070"/>
      <c r="C48" s="1070"/>
      <c r="D48" s="1070"/>
      <c r="E48" s="1070"/>
      <c r="F48" s="1070"/>
      <c r="G48" s="1071"/>
      <c r="H48" s="777"/>
      <c r="I48" s="777"/>
      <c r="J48" s="777"/>
      <c r="K48" s="777"/>
    </row>
    <row r="49" spans="1:13" x14ac:dyDescent="0.25">
      <c r="A49" s="31">
        <f>IF(D47 = "",A47+C47,A47+D47)</f>
        <v>44384.416666666679</v>
      </c>
      <c r="B49" s="37">
        <f>IF(D47 = "",B47+C47,B47+D47)</f>
        <v>44384.416666666679</v>
      </c>
      <c r="C49" s="36">
        <v>0</v>
      </c>
      <c r="D49" s="327"/>
      <c r="E49" s="37">
        <f>B49+C49</f>
        <v>44384.416666666679</v>
      </c>
      <c r="F49" s="570" t="s">
        <v>2518</v>
      </c>
      <c r="G49" s="573"/>
      <c r="H49" s="570"/>
      <c r="I49" s="570"/>
      <c r="J49" s="570"/>
      <c r="K49" s="570"/>
    </row>
    <row r="50" spans="1:13" x14ac:dyDescent="0.25">
      <c r="A50" s="31">
        <f>IF(D49 = "",A49+C49,A49+D49)</f>
        <v>44384.416666666679</v>
      </c>
      <c r="B50" s="37">
        <f>IF(D49 = "",B49+C49,B49+D49)</f>
        <v>44384.416666666679</v>
      </c>
      <c r="C50" s="36">
        <v>2.0833333333333332E-2</v>
      </c>
      <c r="D50" s="327" t="str">
        <f t="shared" si="0"/>
        <v/>
      </c>
      <c r="E50" s="37">
        <f t="shared" si="3"/>
        <v>44384.437500000015</v>
      </c>
      <c r="F50" s="570" t="s">
        <v>584</v>
      </c>
      <c r="G50" s="573"/>
      <c r="H50" s="570"/>
      <c r="I50" s="570"/>
      <c r="J50" s="570"/>
      <c r="K50" s="570">
        <v>51.2</v>
      </c>
    </row>
    <row r="51" spans="1:13" x14ac:dyDescent="0.25">
      <c r="A51" s="31">
        <f t="shared" ref="A51:A71" si="6">IF(D50 = "",A50+C50,A50+D50)</f>
        <v>44384.437500000015</v>
      </c>
      <c r="B51" s="37">
        <f t="shared" ref="B51:B71" si="7">IF(D50 = "",B50+C50,B50+D50)</f>
        <v>44384.437500000015</v>
      </c>
      <c r="C51" s="36">
        <v>2.0833333333333332E-2</v>
      </c>
      <c r="D51" s="327" t="str">
        <f t="shared" si="0"/>
        <v/>
      </c>
      <c r="E51" s="37">
        <f t="shared" si="3"/>
        <v>44384.45833333335</v>
      </c>
      <c r="F51" s="570" t="s">
        <v>2489</v>
      </c>
      <c r="G51" s="573"/>
      <c r="H51" s="570"/>
      <c r="I51" s="570"/>
      <c r="J51" s="570"/>
      <c r="K51" s="570">
        <v>610.20000000000005</v>
      </c>
    </row>
    <row r="52" spans="1:13" hidden="1" x14ac:dyDescent="0.25">
      <c r="A52" s="579">
        <f t="shared" si="6"/>
        <v>44384.45833333335</v>
      </c>
      <c r="B52" s="580">
        <f t="shared" si="7"/>
        <v>44384.45833333335</v>
      </c>
      <c r="C52" s="581">
        <v>0</v>
      </c>
      <c r="D52" s="556"/>
      <c r="E52" s="580">
        <f t="shared" si="3"/>
        <v>44384.45833333335</v>
      </c>
      <c r="F52" s="583" t="s">
        <v>693</v>
      </c>
      <c r="G52" s="582"/>
      <c r="H52" s="570"/>
      <c r="I52" s="570"/>
      <c r="J52" s="570"/>
      <c r="K52" s="570"/>
    </row>
    <row r="53" spans="1:13" x14ac:dyDescent="0.25">
      <c r="A53" s="31">
        <f t="shared" si="6"/>
        <v>44384.45833333335</v>
      </c>
      <c r="B53" s="37">
        <f t="shared" si="7"/>
        <v>44384.45833333335</v>
      </c>
      <c r="C53" s="36">
        <v>0.33333333333333331</v>
      </c>
      <c r="D53" s="327" t="str">
        <f t="shared" si="0"/>
        <v/>
      </c>
      <c r="E53" s="37">
        <f t="shared" si="3"/>
        <v>44384.791666666686</v>
      </c>
      <c r="F53" s="570" t="s">
        <v>2490</v>
      </c>
      <c r="G53" s="573"/>
      <c r="H53" s="570"/>
      <c r="I53" s="570"/>
      <c r="J53" s="570"/>
      <c r="K53" s="570">
        <v>550</v>
      </c>
    </row>
    <row r="54" spans="1:13" x14ac:dyDescent="0.25">
      <c r="A54" s="31">
        <f t="shared" si="6"/>
        <v>44384.791666666686</v>
      </c>
      <c r="B54" s="37">
        <f t="shared" si="7"/>
        <v>44384.791666666686</v>
      </c>
      <c r="C54" s="36">
        <v>0.3125</v>
      </c>
      <c r="D54" s="327" t="str">
        <f t="shared" si="0"/>
        <v/>
      </c>
      <c r="E54" s="37">
        <f t="shared" si="3"/>
        <v>44385.104166666686</v>
      </c>
      <c r="F54" s="570" t="s">
        <v>2491</v>
      </c>
      <c r="G54" s="573"/>
      <c r="H54" s="570"/>
      <c r="I54" s="570"/>
      <c r="J54" s="570"/>
      <c r="K54" s="570">
        <v>370</v>
      </c>
    </row>
    <row r="55" spans="1:13" hidden="1" x14ac:dyDescent="0.25">
      <c r="A55" s="579">
        <f t="shared" si="6"/>
        <v>44385.104166666686</v>
      </c>
      <c r="B55" s="580">
        <f t="shared" si="7"/>
        <v>44385.104166666686</v>
      </c>
      <c r="C55" s="581">
        <v>0</v>
      </c>
      <c r="D55" s="556" t="str">
        <f t="shared" si="0"/>
        <v/>
      </c>
      <c r="E55" s="580">
        <f>B55+C55</f>
        <v>44385.104166666686</v>
      </c>
      <c r="F55" s="583" t="s">
        <v>693</v>
      </c>
      <c r="G55" s="573"/>
      <c r="H55" s="570"/>
      <c r="I55" s="570"/>
      <c r="J55" s="570"/>
      <c r="K55" s="570"/>
    </row>
    <row r="56" spans="1:13" x14ac:dyDescent="0.25">
      <c r="A56" s="31">
        <f t="shared" si="6"/>
        <v>44385.104166666686</v>
      </c>
      <c r="B56" s="37">
        <f t="shared" si="7"/>
        <v>44385.104166666686</v>
      </c>
      <c r="C56" s="36">
        <v>8.3333333333333329E-2</v>
      </c>
      <c r="D56" s="327" t="str">
        <f t="shared" si="0"/>
        <v/>
      </c>
      <c r="E56" s="37">
        <f t="shared" si="3"/>
        <v>44385.187500000022</v>
      </c>
      <c r="F56" s="570" t="s">
        <v>2493</v>
      </c>
      <c r="G56" s="573"/>
      <c r="H56" s="570"/>
      <c r="I56" s="570"/>
      <c r="J56" s="570"/>
      <c r="K56" s="570">
        <v>815.2</v>
      </c>
    </row>
    <row r="57" spans="1:13" hidden="1" x14ac:dyDescent="0.25">
      <c r="A57" s="579">
        <f t="shared" si="6"/>
        <v>44385.187500000022</v>
      </c>
      <c r="B57" s="580">
        <f t="shared" si="7"/>
        <v>44385.187500000022</v>
      </c>
      <c r="C57" s="581">
        <v>0</v>
      </c>
      <c r="D57" s="556"/>
      <c r="E57" s="580"/>
      <c r="F57" s="583" t="s">
        <v>693</v>
      </c>
      <c r="G57" s="573"/>
      <c r="H57" s="570"/>
      <c r="I57" s="570"/>
      <c r="J57" s="570"/>
      <c r="K57" s="570"/>
    </row>
    <row r="58" spans="1:13" x14ac:dyDescent="0.25">
      <c r="A58" s="31">
        <f t="shared" si="6"/>
        <v>44385.187500000022</v>
      </c>
      <c r="B58" s="37">
        <f t="shared" si="7"/>
        <v>44385.187500000022</v>
      </c>
      <c r="C58" s="36">
        <v>6.25E-2</v>
      </c>
      <c r="D58" s="327" t="str">
        <f t="shared" si="0"/>
        <v/>
      </c>
      <c r="E58" s="37">
        <f t="shared" si="3"/>
        <v>44385.250000000022</v>
      </c>
      <c r="F58" s="570" t="s">
        <v>589</v>
      </c>
      <c r="G58" s="570"/>
      <c r="H58" s="570"/>
      <c r="I58" s="570"/>
      <c r="J58" s="570"/>
      <c r="K58" s="570"/>
    </row>
    <row r="59" spans="1:13" x14ac:dyDescent="0.25">
      <c r="A59" s="31">
        <f t="shared" si="6"/>
        <v>44385.250000000022</v>
      </c>
      <c r="B59" s="37">
        <f t="shared" si="7"/>
        <v>44385.250000000022</v>
      </c>
      <c r="C59" s="36">
        <v>4.1666666666666664E-2</v>
      </c>
      <c r="D59" s="327" t="str">
        <f t="shared" si="0"/>
        <v/>
      </c>
      <c r="E59" s="37">
        <f t="shared" si="3"/>
        <v>44385.291666666686</v>
      </c>
      <c r="F59" s="570" t="s">
        <v>628</v>
      </c>
      <c r="G59" s="570"/>
      <c r="H59" s="570"/>
      <c r="I59" s="570"/>
      <c r="J59" s="570"/>
      <c r="K59" s="570"/>
    </row>
    <row r="60" spans="1:13" hidden="1" x14ac:dyDescent="0.25">
      <c r="A60" s="604">
        <f t="shared" si="6"/>
        <v>44385.291666666686</v>
      </c>
      <c r="B60" s="605">
        <f t="shared" si="7"/>
        <v>44385.291666666686</v>
      </c>
      <c r="C60" s="701">
        <v>0</v>
      </c>
      <c r="D60" s="562"/>
      <c r="E60" s="605">
        <f>B60+C60</f>
        <v>44385.291666666686</v>
      </c>
      <c r="F60" s="702" t="s">
        <v>693</v>
      </c>
      <c r="G60" s="703"/>
      <c r="H60" s="704"/>
      <c r="I60" s="704"/>
      <c r="J60" s="704"/>
      <c r="K60" s="704"/>
    </row>
    <row r="61" spans="1:13" x14ac:dyDescent="0.25">
      <c r="A61" s="31">
        <f t="shared" si="6"/>
        <v>44385.291666666686</v>
      </c>
      <c r="B61" s="37">
        <f>IF(D60 = "",B60+C60,B60+D60)</f>
        <v>44385.291666666686</v>
      </c>
      <c r="C61" s="36">
        <v>4.1666666666666664E-2</v>
      </c>
      <c r="D61" s="327" t="str">
        <f t="shared" si="0"/>
        <v/>
      </c>
      <c r="E61" s="37">
        <f t="shared" si="3"/>
        <v>44385.33333333335</v>
      </c>
      <c r="F61" s="570" t="s">
        <v>2463</v>
      </c>
      <c r="G61" s="573"/>
      <c r="H61" s="570"/>
      <c r="I61" s="570"/>
      <c r="J61" s="570"/>
      <c r="K61" s="570">
        <v>99.8</v>
      </c>
      <c r="L61" s="570" t="s">
        <v>2520</v>
      </c>
      <c r="M61" s="570">
        <f>SUM(H61:K77)</f>
        <v>3778.1</v>
      </c>
    </row>
    <row r="62" spans="1:13" x14ac:dyDescent="0.25">
      <c r="A62" s="31">
        <f t="shared" si="6"/>
        <v>44385.33333333335</v>
      </c>
      <c r="B62" s="37">
        <f t="shared" si="7"/>
        <v>44385.33333333335</v>
      </c>
      <c r="C62" s="36" t="s">
        <v>99</v>
      </c>
      <c r="D62" s="327"/>
      <c r="E62" s="37" t="s">
        <v>99</v>
      </c>
      <c r="F62" s="576" t="s">
        <v>2521</v>
      </c>
      <c r="G62" s="573"/>
      <c r="H62" s="570"/>
      <c r="I62" s="570"/>
      <c r="J62" s="570"/>
      <c r="K62" s="570"/>
    </row>
    <row r="63" spans="1:13" x14ac:dyDescent="0.25">
      <c r="A63" s="31">
        <f>IF(D61 = "",A61+C61,A61+D61)</f>
        <v>44385.33333333335</v>
      </c>
      <c r="B63" s="37">
        <f>IF(D61 = "",B61+C61,B61+D61)</f>
        <v>44385.33333333335</v>
      </c>
      <c r="C63" s="36">
        <v>0.14583333333333334</v>
      </c>
      <c r="D63" s="327" t="str">
        <f t="shared" si="0"/>
        <v/>
      </c>
      <c r="E63" s="37">
        <f t="shared" si="3"/>
        <v>44385.479166666686</v>
      </c>
      <c r="F63" s="570" t="s">
        <v>589</v>
      </c>
      <c r="G63" s="573"/>
      <c r="H63" s="570"/>
      <c r="I63" s="570"/>
      <c r="J63" s="570"/>
      <c r="K63" s="570"/>
    </row>
    <row r="64" spans="1:13" x14ac:dyDescent="0.25">
      <c r="A64" s="31">
        <f t="shared" si="6"/>
        <v>44385.479166666686</v>
      </c>
      <c r="B64" s="37">
        <f t="shared" si="7"/>
        <v>44385.479166666686</v>
      </c>
      <c r="C64" s="36">
        <v>2.0833333333333332E-2</v>
      </c>
      <c r="D64" s="327" t="str">
        <f t="shared" si="0"/>
        <v/>
      </c>
      <c r="E64" s="37">
        <f t="shared" si="3"/>
        <v>44385.500000000022</v>
      </c>
      <c r="F64" s="570" t="s">
        <v>2522</v>
      </c>
      <c r="G64" s="573"/>
      <c r="H64" s="570"/>
      <c r="I64" s="570"/>
      <c r="J64" s="570">
        <v>50.5</v>
      </c>
      <c r="K64" s="570"/>
    </row>
    <row r="65" spans="1:13" x14ac:dyDescent="0.25">
      <c r="A65" s="31">
        <f t="shared" si="6"/>
        <v>44385.500000000022</v>
      </c>
      <c r="B65" s="37">
        <f t="shared" si="7"/>
        <v>44385.500000000022</v>
      </c>
      <c r="C65" s="36">
        <v>0.125</v>
      </c>
      <c r="D65" s="327" t="str">
        <f t="shared" si="0"/>
        <v/>
      </c>
      <c r="E65" s="37">
        <f t="shared" si="3"/>
        <v>44385.625000000022</v>
      </c>
      <c r="F65" s="570" t="s">
        <v>2523</v>
      </c>
      <c r="G65" s="573"/>
      <c r="H65" s="570"/>
      <c r="I65" s="570"/>
      <c r="J65" s="570">
        <v>400</v>
      </c>
      <c r="K65" s="570"/>
      <c r="L65" s="570" t="s">
        <v>2524</v>
      </c>
      <c r="M65" s="570">
        <f>SUM(K53:K54)</f>
        <v>920</v>
      </c>
    </row>
    <row r="66" spans="1:13" x14ac:dyDescent="0.25">
      <c r="A66" s="31">
        <f t="shared" si="6"/>
        <v>44385.625000000022</v>
      </c>
      <c r="B66" s="37">
        <f t="shared" si="7"/>
        <v>44385.625000000022</v>
      </c>
      <c r="C66" s="36">
        <v>0.125</v>
      </c>
      <c r="D66" s="327" t="str">
        <f t="shared" si="0"/>
        <v/>
      </c>
      <c r="E66" s="37">
        <f t="shared" si="3"/>
        <v>44385.750000000022</v>
      </c>
      <c r="F66" s="570" t="s">
        <v>2525</v>
      </c>
      <c r="G66" s="573"/>
      <c r="H66" s="570"/>
      <c r="I66" s="570"/>
      <c r="J66" s="570">
        <v>400</v>
      </c>
      <c r="K66" s="570"/>
    </row>
    <row r="67" spans="1:13" x14ac:dyDescent="0.25">
      <c r="A67" s="31">
        <f t="shared" si="6"/>
        <v>44385.750000000022</v>
      </c>
      <c r="B67" s="37">
        <f t="shared" si="7"/>
        <v>44385.750000000022</v>
      </c>
      <c r="C67" s="36">
        <v>0.125</v>
      </c>
      <c r="D67" s="327" t="str">
        <f t="shared" si="0"/>
        <v/>
      </c>
      <c r="E67" s="37">
        <f t="shared" si="3"/>
        <v>44385.875000000022</v>
      </c>
      <c r="F67" s="570" t="s">
        <v>2526</v>
      </c>
      <c r="G67" s="573"/>
      <c r="H67" s="570"/>
      <c r="I67" s="570"/>
      <c r="J67" s="570">
        <v>400</v>
      </c>
      <c r="K67" s="570"/>
    </row>
    <row r="68" spans="1:13" x14ac:dyDescent="0.25">
      <c r="A68" s="31">
        <f t="shared" si="6"/>
        <v>44385.875000000022</v>
      </c>
      <c r="B68" s="37">
        <f t="shared" si="7"/>
        <v>44385.875000000022</v>
      </c>
      <c r="C68" s="36">
        <v>0.10416666666666667</v>
      </c>
      <c r="D68" s="327" t="str">
        <f t="shared" si="0"/>
        <v/>
      </c>
      <c r="E68" s="37">
        <f t="shared" si="3"/>
        <v>44385.979166666686</v>
      </c>
      <c r="F68" s="570" t="s">
        <v>2527</v>
      </c>
      <c r="G68" s="573"/>
      <c r="H68" s="570"/>
      <c r="I68" s="570"/>
      <c r="J68" s="570">
        <v>300</v>
      </c>
      <c r="K68" s="570"/>
    </row>
    <row r="69" spans="1:13" x14ac:dyDescent="0.25">
      <c r="A69" s="31">
        <f t="shared" si="6"/>
        <v>44385.979166666686</v>
      </c>
      <c r="B69" s="37">
        <f t="shared" si="7"/>
        <v>44385.979166666686</v>
      </c>
      <c r="C69" s="36" t="s">
        <v>99</v>
      </c>
      <c r="D69" s="327"/>
      <c r="E69" s="37" t="s">
        <v>99</v>
      </c>
      <c r="F69" s="576" t="s">
        <v>2528</v>
      </c>
      <c r="G69" s="573"/>
      <c r="H69" s="570"/>
      <c r="I69" s="570"/>
      <c r="J69" s="570"/>
      <c r="K69" s="570"/>
    </row>
    <row r="70" spans="1:13" x14ac:dyDescent="0.25">
      <c r="A70" s="31">
        <f>IF(D68 = "",A68+C68,A68+D68)</f>
        <v>44385.979166666686</v>
      </c>
      <c r="B70" s="37">
        <f>IF(D68 = "",B68+C68,B68+D68)</f>
        <v>44385.979166666686</v>
      </c>
      <c r="C70" s="36">
        <v>6.25E-2</v>
      </c>
      <c r="D70" s="327" t="str">
        <f t="shared" si="0"/>
        <v/>
      </c>
      <c r="E70" s="37">
        <f t="shared" si="3"/>
        <v>44386.041666666686</v>
      </c>
      <c r="F70" s="570" t="s">
        <v>656</v>
      </c>
      <c r="G70" s="573"/>
      <c r="H70" s="570"/>
      <c r="I70" s="570"/>
      <c r="J70" s="570"/>
      <c r="K70" s="570"/>
    </row>
    <row r="71" spans="1:13" x14ac:dyDescent="0.25">
      <c r="A71" s="31">
        <f t="shared" si="6"/>
        <v>44386.041666666686</v>
      </c>
      <c r="B71" s="37">
        <f t="shared" si="7"/>
        <v>44386.041666666686</v>
      </c>
      <c r="C71" s="36">
        <v>1.3888888888888888E-2</v>
      </c>
      <c r="D71" s="327" t="str">
        <f t="shared" si="0"/>
        <v/>
      </c>
      <c r="E71" s="37">
        <f t="shared" si="3"/>
        <v>44386.055555555577</v>
      </c>
      <c r="F71" s="570" t="s">
        <v>2465</v>
      </c>
      <c r="G71" s="573"/>
      <c r="H71" s="570"/>
      <c r="I71" s="570"/>
      <c r="J71" s="570"/>
      <c r="K71" s="570">
        <v>130</v>
      </c>
    </row>
    <row r="72" spans="1:13" x14ac:dyDescent="0.25">
      <c r="A72" s="31">
        <f>IF(D71 = "",A71+C71,A71+D71)</f>
        <v>44386.055555555577</v>
      </c>
      <c r="B72" s="37">
        <f>IF(D71 = "",B71+C71,B71+D71)</f>
        <v>44386.055555555577</v>
      </c>
      <c r="C72" s="36">
        <v>1.3888888888888888E-2</v>
      </c>
      <c r="D72" s="327" t="str">
        <f t="shared" si="0"/>
        <v/>
      </c>
      <c r="E72" s="37">
        <f t="shared" si="3"/>
        <v>44386.069444444467</v>
      </c>
      <c r="F72" s="570" t="s">
        <v>2529</v>
      </c>
      <c r="G72" s="573"/>
      <c r="H72" s="570"/>
      <c r="I72" s="570"/>
      <c r="J72" s="570">
        <v>116.1</v>
      </c>
      <c r="K72" s="570"/>
    </row>
    <row r="73" spans="1:13" x14ac:dyDescent="0.25">
      <c r="A73" s="1070" t="s">
        <v>640</v>
      </c>
      <c r="B73" s="1070"/>
      <c r="C73" s="1070"/>
      <c r="D73" s="1070"/>
      <c r="E73" s="1070"/>
      <c r="F73" s="1070"/>
      <c r="G73" s="1071"/>
      <c r="H73" s="777"/>
      <c r="I73" s="777"/>
      <c r="J73" s="777"/>
      <c r="K73" s="777"/>
      <c r="L73" s="777"/>
      <c r="M73" s="777"/>
    </row>
    <row r="74" spans="1:13" x14ac:dyDescent="0.25">
      <c r="A74" s="31">
        <f>IF(D71 = "",A71+C71,A71+D71)</f>
        <v>44386.055555555577</v>
      </c>
      <c r="B74" s="37">
        <f>IF(D71 = "",B71+C71,B71+D71)</f>
        <v>44386.055555555577</v>
      </c>
      <c r="C74" s="261">
        <v>1.3888888888888888E-2</v>
      </c>
      <c r="D74" s="327"/>
      <c r="E74" s="37">
        <f>B74+C74</f>
        <v>44386.069444444467</v>
      </c>
      <c r="F74" s="570" t="s">
        <v>2465</v>
      </c>
      <c r="G74" s="573"/>
      <c r="H74" s="570"/>
      <c r="I74" s="570"/>
      <c r="J74" s="570"/>
      <c r="K74" s="570"/>
    </row>
    <row r="75" spans="1:13" x14ac:dyDescent="0.25">
      <c r="A75" s="31">
        <f>IF(D74 = "",A74+C74,A74+D74)</f>
        <v>44386.069444444467</v>
      </c>
      <c r="B75" s="37">
        <f>IF(D74 = "",B74+C74,B74+D74)</f>
        <v>44386.069444444467</v>
      </c>
      <c r="C75" s="261">
        <v>0</v>
      </c>
      <c r="D75" s="327"/>
      <c r="E75" s="37">
        <f t="shared" ref="E75:E88" si="8">B75+C75</f>
        <v>44386.069444444467</v>
      </c>
      <c r="F75" s="570" t="s">
        <v>2529</v>
      </c>
      <c r="G75" s="573"/>
      <c r="H75" s="570"/>
      <c r="I75" s="570"/>
      <c r="J75" s="570"/>
      <c r="K75" s="570"/>
    </row>
    <row r="76" spans="1:13" x14ac:dyDescent="0.25">
      <c r="A76" s="31">
        <f t="shared" ref="A76:A87" si="9">IF(D75 = "",A75+C75,A75+D75)</f>
        <v>44386.069444444467</v>
      </c>
      <c r="B76" s="37">
        <f t="shared" ref="B76:B87" si="10">IF(D75 = "",B75+C75,B75+D75)</f>
        <v>44386.069444444467</v>
      </c>
      <c r="C76" s="261">
        <v>6.25E-2</v>
      </c>
      <c r="D76" s="327"/>
      <c r="E76" s="37">
        <f t="shared" si="8"/>
        <v>44386.131944444467</v>
      </c>
      <c r="F76" s="578" t="s">
        <v>2530</v>
      </c>
      <c r="G76" s="573"/>
      <c r="H76" s="570"/>
      <c r="I76" s="570"/>
      <c r="J76" s="570"/>
      <c r="K76" s="570">
        <v>1621.7</v>
      </c>
    </row>
    <row r="77" spans="1:13" x14ac:dyDescent="0.25">
      <c r="A77" s="31">
        <f t="shared" si="9"/>
        <v>44386.131944444467</v>
      </c>
      <c r="B77" s="37">
        <f t="shared" si="10"/>
        <v>44386.131944444467</v>
      </c>
      <c r="C77" s="261">
        <v>0.15625</v>
      </c>
      <c r="D77" s="327" t="str">
        <f t="shared" si="0"/>
        <v/>
      </c>
      <c r="E77" s="37">
        <f t="shared" si="8"/>
        <v>44386.288194444467</v>
      </c>
      <c r="F77" s="476" t="s">
        <v>2475</v>
      </c>
      <c r="G77" s="573"/>
      <c r="H77" s="570"/>
      <c r="I77" s="570"/>
      <c r="J77" s="570"/>
      <c r="K77" s="570">
        <v>260</v>
      </c>
    </row>
    <row r="78" spans="1:13" x14ac:dyDescent="0.25">
      <c r="A78" s="31">
        <f t="shared" si="9"/>
        <v>44386.288194444467</v>
      </c>
      <c r="B78" s="37">
        <f t="shared" si="10"/>
        <v>44386.288194444467</v>
      </c>
      <c r="C78" s="261">
        <v>0.15625</v>
      </c>
      <c r="D78" s="327" t="str">
        <f t="shared" si="0"/>
        <v/>
      </c>
      <c r="E78" s="37">
        <f t="shared" si="8"/>
        <v>44386.444444444467</v>
      </c>
      <c r="F78" s="476" t="s">
        <v>2476</v>
      </c>
      <c r="G78" s="573"/>
      <c r="H78" s="570"/>
      <c r="I78" s="570"/>
      <c r="J78" s="570"/>
      <c r="K78" s="570">
        <v>260</v>
      </c>
      <c r="L78" s="188" t="s">
        <v>2531</v>
      </c>
      <c r="M78" s="188">
        <f>SUM(H78:K88)</f>
        <v>1763.8000000000002</v>
      </c>
    </row>
    <row r="79" spans="1:13" x14ac:dyDescent="0.25">
      <c r="A79" s="31">
        <f t="shared" si="9"/>
        <v>44386.444444444467</v>
      </c>
      <c r="B79" s="37">
        <f t="shared" si="10"/>
        <v>44386.444444444467</v>
      </c>
      <c r="C79" s="261">
        <v>0.15625</v>
      </c>
      <c r="D79" s="327" t="str">
        <f t="shared" si="0"/>
        <v/>
      </c>
      <c r="E79" s="37">
        <f t="shared" si="8"/>
        <v>44386.600694444467</v>
      </c>
      <c r="F79" s="476" t="s">
        <v>2477</v>
      </c>
      <c r="G79" s="573"/>
      <c r="H79" s="570"/>
      <c r="I79" s="570"/>
      <c r="J79" s="570"/>
      <c r="K79" s="570">
        <v>260</v>
      </c>
    </row>
    <row r="80" spans="1:13" x14ac:dyDescent="0.25">
      <c r="A80" s="31">
        <f t="shared" si="9"/>
        <v>44386.600694444467</v>
      </c>
      <c r="B80" s="37">
        <f t="shared" si="10"/>
        <v>44386.600694444467</v>
      </c>
      <c r="C80" s="261">
        <v>0.11458333333333333</v>
      </c>
      <c r="D80" s="327" t="str">
        <f t="shared" si="0"/>
        <v/>
      </c>
      <c r="E80" s="37">
        <f t="shared" si="8"/>
        <v>44386.715277777803</v>
      </c>
      <c r="F80" s="476" t="s">
        <v>647</v>
      </c>
      <c r="G80" s="573"/>
      <c r="H80" s="570"/>
      <c r="I80" s="570"/>
      <c r="J80" s="570"/>
      <c r="K80" s="570"/>
    </row>
    <row r="81" spans="1:11" hidden="1" x14ac:dyDescent="0.25">
      <c r="A81" s="604">
        <f t="shared" si="9"/>
        <v>44386.715277777803</v>
      </c>
      <c r="B81" s="605">
        <f t="shared" si="10"/>
        <v>44386.715277777803</v>
      </c>
      <c r="C81" s="701">
        <v>0</v>
      </c>
      <c r="D81" s="562"/>
      <c r="E81" s="605">
        <f t="shared" si="8"/>
        <v>44386.715277777803</v>
      </c>
      <c r="F81" s="565" t="s">
        <v>693</v>
      </c>
      <c r="G81" s="703"/>
      <c r="H81" s="704"/>
      <c r="I81" s="704"/>
      <c r="J81" s="704"/>
      <c r="K81" s="704"/>
    </row>
    <row r="82" spans="1:11" x14ac:dyDescent="0.25">
      <c r="A82" s="31">
        <f t="shared" si="9"/>
        <v>44386.715277777803</v>
      </c>
      <c r="B82" s="37">
        <f t="shared" si="10"/>
        <v>44386.715277777803</v>
      </c>
      <c r="C82" s="261">
        <v>0.125</v>
      </c>
      <c r="D82" s="327" t="str">
        <f t="shared" si="0"/>
        <v/>
      </c>
      <c r="E82" s="37">
        <f t="shared" si="8"/>
        <v>44386.840277777803</v>
      </c>
      <c r="F82" s="476" t="s">
        <v>597</v>
      </c>
      <c r="G82" s="573"/>
      <c r="H82" s="570"/>
      <c r="I82" s="570"/>
      <c r="J82" s="570"/>
      <c r="K82" s="570"/>
    </row>
    <row r="83" spans="1:11" x14ac:dyDescent="0.25">
      <c r="A83" s="31">
        <f t="shared" si="9"/>
        <v>44386.840277777803</v>
      </c>
      <c r="B83" s="37">
        <f t="shared" si="10"/>
        <v>44386.840277777803</v>
      </c>
      <c r="C83" s="261">
        <v>3.125E-2</v>
      </c>
      <c r="D83" s="327" t="str">
        <f t="shared" si="0"/>
        <v/>
      </c>
      <c r="E83" s="37">
        <f t="shared" si="8"/>
        <v>44386.871527777803</v>
      </c>
      <c r="F83" s="476" t="s">
        <v>2461</v>
      </c>
      <c r="G83" s="573"/>
      <c r="H83" s="570"/>
      <c r="I83" s="570"/>
      <c r="J83" s="570"/>
      <c r="K83" s="570">
        <v>1206.9000000000001</v>
      </c>
    </row>
    <row r="84" spans="1:11" x14ac:dyDescent="0.25">
      <c r="A84" s="31">
        <f t="shared" si="9"/>
        <v>44386.871527777803</v>
      </c>
      <c r="B84" s="37">
        <f>IF(D83 = "",B83+C83,B83+D83)</f>
        <v>44386.871527777803</v>
      </c>
      <c r="C84" s="261">
        <v>0.11458333333333333</v>
      </c>
      <c r="D84" s="327" t="str">
        <f t="shared" si="0"/>
        <v/>
      </c>
      <c r="E84" s="37">
        <f t="shared" si="8"/>
        <v>44386.986111111139</v>
      </c>
      <c r="F84" s="476" t="s">
        <v>647</v>
      </c>
      <c r="G84" s="573"/>
      <c r="H84" s="570"/>
      <c r="I84" s="570"/>
      <c r="J84" s="570"/>
      <c r="K84" s="570"/>
    </row>
    <row r="85" spans="1:11" x14ac:dyDescent="0.25">
      <c r="A85" s="31">
        <f t="shared" si="9"/>
        <v>44386.986111111139</v>
      </c>
      <c r="B85" s="37">
        <f t="shared" si="10"/>
        <v>44386.986111111139</v>
      </c>
      <c r="C85" s="261">
        <v>4.1666666666666664E-2</v>
      </c>
      <c r="D85" s="327" t="str">
        <f t="shared" si="0"/>
        <v/>
      </c>
      <c r="E85" s="37">
        <f t="shared" si="8"/>
        <v>44387.027777777803</v>
      </c>
      <c r="F85" s="476" t="s">
        <v>648</v>
      </c>
      <c r="G85" s="573"/>
      <c r="H85" s="570"/>
      <c r="I85" s="570"/>
      <c r="J85" s="570"/>
      <c r="K85" s="570"/>
    </row>
    <row r="86" spans="1:11" x14ac:dyDescent="0.25">
      <c r="A86" s="31">
        <f t="shared" si="9"/>
        <v>44387.027777777803</v>
      </c>
      <c r="B86" s="37">
        <f t="shared" si="10"/>
        <v>44387.027777777803</v>
      </c>
      <c r="C86" s="261">
        <v>2.0833333333333332E-2</v>
      </c>
      <c r="D86" s="327" t="str">
        <f t="shared" si="0"/>
        <v/>
      </c>
      <c r="E86" s="37">
        <f t="shared" si="8"/>
        <v>44387.048611111139</v>
      </c>
      <c r="F86" s="476" t="s">
        <v>598</v>
      </c>
      <c r="G86" s="573"/>
      <c r="H86" s="570"/>
      <c r="I86" s="570"/>
      <c r="J86" s="570"/>
      <c r="K86" s="570">
        <v>36.9</v>
      </c>
    </row>
    <row r="87" spans="1:11" x14ac:dyDescent="0.25">
      <c r="A87" s="31">
        <f t="shared" si="9"/>
        <v>44387.048611111139</v>
      </c>
      <c r="B87" s="37">
        <f t="shared" si="10"/>
        <v>44387.048611111139</v>
      </c>
      <c r="C87" s="261" t="s">
        <v>99</v>
      </c>
      <c r="D87" s="327"/>
      <c r="E87" s="37" t="s">
        <v>99</v>
      </c>
      <c r="F87" s="484" t="s">
        <v>2532</v>
      </c>
      <c r="G87" s="573"/>
      <c r="H87" s="570"/>
      <c r="I87" s="570"/>
      <c r="J87" s="570"/>
      <c r="K87" s="570"/>
    </row>
    <row r="88" spans="1:11" x14ac:dyDescent="0.25">
      <c r="A88" s="31">
        <f>IF(D86 = "",A86+C86,A86+D86)</f>
        <v>44387.048611111139</v>
      </c>
      <c r="B88" s="37">
        <f>IF(D86 = "",B86+C86,B86+D86)</f>
        <v>44387.048611111139</v>
      </c>
      <c r="C88" s="261">
        <v>0.10416666666666667</v>
      </c>
      <c r="D88" s="327" t="str">
        <f t="shared" si="0"/>
        <v/>
      </c>
      <c r="E88" s="37">
        <f t="shared" si="8"/>
        <v>44387.152777777803</v>
      </c>
      <c r="F88" s="476" t="s">
        <v>656</v>
      </c>
      <c r="G88" s="573"/>
      <c r="H88" s="570"/>
      <c r="I88" s="570"/>
      <c r="J88" s="570"/>
      <c r="K88" s="570"/>
    </row>
    <row r="89" spans="1:11" x14ac:dyDescent="0.25">
      <c r="A89" s="485"/>
      <c r="B89" s="33" t="s">
        <v>534</v>
      </c>
      <c r="C89" s="32">
        <f>SUM(C88,C76:C86,C70:C72,C63:C68,C50:C61,C42:C47,C36:C39,C28:C34,C15:C26)</f>
        <v>7.5069444444444429</v>
      </c>
      <c r="D89" s="32">
        <f>SUM(D88,D76:D86,D70:D72,D63:D68,D50:D61,D42:D47,D36:D39,D28:D34,D15:D26)</f>
        <v>0</v>
      </c>
      <c r="G89" s="243" t="s">
        <v>535</v>
      </c>
      <c r="H89" s="266">
        <f>SUM(H15:H88)</f>
        <v>750</v>
      </c>
      <c r="I89" s="266">
        <f>SUM(I15:I88)</f>
        <v>196.2</v>
      </c>
      <c r="J89" s="266">
        <f>SUM(J15:J88)</f>
        <v>1666.6</v>
      </c>
      <c r="K89" s="266">
        <f>SUM(K15:K88)</f>
        <v>11776.570949999999</v>
      </c>
    </row>
    <row r="90" spans="1:11" x14ac:dyDescent="0.25">
      <c r="B90" s="31" t="s">
        <v>536</v>
      </c>
      <c r="C90" s="112">
        <f>(C89/24)</f>
        <v>0.3127893518518518</v>
      </c>
      <c r="D90" s="112">
        <f>(D89/24)</f>
        <v>0</v>
      </c>
      <c r="G90" s="26"/>
      <c r="H90" s="26"/>
      <c r="I90" s="26"/>
      <c r="J90" s="26"/>
    </row>
    <row r="91" spans="1:11" x14ac:dyDescent="0.25">
      <c r="C91" s="262"/>
      <c r="D91" s="262"/>
      <c r="G91" s="26"/>
      <c r="H91" s="26"/>
      <c r="I91" s="26"/>
      <c r="J91" s="26"/>
    </row>
    <row r="92" spans="1:11" x14ac:dyDescent="0.25">
      <c r="G92" s="26"/>
      <c r="H92" s="26"/>
      <c r="I92" s="26"/>
      <c r="J92" s="26"/>
    </row>
    <row r="93" spans="1:11" x14ac:dyDescent="0.25">
      <c r="G93" s="26"/>
      <c r="H93" s="26"/>
      <c r="I93" s="26"/>
      <c r="J93" s="26"/>
    </row>
    <row r="94" spans="1:11" x14ac:dyDescent="0.25">
      <c r="G94" s="26"/>
      <c r="H94" s="26"/>
      <c r="I94" s="26"/>
      <c r="J94" s="26"/>
    </row>
    <row r="95" spans="1:11" x14ac:dyDescent="0.25">
      <c r="G95" s="26"/>
      <c r="H95" s="26"/>
      <c r="I95" s="26"/>
      <c r="J95" s="26"/>
    </row>
    <row r="96" spans="1:11" x14ac:dyDescent="0.25">
      <c r="G96" s="26"/>
      <c r="H96" s="26"/>
      <c r="I96" s="26"/>
      <c r="J96" s="26"/>
    </row>
    <row r="97" spans="6:10" x14ac:dyDescent="0.25">
      <c r="G97" s="26"/>
      <c r="H97" s="26"/>
      <c r="I97" s="26"/>
      <c r="J97" s="26"/>
    </row>
    <row r="98" spans="6:10" x14ac:dyDescent="0.25">
      <c r="G98" s="26"/>
      <c r="H98" s="26"/>
      <c r="I98" s="26"/>
      <c r="J98" s="26"/>
    </row>
    <row r="99" spans="6:10" x14ac:dyDescent="0.25">
      <c r="G99" s="26"/>
      <c r="H99" s="26"/>
      <c r="I99" s="26"/>
      <c r="J99" s="26"/>
    </row>
    <row r="100" spans="6:10" x14ac:dyDescent="0.25">
      <c r="G100" s="26"/>
      <c r="H100" s="26"/>
      <c r="I100" s="26"/>
      <c r="J100" s="26"/>
    </row>
    <row r="101" spans="6:10" x14ac:dyDescent="0.25">
      <c r="G101" s="26"/>
      <c r="H101" s="26"/>
      <c r="I101" s="26"/>
      <c r="J101" s="26"/>
    </row>
    <row r="102" spans="6:10" x14ac:dyDescent="0.25">
      <c r="G102" s="26"/>
      <c r="H102" s="26"/>
      <c r="I102" s="26"/>
      <c r="J102" s="26"/>
    </row>
    <row r="103" spans="6:10" x14ac:dyDescent="0.25">
      <c r="G103" s="26"/>
      <c r="H103" s="26"/>
      <c r="I103" s="26"/>
      <c r="J103" s="26"/>
    </row>
    <row r="104" spans="6:10" x14ac:dyDescent="0.25">
      <c r="G104" s="26"/>
      <c r="H104" s="26"/>
      <c r="I104" s="26"/>
      <c r="J104" s="26"/>
    </row>
    <row r="105" spans="6:10" x14ac:dyDescent="0.25">
      <c r="G105" s="26"/>
      <c r="H105" s="26"/>
      <c r="I105" s="26"/>
      <c r="J105" s="26"/>
    </row>
    <row r="106" spans="6:10" x14ac:dyDescent="0.25">
      <c r="G106" s="26"/>
      <c r="H106" s="26"/>
      <c r="I106" s="26"/>
      <c r="J106" s="26"/>
    </row>
    <row r="107" spans="6:10" x14ac:dyDescent="0.25">
      <c r="G107" s="26"/>
      <c r="H107" s="26"/>
      <c r="I107" s="26"/>
      <c r="J107" s="26"/>
    </row>
    <row r="108" spans="6:10" x14ac:dyDescent="0.25">
      <c r="G108" s="26"/>
      <c r="H108" s="26"/>
      <c r="I108" s="26"/>
      <c r="J108" s="26"/>
    </row>
    <row r="109" spans="6:10" x14ac:dyDescent="0.25">
      <c r="G109" s="26"/>
      <c r="H109" s="26"/>
      <c r="I109" s="26"/>
      <c r="J109" s="26"/>
    </row>
    <row r="110" spans="6:10" x14ac:dyDescent="0.25">
      <c r="F110" s="26"/>
    </row>
    <row r="111" spans="6:10" x14ac:dyDescent="0.25">
      <c r="F111" s="26"/>
    </row>
  </sheetData>
  <mergeCells count="6">
    <mergeCell ref="A73:G73"/>
    <mergeCell ref="A1:B1"/>
    <mergeCell ref="A5:D5"/>
    <mergeCell ref="A14:G14"/>
    <mergeCell ref="A40:G40"/>
    <mergeCell ref="A48:G48"/>
  </mergeCells>
  <pageMargins left="0.75" right="0.75" top="1" bottom="1" header="0.5" footer="0.5"/>
  <pageSetup orientation="portrait" r:id="rId1"/>
  <headerFooter alignWithMargins="0">
    <oddFooter>&amp;R&amp;"Arial,Regular"&amp;08&amp;K7F7F7FAmgen Proprietary - Confidential   &amp;C&amp;"Arial,Regular"&amp;08&amp;K7F7F7FAmgen Proprietary - For Internal Use Only</oddFooter>
    <evenFooter>&amp;R&amp;"Arial,Regular"&amp;08&amp;K7F7F7FAmgen Proprietary - Confidential   &amp;C&amp;"Arial,Regular"&amp;08&amp;K7F7F7FAmgen Proprietary - For Internal Use Only</evenFooter>
    <firstFooter>&amp;R&amp;"Arial,Regular"&amp;08&amp;K7F7F7FAmgen Proprietary - Confidential   &amp;C&amp;"Arial,Regular"&amp;08&amp;K7F7F7FAmgen Proprietary - For Internal Use Only</firstFooter>
  </headerFooter>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21CB7-27BA-4668-88B8-33B35F948D94}">
  <sheetPr codeName="Sheet88">
    <pageSetUpPr autoPageBreaks="0"/>
  </sheetPr>
  <dimension ref="A1:J45"/>
  <sheetViews>
    <sheetView zoomScale="120" zoomScaleNormal="120" workbookViewId="0">
      <selection activeCell="F36" sqref="F36"/>
    </sheetView>
  </sheetViews>
  <sheetFormatPr defaultColWidth="23.453125" defaultRowHeight="11.5" x14ac:dyDescent="0.25"/>
  <cols>
    <col min="1" max="1" width="23.54296875" style="25" bestFit="1" customWidth="1"/>
    <col min="2" max="2" width="34.453125" style="25" customWidth="1"/>
    <col min="3" max="3" width="23.453125" style="25"/>
    <col min="4" max="4" width="22.453125" style="25" hidden="1" customWidth="1"/>
    <col min="5" max="5" width="23.453125" style="25"/>
    <col min="6" max="6" width="51.453125" style="25" customWidth="1"/>
    <col min="7" max="7" width="27.453125" style="25" customWidth="1"/>
    <col min="8" max="8" width="9" style="25" bestFit="1" customWidth="1"/>
    <col min="9" max="10" width="9" style="25" customWidth="1"/>
    <col min="11" max="16384" width="23.453125" style="25"/>
  </cols>
  <sheetData>
    <row r="1" spans="1:10" ht="12" thickBot="1" x14ac:dyDescent="0.3">
      <c r="A1" s="1053" t="s">
        <v>479</v>
      </c>
      <c r="B1" s="1054"/>
    </row>
    <row r="2" spans="1:10" x14ac:dyDescent="0.25">
      <c r="A2" s="43" t="s">
        <v>480</v>
      </c>
      <c r="B2" s="241">
        <f>A11</f>
        <v>44391.354166666664</v>
      </c>
    </row>
    <row r="3" spans="1:10" ht="12" thickBot="1" x14ac:dyDescent="0.3">
      <c r="A3" s="42" t="s">
        <v>482</v>
      </c>
      <c r="B3" s="239">
        <f>A11</f>
        <v>44391.354166666664</v>
      </c>
    </row>
    <row r="5" spans="1:10" x14ac:dyDescent="0.25">
      <c r="A5" s="1072" t="s">
        <v>484</v>
      </c>
      <c r="B5" s="1073"/>
      <c r="C5" s="1073"/>
      <c r="D5" s="1073"/>
    </row>
    <row r="6" spans="1:10" x14ac:dyDescent="0.25">
      <c r="A6" s="781" t="s">
        <v>485</v>
      </c>
      <c r="B6" s="781" t="s">
        <v>486</v>
      </c>
      <c r="C6" s="781" t="s">
        <v>487</v>
      </c>
      <c r="D6" s="781" t="s">
        <v>488</v>
      </c>
    </row>
    <row r="7" spans="1:10" x14ac:dyDescent="0.25">
      <c r="A7" s="41" t="str">
        <f>F14</f>
        <v>IPC1.0: Reaction Conversion</v>
      </c>
      <c r="B7" s="40">
        <f>INDEX($A$11:$A$57,MATCH(A7,$F$11:$F$57,0))</f>
        <v>44391.645833333336</v>
      </c>
      <c r="C7" s="37">
        <f>B14</f>
        <v>44391.645833333336</v>
      </c>
      <c r="D7" s="297"/>
    </row>
    <row r="8" spans="1:10" x14ac:dyDescent="0.25">
      <c r="A8" s="41" t="str">
        <f>F19</f>
        <v>IPC2.0: LOD (Analyzed by MFG)</v>
      </c>
      <c r="B8" s="40">
        <f>INDEX($A$11:$A$60,MATCH(A8,$F$11:$F$57,0))</f>
        <v>44392.427083333343</v>
      </c>
      <c r="C8" s="37">
        <f>B19</f>
        <v>44392.427083333343</v>
      </c>
      <c r="D8" s="297"/>
    </row>
    <row r="10" spans="1:10" ht="23.5" thickBot="1" x14ac:dyDescent="0.3">
      <c r="A10" s="749" t="s">
        <v>492</v>
      </c>
      <c r="B10" s="749" t="s">
        <v>493</v>
      </c>
      <c r="C10" s="749" t="s">
        <v>494</v>
      </c>
      <c r="D10" s="86" t="s">
        <v>495</v>
      </c>
      <c r="E10" s="749" t="s">
        <v>540</v>
      </c>
      <c r="F10" s="749" t="s">
        <v>541</v>
      </c>
      <c r="G10" s="749" t="s">
        <v>498</v>
      </c>
      <c r="H10" s="184" t="s">
        <v>204</v>
      </c>
      <c r="I10" s="184" t="s">
        <v>668</v>
      </c>
      <c r="J10" s="184" t="s">
        <v>138</v>
      </c>
    </row>
    <row r="11" spans="1:10" x14ac:dyDescent="0.25">
      <c r="A11" s="31">
        <v>44391.354166666664</v>
      </c>
      <c r="B11" s="38">
        <f>A11</f>
        <v>44391.354166666664</v>
      </c>
      <c r="C11" s="705">
        <v>2.0833333333333332E-2</v>
      </c>
      <c r="D11" s="116"/>
      <c r="E11" s="317">
        <f>B11+C11</f>
        <v>44391.375</v>
      </c>
      <c r="F11" s="264" t="s">
        <v>669</v>
      </c>
      <c r="G11" s="78"/>
      <c r="H11" s="180"/>
      <c r="I11" s="180"/>
      <c r="J11" s="180"/>
    </row>
    <row r="12" spans="1:10" ht="12.75" customHeight="1" x14ac:dyDescent="0.25">
      <c r="A12" s="31">
        <f>IF(D11 = "",A11+C11,A11+D11)</f>
        <v>44391.375</v>
      </c>
      <c r="B12" s="38">
        <f>IF(D11 = "",B11+C11,B11+D11)</f>
        <v>44391.375</v>
      </c>
      <c r="C12" s="170">
        <v>6.25E-2</v>
      </c>
      <c r="D12" s="116"/>
      <c r="E12" s="317">
        <f t="shared" ref="E12:E21" si="0">B12+C12</f>
        <v>44391.4375</v>
      </c>
      <c r="F12" s="264" t="s">
        <v>670</v>
      </c>
      <c r="G12" s="35"/>
      <c r="H12" s="181"/>
      <c r="I12" s="181"/>
      <c r="J12" s="181"/>
    </row>
    <row r="13" spans="1:10" ht="12.75" customHeight="1" x14ac:dyDescent="0.25">
      <c r="A13" s="31">
        <f t="shared" ref="A13:A21" si="1">IF(D12 = "",A12+C12,A12+D12)</f>
        <v>44391.4375</v>
      </c>
      <c r="B13" s="38">
        <f t="shared" ref="B13:B21" si="2">IF(D12 = "",B12+C12,B12+D12)</f>
        <v>44391.4375</v>
      </c>
      <c r="C13" s="170">
        <v>0.20833333333333334</v>
      </c>
      <c r="D13" s="116"/>
      <c r="E13" s="317">
        <f t="shared" si="0"/>
        <v>44391.645833333336</v>
      </c>
      <c r="F13" s="264" t="s">
        <v>671</v>
      </c>
      <c r="G13" s="39"/>
      <c r="H13" s="773"/>
      <c r="I13" s="773"/>
      <c r="J13" s="773"/>
    </row>
    <row r="14" spans="1:10" ht="13.5" customHeight="1" x14ac:dyDescent="0.25">
      <c r="A14" s="31">
        <f t="shared" si="1"/>
        <v>44391.645833333336</v>
      </c>
      <c r="B14" s="38">
        <f t="shared" si="2"/>
        <v>44391.645833333336</v>
      </c>
      <c r="C14" s="170">
        <v>0.11458333333333333</v>
      </c>
      <c r="D14" s="116"/>
      <c r="E14" s="317">
        <f t="shared" si="0"/>
        <v>44391.760416666672</v>
      </c>
      <c r="F14" s="295" t="s">
        <v>546</v>
      </c>
      <c r="G14" s="35"/>
      <c r="H14" s="181"/>
      <c r="I14" s="181"/>
      <c r="J14" s="181"/>
    </row>
    <row r="15" spans="1:10" x14ac:dyDescent="0.25">
      <c r="A15" s="31">
        <f t="shared" si="1"/>
        <v>44391.760416666672</v>
      </c>
      <c r="B15" s="38">
        <f t="shared" si="2"/>
        <v>44391.760416666672</v>
      </c>
      <c r="C15" s="172">
        <v>0.1875</v>
      </c>
      <c r="D15" s="116"/>
      <c r="E15" s="317">
        <f t="shared" si="0"/>
        <v>44391.947916666672</v>
      </c>
      <c r="F15" s="264" t="s">
        <v>548</v>
      </c>
      <c r="G15" s="35"/>
      <c r="H15" s="181"/>
      <c r="I15" s="181"/>
      <c r="J15" s="181"/>
    </row>
    <row r="16" spans="1:10" ht="13.5" customHeight="1" x14ac:dyDescent="0.25">
      <c r="A16" s="31">
        <f t="shared" si="1"/>
        <v>44391.947916666672</v>
      </c>
      <c r="B16" s="38">
        <f t="shared" si="2"/>
        <v>44391.947916666672</v>
      </c>
      <c r="C16" s="172">
        <v>3.125E-2</v>
      </c>
      <c r="D16" s="116"/>
      <c r="E16" s="317">
        <f t="shared" si="0"/>
        <v>44391.979166666672</v>
      </c>
      <c r="F16" s="264" t="s">
        <v>549</v>
      </c>
      <c r="G16" s="35"/>
      <c r="H16" s="265">
        <v>44.9</v>
      </c>
      <c r="I16" s="265">
        <v>162.19999999999999</v>
      </c>
      <c r="J16" s="265">
        <v>80.5</v>
      </c>
    </row>
    <row r="17" spans="1:10" ht="12" customHeight="1" x14ac:dyDescent="0.25">
      <c r="A17" s="31">
        <f t="shared" si="1"/>
        <v>44391.979166666672</v>
      </c>
      <c r="B17" s="38">
        <f t="shared" si="2"/>
        <v>44391.979166666672</v>
      </c>
      <c r="C17" s="172">
        <v>8.3333333333333329E-2</v>
      </c>
      <c r="D17" s="116"/>
      <c r="E17" s="317">
        <f t="shared" si="0"/>
        <v>44392.062500000007</v>
      </c>
      <c r="F17" s="264" t="s">
        <v>672</v>
      </c>
      <c r="G17" s="39"/>
      <c r="H17" s="773"/>
      <c r="I17" s="773">
        <v>60.9</v>
      </c>
      <c r="J17" s="773"/>
    </row>
    <row r="18" spans="1:10" ht="12.75" customHeight="1" x14ac:dyDescent="0.25">
      <c r="A18" s="31">
        <f t="shared" si="1"/>
        <v>44392.062500000007</v>
      </c>
      <c r="B18" s="38">
        <f t="shared" si="2"/>
        <v>44392.062500000007</v>
      </c>
      <c r="C18" s="172">
        <v>0.36458333333333331</v>
      </c>
      <c r="D18" s="116"/>
      <c r="E18" s="317">
        <f t="shared" si="0"/>
        <v>44392.427083333343</v>
      </c>
      <c r="F18" s="240" t="s">
        <v>551</v>
      </c>
      <c r="G18" s="35"/>
      <c r="H18" s="773"/>
      <c r="I18" s="773"/>
      <c r="J18" s="773"/>
    </row>
    <row r="19" spans="1:10" x14ac:dyDescent="0.25">
      <c r="A19" s="31">
        <f t="shared" si="1"/>
        <v>44392.427083333343</v>
      </c>
      <c r="B19" s="38">
        <f t="shared" si="2"/>
        <v>44392.427083333343</v>
      </c>
      <c r="C19" s="170">
        <v>2.0833333333333332E-2</v>
      </c>
      <c r="D19" s="116"/>
      <c r="E19" s="317">
        <f t="shared" si="0"/>
        <v>44392.447916666679</v>
      </c>
      <c r="F19" s="295" t="s">
        <v>673</v>
      </c>
      <c r="G19" s="35"/>
      <c r="H19" s="773"/>
      <c r="I19" s="773"/>
      <c r="J19" s="773"/>
    </row>
    <row r="20" spans="1:10" x14ac:dyDescent="0.25">
      <c r="A20" s="31">
        <f t="shared" si="1"/>
        <v>44392.447916666679</v>
      </c>
      <c r="B20" s="38">
        <f t="shared" si="2"/>
        <v>44392.447916666679</v>
      </c>
      <c r="C20" s="170">
        <v>5.2083333333333336E-2</v>
      </c>
      <c r="D20" s="116"/>
      <c r="E20" s="317">
        <f t="shared" si="0"/>
        <v>44392.500000000015</v>
      </c>
      <c r="F20" s="264" t="s">
        <v>554</v>
      </c>
      <c r="G20" s="178"/>
      <c r="H20" s="773"/>
      <c r="I20" s="773"/>
      <c r="J20" s="773"/>
    </row>
    <row r="21" spans="1:10" x14ac:dyDescent="0.25">
      <c r="A21" s="185">
        <f t="shared" si="1"/>
        <v>44392.500000000015</v>
      </c>
      <c r="B21" s="467">
        <f t="shared" si="2"/>
        <v>44392.500000000015</v>
      </c>
      <c r="C21" s="510">
        <v>0.3125</v>
      </c>
      <c r="D21" s="508"/>
      <c r="E21" s="747">
        <f t="shared" si="0"/>
        <v>44392.812500000015</v>
      </c>
      <c r="F21" s="748" t="s">
        <v>2540</v>
      </c>
      <c r="G21" s="243" t="s">
        <v>535</v>
      </c>
      <c r="H21" s="266">
        <f>SUM(H11:H20)</f>
        <v>44.9</v>
      </c>
      <c r="I21" s="266">
        <f t="shared" ref="I21:J21" si="3">SUM(I11:I20)</f>
        <v>223.1</v>
      </c>
      <c r="J21" s="266">
        <f t="shared" si="3"/>
        <v>80.5</v>
      </c>
    </row>
    <row r="22" spans="1:10" ht="21" x14ac:dyDescent="0.55000000000000004">
      <c r="A22" s="34"/>
      <c r="B22" s="33" t="s">
        <v>534</v>
      </c>
      <c r="C22" s="32">
        <f>SUM(C11:C20)</f>
        <v>1.1458333333333333</v>
      </c>
      <c r="D22" s="32">
        <f>SUM(D11:D20)</f>
        <v>0</v>
      </c>
      <c r="G22" s="26"/>
      <c r="H22" s="26"/>
      <c r="I22" s="26"/>
      <c r="J22" s="26"/>
    </row>
    <row r="23" spans="1:10" x14ac:dyDescent="0.25">
      <c r="B23" s="31" t="s">
        <v>536</v>
      </c>
      <c r="C23" s="30">
        <f>(C22*60)/1440</f>
        <v>4.7743055555555552E-2</v>
      </c>
      <c r="D23" s="30">
        <f>(D22*60)/1440</f>
        <v>0</v>
      </c>
      <c r="G23" s="26"/>
      <c r="H23" s="26"/>
      <c r="I23" s="26"/>
      <c r="J23" s="26"/>
    </row>
    <row r="24" spans="1:10" x14ac:dyDescent="0.25">
      <c r="C24" s="774"/>
      <c r="G24" s="26"/>
      <c r="H24" s="26"/>
      <c r="I24" s="26"/>
      <c r="J24" s="26"/>
    </row>
    <row r="25" spans="1:10" hidden="1" x14ac:dyDescent="0.25">
      <c r="G25" s="26"/>
      <c r="H25" s="26"/>
      <c r="I25" s="26"/>
      <c r="J25" s="26"/>
    </row>
    <row r="26" spans="1:10" hidden="1" x14ac:dyDescent="0.25">
      <c r="A26" s="1053" t="s">
        <v>555</v>
      </c>
      <c r="B26" s="1054"/>
      <c r="G26" s="26"/>
      <c r="H26" s="26"/>
      <c r="I26" s="26"/>
      <c r="J26" s="26"/>
    </row>
    <row r="27" spans="1:10" hidden="1" x14ac:dyDescent="0.25">
      <c r="A27" s="781" t="s">
        <v>556</v>
      </c>
      <c r="B27" s="29" t="e">
        <f>MAX(A18,#REF!)</f>
        <v>#REF!</v>
      </c>
      <c r="G27" s="26"/>
      <c r="H27" s="26"/>
      <c r="I27" s="26"/>
      <c r="J27" s="26"/>
    </row>
    <row r="28" spans="1:10" hidden="1" x14ac:dyDescent="0.25">
      <c r="A28" s="781" t="s">
        <v>557</v>
      </c>
      <c r="B28" s="28" t="e">
        <f>MAX((#REF!+#REF!),(B18+C18))</f>
        <v>#REF!</v>
      </c>
      <c r="G28" s="26"/>
      <c r="H28" s="26"/>
      <c r="I28" s="26"/>
      <c r="J28" s="26"/>
    </row>
    <row r="29" spans="1:10" x14ac:dyDescent="0.25">
      <c r="G29" s="26"/>
      <c r="H29" s="26"/>
      <c r="I29" s="26"/>
      <c r="J29" s="26"/>
    </row>
    <row r="30" spans="1:10" x14ac:dyDescent="0.25">
      <c r="G30" s="26"/>
      <c r="H30" s="26"/>
      <c r="I30" s="26"/>
      <c r="J30" s="26"/>
    </row>
    <row r="31" spans="1:10" x14ac:dyDescent="0.25">
      <c r="G31" s="26"/>
      <c r="H31" s="26"/>
      <c r="I31" s="26"/>
      <c r="J31" s="26"/>
    </row>
    <row r="32" spans="1:10" x14ac:dyDescent="0.25">
      <c r="G32" s="26"/>
      <c r="H32" s="26"/>
      <c r="I32" s="26"/>
      <c r="J32" s="26"/>
    </row>
    <row r="33" spans="3:10" x14ac:dyDescent="0.25">
      <c r="C33" s="27"/>
      <c r="D33" s="27"/>
      <c r="G33" s="26"/>
      <c r="H33" s="26"/>
      <c r="I33" s="26"/>
      <c r="J33" s="26"/>
    </row>
    <row r="34" spans="3:10" x14ac:dyDescent="0.25">
      <c r="G34" s="26"/>
      <c r="H34" s="26"/>
      <c r="I34" s="26"/>
      <c r="J34" s="26"/>
    </row>
    <row r="35" spans="3:10" x14ac:dyDescent="0.25">
      <c r="G35" s="26"/>
      <c r="H35" s="26"/>
      <c r="I35" s="26"/>
      <c r="J35" s="26"/>
    </row>
    <row r="36" spans="3:10" x14ac:dyDescent="0.25">
      <c r="G36" s="26"/>
      <c r="H36" s="26"/>
      <c r="I36" s="26"/>
      <c r="J36" s="26"/>
    </row>
    <row r="37" spans="3:10" x14ac:dyDescent="0.25">
      <c r="G37" s="26"/>
      <c r="H37" s="26"/>
      <c r="I37" s="26"/>
      <c r="J37" s="26"/>
    </row>
    <row r="38" spans="3:10" x14ac:dyDescent="0.25">
      <c r="G38" s="26"/>
      <c r="H38" s="26"/>
      <c r="I38" s="26"/>
      <c r="J38" s="26"/>
    </row>
    <row r="39" spans="3:10" x14ac:dyDescent="0.25">
      <c r="G39" s="26"/>
      <c r="H39" s="26"/>
      <c r="I39" s="26"/>
      <c r="J39" s="26"/>
    </row>
    <row r="40" spans="3:10" x14ac:dyDescent="0.25">
      <c r="G40" s="26"/>
      <c r="H40" s="26"/>
      <c r="I40" s="26"/>
      <c r="J40" s="26"/>
    </row>
    <row r="41" spans="3:10" x14ac:dyDescent="0.25">
      <c r="G41" s="26"/>
      <c r="H41" s="26"/>
      <c r="I41" s="26"/>
      <c r="J41" s="26"/>
    </row>
    <row r="42" spans="3:10" x14ac:dyDescent="0.25">
      <c r="G42" s="26"/>
      <c r="H42" s="26"/>
      <c r="I42" s="26"/>
      <c r="J42" s="26"/>
    </row>
    <row r="44" spans="3:10" x14ac:dyDescent="0.25">
      <c r="F44" s="26"/>
    </row>
    <row r="45" spans="3:10" x14ac:dyDescent="0.25">
      <c r="F45" s="26"/>
    </row>
  </sheetData>
  <mergeCells count="3">
    <mergeCell ref="A1:B1"/>
    <mergeCell ref="A5:D5"/>
    <mergeCell ref="A26:B26"/>
  </mergeCells>
  <pageMargins left="0.75" right="0.75" top="1" bottom="1" header="0.5" footer="0.5"/>
  <pageSetup orientation="portrait" r:id="rId1"/>
  <headerFooter alignWithMargins="0">
    <oddFooter>&amp;R&amp;"Arial,Regular"&amp;08&amp;K7F7F7FAmgen Proprietary - Confidential   &amp;C&amp;"Arial,Regular"&amp;08&amp;K7F7F7FAmgen Proprietary - For Internal Use Only</oddFooter>
    <evenFooter>&amp;R&amp;"Arial,Regular"&amp;08&amp;K7F7F7FAmgen Proprietary - Confidential   &amp;C&amp;"Arial,Regular"&amp;08&amp;K7F7F7FAmgen Proprietary - For Internal Use Only</evenFooter>
    <firstFooter>&amp;R&amp;"Arial,Regular"&amp;08&amp;K7F7F7FAmgen Proprietary - Confidential   &amp;C&amp;"Arial,Regular"&amp;08&amp;K7F7F7FAmgen Proprietary - For Internal Use Only</firstFooter>
  </headerFooter>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830583-A7F5-424B-9006-BB4B6FD795DB}">
  <sheetPr codeName="Sheet89">
    <pageSetUpPr autoPageBreaks="0"/>
  </sheetPr>
  <dimension ref="A1:J45"/>
  <sheetViews>
    <sheetView zoomScale="120" zoomScaleNormal="120" workbookViewId="0">
      <selection activeCell="A6" sqref="A6:C7"/>
    </sheetView>
  </sheetViews>
  <sheetFormatPr defaultColWidth="23.453125" defaultRowHeight="11.5" x14ac:dyDescent="0.25"/>
  <cols>
    <col min="1" max="1" width="23.54296875" style="25" bestFit="1" customWidth="1"/>
    <col min="2" max="2" width="34.453125" style="25" customWidth="1"/>
    <col min="3" max="3" width="23.453125" style="25"/>
    <col min="4" max="4" width="22.453125" style="25" hidden="1" customWidth="1"/>
    <col min="5" max="5" width="23.453125" style="25"/>
    <col min="6" max="6" width="51.453125" style="25" customWidth="1"/>
    <col min="7" max="7" width="27.453125" style="25" customWidth="1"/>
    <col min="8" max="8" width="9" style="25" bestFit="1" customWidth="1"/>
    <col min="9" max="10" width="9" style="25" customWidth="1"/>
    <col min="11" max="16384" width="23.453125" style="25"/>
  </cols>
  <sheetData>
    <row r="1" spans="1:10" ht="12" thickBot="1" x14ac:dyDescent="0.3">
      <c r="A1" s="1053" t="s">
        <v>479</v>
      </c>
      <c r="B1" s="1054"/>
    </row>
    <row r="2" spans="1:10" x14ac:dyDescent="0.25">
      <c r="A2" s="43" t="s">
        <v>480</v>
      </c>
      <c r="B2" s="241">
        <f>A11</f>
        <v>44396.354166666664</v>
      </c>
    </row>
    <row r="3" spans="1:10" ht="12" thickBot="1" x14ac:dyDescent="0.3">
      <c r="A3" s="42" t="s">
        <v>482</v>
      </c>
      <c r="B3" s="239">
        <f>A11</f>
        <v>44396.354166666664</v>
      </c>
    </row>
    <row r="5" spans="1:10" x14ac:dyDescent="0.25">
      <c r="A5" s="1072" t="s">
        <v>484</v>
      </c>
      <c r="B5" s="1073"/>
      <c r="C5" s="1073"/>
      <c r="D5" s="1073"/>
    </row>
    <row r="6" spans="1:10" x14ac:dyDescent="0.25">
      <c r="A6" s="781" t="s">
        <v>485</v>
      </c>
      <c r="B6" s="781" t="s">
        <v>486</v>
      </c>
      <c r="C6" s="781" t="s">
        <v>487</v>
      </c>
      <c r="D6" s="781" t="s">
        <v>488</v>
      </c>
    </row>
    <row r="7" spans="1:10" x14ac:dyDescent="0.25">
      <c r="A7" s="41" t="str">
        <f>F14</f>
        <v>IPC1.0: Reaction Conversion</v>
      </c>
      <c r="B7" s="40">
        <f>INDEX($A$11:$A$57,MATCH(A7,$F$11:$F$57,0))</f>
        <v>44396.645833333336</v>
      </c>
      <c r="C7" s="37">
        <f>B14</f>
        <v>44396.645833333336</v>
      </c>
      <c r="D7" s="297"/>
    </row>
    <row r="8" spans="1:10" x14ac:dyDescent="0.25">
      <c r="A8" s="41" t="str">
        <f>F19</f>
        <v>IPC2.0: LOD (Analyzed by MFG)</v>
      </c>
      <c r="B8" s="40">
        <f>INDEX($A$11:$A$60,MATCH(A8,$F$11:$F$57,0))</f>
        <v>44397.427083333343</v>
      </c>
      <c r="C8" s="37">
        <f>B19</f>
        <v>44397.427083333343</v>
      </c>
      <c r="D8" s="297"/>
    </row>
    <row r="10" spans="1:10" ht="23.5" thickBot="1" x14ac:dyDescent="0.3">
      <c r="A10" s="749" t="s">
        <v>492</v>
      </c>
      <c r="B10" s="749" t="s">
        <v>493</v>
      </c>
      <c r="C10" s="749" t="s">
        <v>494</v>
      </c>
      <c r="D10" s="86" t="s">
        <v>495</v>
      </c>
      <c r="E10" s="749" t="s">
        <v>540</v>
      </c>
      <c r="F10" s="749" t="s">
        <v>541</v>
      </c>
      <c r="G10" s="749" t="s">
        <v>498</v>
      </c>
      <c r="H10" s="184" t="s">
        <v>204</v>
      </c>
      <c r="I10" s="184" t="s">
        <v>668</v>
      </c>
      <c r="J10" s="184" t="s">
        <v>138</v>
      </c>
    </row>
    <row r="11" spans="1:10" x14ac:dyDescent="0.25">
      <c r="A11" s="31">
        <v>44396.354166666664</v>
      </c>
      <c r="B11" s="38">
        <f>A11</f>
        <v>44396.354166666664</v>
      </c>
      <c r="C11" s="705">
        <v>2.0833333333333332E-2</v>
      </c>
      <c r="D11" s="116"/>
      <c r="E11" s="317">
        <f>B11+C11</f>
        <v>44396.375</v>
      </c>
      <c r="F11" s="264" t="s">
        <v>669</v>
      </c>
      <c r="G11" s="78"/>
      <c r="H11" s="180"/>
      <c r="I11" s="180"/>
      <c r="J11" s="180"/>
    </row>
    <row r="12" spans="1:10" ht="12.75" customHeight="1" x14ac:dyDescent="0.25">
      <c r="A12" s="31">
        <f>IF(D11 = "",A11+C11,A11+D11)</f>
        <v>44396.375</v>
      </c>
      <c r="B12" s="38">
        <f>IF(D11 = "",B11+C11,B11+D11)</f>
        <v>44396.375</v>
      </c>
      <c r="C12" s="170">
        <v>6.25E-2</v>
      </c>
      <c r="D12" s="116"/>
      <c r="E12" s="317">
        <f t="shared" ref="E12:E21" si="0">B12+C12</f>
        <v>44396.4375</v>
      </c>
      <c r="F12" s="264" t="s">
        <v>670</v>
      </c>
      <c r="G12" s="35"/>
      <c r="H12" s="181"/>
      <c r="I12" s="181"/>
      <c r="J12" s="181"/>
    </row>
    <row r="13" spans="1:10" ht="12.75" customHeight="1" x14ac:dyDescent="0.25">
      <c r="A13" s="31">
        <f t="shared" ref="A13:A21" si="1">IF(D12 = "",A12+C12,A12+D12)</f>
        <v>44396.4375</v>
      </c>
      <c r="B13" s="38">
        <f t="shared" ref="B13:B21" si="2">IF(D12 = "",B12+C12,B12+D12)</f>
        <v>44396.4375</v>
      </c>
      <c r="C13" s="170">
        <v>0.20833333333333334</v>
      </c>
      <c r="D13" s="116"/>
      <c r="E13" s="317">
        <f t="shared" si="0"/>
        <v>44396.645833333336</v>
      </c>
      <c r="F13" s="264" t="s">
        <v>671</v>
      </c>
      <c r="G13" s="39"/>
      <c r="H13" s="773"/>
      <c r="I13" s="773"/>
      <c r="J13" s="773"/>
    </row>
    <row r="14" spans="1:10" ht="13.5" customHeight="1" x14ac:dyDescent="0.25">
      <c r="A14" s="31">
        <f t="shared" si="1"/>
        <v>44396.645833333336</v>
      </c>
      <c r="B14" s="38">
        <f t="shared" si="2"/>
        <v>44396.645833333336</v>
      </c>
      <c r="C14" s="170">
        <v>0.11458333333333333</v>
      </c>
      <c r="D14" s="116"/>
      <c r="E14" s="317">
        <f t="shared" si="0"/>
        <v>44396.760416666672</v>
      </c>
      <c r="F14" s="295" t="s">
        <v>546</v>
      </c>
      <c r="G14" s="35"/>
      <c r="H14" s="181"/>
      <c r="I14" s="181"/>
      <c r="J14" s="181"/>
    </row>
    <row r="15" spans="1:10" x14ac:dyDescent="0.25">
      <c r="A15" s="31">
        <f t="shared" si="1"/>
        <v>44396.760416666672</v>
      </c>
      <c r="B15" s="38">
        <f t="shared" si="2"/>
        <v>44396.760416666672</v>
      </c>
      <c r="C15" s="172">
        <v>0.1875</v>
      </c>
      <c r="D15" s="116"/>
      <c r="E15" s="317">
        <f t="shared" si="0"/>
        <v>44396.947916666672</v>
      </c>
      <c r="F15" s="264" t="s">
        <v>548</v>
      </c>
      <c r="G15" s="35"/>
      <c r="H15" s="181"/>
      <c r="I15" s="181"/>
      <c r="J15" s="181"/>
    </row>
    <row r="16" spans="1:10" ht="13.5" customHeight="1" x14ac:dyDescent="0.25">
      <c r="A16" s="31">
        <f t="shared" si="1"/>
        <v>44396.947916666672</v>
      </c>
      <c r="B16" s="38">
        <f t="shared" si="2"/>
        <v>44396.947916666672</v>
      </c>
      <c r="C16" s="172">
        <v>3.125E-2</v>
      </c>
      <c r="D16" s="116"/>
      <c r="E16" s="317">
        <f t="shared" si="0"/>
        <v>44396.979166666672</v>
      </c>
      <c r="F16" s="264" t="s">
        <v>549</v>
      </c>
      <c r="G16" s="35"/>
      <c r="H16" s="265">
        <v>44.9</v>
      </c>
      <c r="I16" s="265">
        <v>162.19999999999999</v>
      </c>
      <c r="J16" s="265">
        <v>80.5</v>
      </c>
    </row>
    <row r="17" spans="1:10" ht="12" customHeight="1" x14ac:dyDescent="0.25">
      <c r="A17" s="31">
        <f t="shared" si="1"/>
        <v>44396.979166666672</v>
      </c>
      <c r="B17" s="38">
        <f t="shared" si="2"/>
        <v>44396.979166666672</v>
      </c>
      <c r="C17" s="172">
        <v>8.3333333333333329E-2</v>
      </c>
      <c r="D17" s="116"/>
      <c r="E17" s="317">
        <f t="shared" si="0"/>
        <v>44397.062500000007</v>
      </c>
      <c r="F17" s="264" t="s">
        <v>672</v>
      </c>
      <c r="G17" s="39"/>
      <c r="H17" s="773"/>
      <c r="I17" s="773">
        <v>60.9</v>
      </c>
      <c r="J17" s="773"/>
    </row>
    <row r="18" spans="1:10" ht="12.75" customHeight="1" x14ac:dyDescent="0.25">
      <c r="A18" s="31">
        <f t="shared" si="1"/>
        <v>44397.062500000007</v>
      </c>
      <c r="B18" s="38">
        <f t="shared" si="2"/>
        <v>44397.062500000007</v>
      </c>
      <c r="C18" s="172">
        <v>0.36458333333333331</v>
      </c>
      <c r="D18" s="116"/>
      <c r="E18" s="317">
        <f t="shared" si="0"/>
        <v>44397.427083333343</v>
      </c>
      <c r="F18" s="240" t="s">
        <v>551</v>
      </c>
      <c r="G18" s="35"/>
      <c r="H18" s="773"/>
      <c r="I18" s="773"/>
      <c r="J18" s="773"/>
    </row>
    <row r="19" spans="1:10" x14ac:dyDescent="0.25">
      <c r="A19" s="31">
        <f t="shared" si="1"/>
        <v>44397.427083333343</v>
      </c>
      <c r="B19" s="38">
        <f t="shared" si="2"/>
        <v>44397.427083333343</v>
      </c>
      <c r="C19" s="170">
        <v>2.0833333333333332E-2</v>
      </c>
      <c r="D19" s="116"/>
      <c r="E19" s="317">
        <f t="shared" si="0"/>
        <v>44397.447916666679</v>
      </c>
      <c r="F19" s="295" t="s">
        <v>673</v>
      </c>
      <c r="G19" s="35"/>
      <c r="H19" s="773"/>
      <c r="I19" s="773"/>
      <c r="J19" s="773"/>
    </row>
    <row r="20" spans="1:10" x14ac:dyDescent="0.25">
      <c r="A20" s="31">
        <f t="shared" si="1"/>
        <v>44397.447916666679</v>
      </c>
      <c r="B20" s="38">
        <f t="shared" si="2"/>
        <v>44397.447916666679</v>
      </c>
      <c r="C20" s="170">
        <v>5.2083333333333336E-2</v>
      </c>
      <c r="D20" s="116"/>
      <c r="E20" s="317">
        <f t="shared" si="0"/>
        <v>44397.500000000015</v>
      </c>
      <c r="F20" s="264" t="s">
        <v>554</v>
      </c>
      <c r="G20" s="178"/>
      <c r="H20" s="773"/>
      <c r="I20" s="773"/>
      <c r="J20" s="773"/>
    </row>
    <row r="21" spans="1:10" x14ac:dyDescent="0.25">
      <c r="A21" s="185">
        <f t="shared" si="1"/>
        <v>44397.500000000015</v>
      </c>
      <c r="B21" s="467">
        <f t="shared" si="2"/>
        <v>44397.500000000015</v>
      </c>
      <c r="C21" s="510">
        <v>0.3125</v>
      </c>
      <c r="D21" s="508"/>
      <c r="E21" s="747">
        <f t="shared" si="0"/>
        <v>44397.812500000015</v>
      </c>
      <c r="F21" s="748" t="s">
        <v>2540</v>
      </c>
      <c r="G21" s="243" t="s">
        <v>535</v>
      </c>
      <c r="H21" s="266">
        <f>SUM(H11:H20)</f>
        <v>44.9</v>
      </c>
      <c r="I21" s="266">
        <f t="shared" ref="I21:J21" si="3">SUM(I11:I20)</f>
        <v>223.1</v>
      </c>
      <c r="J21" s="266">
        <f t="shared" si="3"/>
        <v>80.5</v>
      </c>
    </row>
    <row r="22" spans="1:10" ht="21" x14ac:dyDescent="0.55000000000000004">
      <c r="A22" s="34"/>
      <c r="B22" s="33" t="s">
        <v>534</v>
      </c>
      <c r="C22" s="32">
        <f>SUM(C11:C20)</f>
        <v>1.1458333333333333</v>
      </c>
      <c r="D22" s="32">
        <f>SUM(D11:D20)</f>
        <v>0</v>
      </c>
      <c r="G22" s="26"/>
      <c r="H22" s="26"/>
      <c r="I22" s="26"/>
      <c r="J22" s="26"/>
    </row>
    <row r="23" spans="1:10" x14ac:dyDescent="0.25">
      <c r="B23" s="31" t="s">
        <v>536</v>
      </c>
      <c r="C23" s="30">
        <f>(C22*60)/1440</f>
        <v>4.7743055555555552E-2</v>
      </c>
      <c r="D23" s="30">
        <f>(D22*60)/1440</f>
        <v>0</v>
      </c>
      <c r="G23" s="26"/>
      <c r="H23" s="26"/>
      <c r="I23" s="26"/>
      <c r="J23" s="26"/>
    </row>
    <row r="24" spans="1:10" x14ac:dyDescent="0.25">
      <c r="C24" s="774"/>
      <c r="G24" s="26"/>
      <c r="H24" s="26"/>
      <c r="I24" s="26"/>
      <c r="J24" s="26"/>
    </row>
    <row r="25" spans="1:10" hidden="1" x14ac:dyDescent="0.25">
      <c r="G25" s="26"/>
      <c r="H25" s="26"/>
      <c r="I25" s="26"/>
      <c r="J25" s="26"/>
    </row>
    <row r="26" spans="1:10" hidden="1" x14ac:dyDescent="0.25">
      <c r="A26" s="1053" t="s">
        <v>555</v>
      </c>
      <c r="B26" s="1054"/>
      <c r="G26" s="26"/>
      <c r="H26" s="26"/>
      <c r="I26" s="26"/>
      <c r="J26" s="26"/>
    </row>
    <row r="27" spans="1:10" hidden="1" x14ac:dyDescent="0.25">
      <c r="A27" s="781" t="s">
        <v>556</v>
      </c>
      <c r="B27" s="29" t="e">
        <f>MAX(A18,#REF!)</f>
        <v>#REF!</v>
      </c>
      <c r="G27" s="26"/>
      <c r="H27" s="26"/>
      <c r="I27" s="26"/>
      <c r="J27" s="26"/>
    </row>
    <row r="28" spans="1:10" hidden="1" x14ac:dyDescent="0.25">
      <c r="A28" s="781" t="s">
        <v>557</v>
      </c>
      <c r="B28" s="28" t="e">
        <f>MAX((#REF!+#REF!),(B18+C18))</f>
        <v>#REF!</v>
      </c>
      <c r="G28" s="26"/>
      <c r="H28" s="26"/>
      <c r="I28" s="26"/>
      <c r="J28" s="26"/>
    </row>
    <row r="29" spans="1:10" x14ac:dyDescent="0.25">
      <c r="G29" s="26"/>
      <c r="H29" s="26"/>
      <c r="I29" s="26"/>
      <c r="J29" s="26"/>
    </row>
    <row r="30" spans="1:10" x14ac:dyDescent="0.25">
      <c r="G30" s="26"/>
      <c r="H30" s="26"/>
      <c r="I30" s="26"/>
      <c r="J30" s="26"/>
    </row>
    <row r="31" spans="1:10" x14ac:dyDescent="0.25">
      <c r="G31" s="26"/>
      <c r="H31" s="26"/>
      <c r="I31" s="26"/>
      <c r="J31" s="26"/>
    </row>
    <row r="32" spans="1:10" x14ac:dyDescent="0.25">
      <c r="G32" s="26"/>
      <c r="H32" s="26"/>
      <c r="I32" s="26"/>
      <c r="J32" s="26"/>
    </row>
    <row r="33" spans="3:10" x14ac:dyDescent="0.25">
      <c r="C33" s="27"/>
      <c r="D33" s="27"/>
      <c r="G33" s="26"/>
      <c r="H33" s="26"/>
      <c r="I33" s="26"/>
      <c r="J33" s="26"/>
    </row>
    <row r="34" spans="3:10" x14ac:dyDescent="0.25">
      <c r="G34" s="26"/>
      <c r="H34" s="26"/>
      <c r="I34" s="26"/>
      <c r="J34" s="26"/>
    </row>
    <row r="35" spans="3:10" x14ac:dyDescent="0.25">
      <c r="G35" s="26"/>
      <c r="H35" s="26"/>
      <c r="I35" s="26"/>
      <c r="J35" s="26"/>
    </row>
    <row r="36" spans="3:10" x14ac:dyDescent="0.25">
      <c r="G36" s="26"/>
      <c r="H36" s="26"/>
      <c r="I36" s="26"/>
      <c r="J36" s="26"/>
    </row>
    <row r="37" spans="3:10" x14ac:dyDescent="0.25">
      <c r="G37" s="26"/>
      <c r="H37" s="26"/>
      <c r="I37" s="26"/>
      <c r="J37" s="26"/>
    </row>
    <row r="38" spans="3:10" x14ac:dyDescent="0.25">
      <c r="G38" s="26"/>
      <c r="H38" s="26"/>
      <c r="I38" s="26"/>
      <c r="J38" s="26"/>
    </row>
    <row r="39" spans="3:10" x14ac:dyDescent="0.25">
      <c r="G39" s="26"/>
      <c r="H39" s="26"/>
      <c r="I39" s="26"/>
      <c r="J39" s="26"/>
    </row>
    <row r="40" spans="3:10" x14ac:dyDescent="0.25">
      <c r="G40" s="26"/>
      <c r="H40" s="26"/>
      <c r="I40" s="26"/>
      <c r="J40" s="26"/>
    </row>
    <row r="41" spans="3:10" x14ac:dyDescent="0.25">
      <c r="G41" s="26"/>
      <c r="H41" s="26"/>
      <c r="I41" s="26"/>
      <c r="J41" s="26"/>
    </row>
    <row r="42" spans="3:10" x14ac:dyDescent="0.25">
      <c r="G42" s="26"/>
      <c r="H42" s="26"/>
      <c r="I42" s="26"/>
      <c r="J42" s="26"/>
    </row>
    <row r="44" spans="3:10" x14ac:dyDescent="0.25">
      <c r="F44" s="26"/>
    </row>
    <row r="45" spans="3:10" x14ac:dyDescent="0.25">
      <c r="F45" s="26"/>
    </row>
  </sheetData>
  <mergeCells count="3">
    <mergeCell ref="A1:B1"/>
    <mergeCell ref="A5:D5"/>
    <mergeCell ref="A26:B26"/>
  </mergeCells>
  <pageMargins left="0.75" right="0.75" top="1" bottom="1" header="0.5" footer="0.5"/>
  <pageSetup orientation="portrait" r:id="rId1"/>
  <headerFooter alignWithMargins="0">
    <oddFooter>&amp;R&amp;"Arial,Regular"&amp;08&amp;K7F7F7FAmgen Proprietary - Confidential   &amp;C&amp;"Arial,Regular"&amp;08&amp;K7F7F7FAmgen Proprietary - For Internal Use Only</oddFooter>
    <evenFooter>&amp;R&amp;"Arial,Regular"&amp;08&amp;K7F7F7FAmgen Proprietary - Confidential   &amp;C&amp;"Arial,Regular"&amp;08&amp;K7F7F7FAmgen Proprietary - For Internal Use Only</evenFooter>
    <firstFooter>&amp;R&amp;"Arial,Regular"&amp;08&amp;K7F7F7FAmgen Proprietary - Confidential   &amp;C&amp;"Arial,Regular"&amp;08&amp;K7F7F7FAmgen Proprietary - For Internal Use Only</firstFooter>
  </headerFooter>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B9F0FC-B2A9-4872-A52C-C3CB108F6F19}">
  <sheetPr codeName="Sheet91">
    <pageSetUpPr autoPageBreaks="0"/>
  </sheetPr>
  <dimension ref="A1:O85"/>
  <sheetViews>
    <sheetView topLeftCell="A13" zoomScale="120" zoomScaleNormal="120" workbookViewId="0">
      <selection activeCell="C64" sqref="C64"/>
    </sheetView>
  </sheetViews>
  <sheetFormatPr defaultColWidth="23.453125" defaultRowHeight="11.5" x14ac:dyDescent="0.25"/>
  <cols>
    <col min="1" max="1" width="48.453125" style="25" bestFit="1" customWidth="1"/>
    <col min="2" max="2" width="28" style="25" customWidth="1"/>
    <col min="3" max="3" width="23.453125" style="25"/>
    <col min="4" max="4" width="23.453125" style="25" hidden="1" customWidth="1"/>
    <col min="5" max="5" width="23.453125" style="25"/>
    <col min="6" max="6" width="79.54296875" style="25" bestFit="1" customWidth="1"/>
    <col min="7" max="7" width="40.54296875" style="25" customWidth="1"/>
    <col min="8" max="13" width="10.54296875" style="25" customWidth="1"/>
    <col min="14" max="14" width="30" style="25" customWidth="1"/>
    <col min="15" max="16384" width="23.453125" style="25"/>
  </cols>
  <sheetData>
    <row r="1" spans="1:15" ht="12" thickBot="1" x14ac:dyDescent="0.3">
      <c r="A1" s="1064" t="s">
        <v>479</v>
      </c>
      <c r="B1" s="1065"/>
    </row>
    <row r="2" spans="1:15" x14ac:dyDescent="0.25">
      <c r="A2" s="43" t="s">
        <v>480</v>
      </c>
      <c r="B2" s="289">
        <v>44403.375</v>
      </c>
    </row>
    <row r="3" spans="1:15" ht="12" thickBot="1" x14ac:dyDescent="0.3">
      <c r="A3" s="42" t="s">
        <v>482</v>
      </c>
      <c r="B3" s="290">
        <f>B2</f>
        <v>44403.375</v>
      </c>
    </row>
    <row r="5" spans="1:15" x14ac:dyDescent="0.25">
      <c r="A5" s="328" t="s">
        <v>484</v>
      </c>
      <c r="B5" s="328"/>
      <c r="C5" s="328"/>
      <c r="D5" s="328"/>
    </row>
    <row r="6" spans="1:15" x14ac:dyDescent="0.25">
      <c r="A6" s="781" t="s">
        <v>485</v>
      </c>
      <c r="B6" s="781" t="s">
        <v>486</v>
      </c>
      <c r="C6" s="781" t="s">
        <v>487</v>
      </c>
      <c r="D6" s="781" t="s">
        <v>488</v>
      </c>
    </row>
    <row r="7" spans="1:15" x14ac:dyDescent="0.25">
      <c r="A7" s="41" t="str">
        <f>F33</f>
        <v xml:space="preserve">   Sample for drug substance analysis (PR-024 in Methanol)</v>
      </c>
      <c r="B7" s="40">
        <f>INDEX($A$14:$A$74,MATCH(A7,$F$14:$F$74,0))</f>
        <v>44405.347222222234</v>
      </c>
      <c r="C7" s="37">
        <f>INDEX($B$14:$B$74,MATCH(A7,$F$14:$F$74,0))</f>
        <v>44405.347222222234</v>
      </c>
      <c r="D7" s="297"/>
    </row>
    <row r="8" spans="1:15" x14ac:dyDescent="0.25">
      <c r="A8" s="41" t="str">
        <f>F42</f>
        <v xml:space="preserve">   Sample for Residual Solvent Methanol (Ethyl Acetate)</v>
      </c>
      <c r="B8" s="40">
        <f>INDEX($A$14:$A$74,MATCH(A8,$F$14:$F$74,0))</f>
        <v>44406.159722222241</v>
      </c>
      <c r="C8" s="37">
        <f>INDEX($B$14:$B$74,MATCH(A8,$F$14:$F$74,0))</f>
        <v>44406.159722222241</v>
      </c>
      <c r="D8" s="297"/>
    </row>
    <row r="9" spans="1:15" x14ac:dyDescent="0.25">
      <c r="A9" s="41" t="str">
        <f>F57</f>
        <v xml:space="preserve">   FD Sample for drug substance analysis (PR-024 in Methanol)</v>
      </c>
      <c r="B9" s="40">
        <f>INDEX($A$14:$A$74,MATCH(A9,$F$14:$F$74,0))</f>
        <v>44407.097222222241</v>
      </c>
      <c r="C9" s="37">
        <f>INDEX($B$14:$B$74,MATCH(A9,$F$14:$F$74,0))</f>
        <v>44407.097222222241</v>
      </c>
      <c r="D9" s="371"/>
    </row>
    <row r="10" spans="1:15" x14ac:dyDescent="0.25">
      <c r="A10" s="529" t="str">
        <f>F61</f>
        <v xml:space="preserve">   Sampling of Residual Solvent (Acetone in  Ethyl Acetate)</v>
      </c>
      <c r="B10" s="528">
        <f>E61</f>
        <v>44407.388888888905</v>
      </c>
      <c r="C10" s="467">
        <f>E61</f>
        <v>44407.388888888905</v>
      </c>
      <c r="D10" s="371"/>
    </row>
    <row r="12" spans="1:15" ht="30.65" customHeight="1" x14ac:dyDescent="0.25">
      <c r="A12" s="749" t="s">
        <v>492</v>
      </c>
      <c r="B12" s="749" t="s">
        <v>576</v>
      </c>
      <c r="C12" s="749" t="s">
        <v>494</v>
      </c>
      <c r="D12" s="749" t="s">
        <v>495</v>
      </c>
      <c r="E12" s="749" t="s">
        <v>560</v>
      </c>
      <c r="F12" s="749" t="s">
        <v>541</v>
      </c>
      <c r="G12" s="749" t="s">
        <v>498</v>
      </c>
      <c r="H12" s="781" t="s">
        <v>92</v>
      </c>
      <c r="I12" s="781" t="s">
        <v>96</v>
      </c>
      <c r="J12" s="781" t="s">
        <v>577</v>
      </c>
      <c r="K12" s="781" t="s">
        <v>500</v>
      </c>
      <c r="L12" s="278" t="s">
        <v>108</v>
      </c>
      <c r="M12" s="278" t="s">
        <v>114</v>
      </c>
    </row>
    <row r="13" spans="1:15" x14ac:dyDescent="0.25">
      <c r="A13" s="279" t="s">
        <v>578</v>
      </c>
      <c r="B13" s="279"/>
      <c r="C13" s="279"/>
      <c r="D13" s="279"/>
      <c r="E13" s="279"/>
      <c r="F13" s="279"/>
      <c r="G13" s="279"/>
      <c r="H13" s="777"/>
      <c r="I13" s="777"/>
      <c r="J13" s="777"/>
      <c r="K13" s="777"/>
      <c r="L13" s="777"/>
      <c r="M13" s="777"/>
    </row>
    <row r="14" spans="1:15" ht="14.5" x14ac:dyDescent="0.35">
      <c r="A14" s="31">
        <f>B2</f>
        <v>44403.375</v>
      </c>
      <c r="B14" s="332">
        <f>B3</f>
        <v>44403.375</v>
      </c>
      <c r="C14" s="170">
        <v>2.0833333333333332E-2</v>
      </c>
      <c r="D14" s="327" t="str">
        <f t="shared" ref="D14:D59" si="0">IF(_xlfn.ISFORMULA(E14)=TRUE,"",E14-B14)</f>
        <v/>
      </c>
      <c r="E14" s="37">
        <f>B14+C14</f>
        <v>44403.395833333336</v>
      </c>
      <c r="F14" s="270" t="s">
        <v>608</v>
      </c>
      <c r="G14" s="277"/>
      <c r="H14" s="281"/>
      <c r="I14" s="281"/>
      <c r="J14" s="281"/>
      <c r="K14" s="282">
        <v>126.26262626262626</v>
      </c>
      <c r="L14" s="337">
        <f>SUM(H14:K14)</f>
        <v>126.26262626262626</v>
      </c>
      <c r="M14" s="282"/>
      <c r="N14" s="1096"/>
      <c r="O14" s="1096"/>
    </row>
    <row r="15" spans="1:15" ht="14.5" x14ac:dyDescent="0.35">
      <c r="A15" s="31">
        <f t="shared" ref="A15:A33" si="1">IF(D14 = "",A14+C14,A14+D14)</f>
        <v>44403.395833333336</v>
      </c>
      <c r="B15" s="37">
        <f t="shared" ref="B15:B33" si="2">IF(D14 = "",B14+C14,B14+D14)</f>
        <v>44403.395833333336</v>
      </c>
      <c r="C15" s="170">
        <v>2.0833333333333332E-2</v>
      </c>
      <c r="D15" s="327" t="str">
        <f t="shared" si="0"/>
        <v/>
      </c>
      <c r="E15" s="37">
        <f t="shared" ref="E15:E59" si="3">B15+C15</f>
        <v>44403.416666666672</v>
      </c>
      <c r="F15" s="270" t="s">
        <v>610</v>
      </c>
      <c r="G15" s="275"/>
      <c r="H15" s="283"/>
      <c r="I15" s="283"/>
      <c r="J15" s="283">
        <v>110.86474501108647</v>
      </c>
      <c r="K15" s="283"/>
      <c r="L15" s="337">
        <f t="shared" ref="L15:L53" si="4">SUM(H15:K15)</f>
        <v>110.86474501108647</v>
      </c>
      <c r="M15" s="282"/>
      <c r="N15" s="441"/>
      <c r="O15" s="442"/>
    </row>
    <row r="16" spans="1:15" ht="14.5" x14ac:dyDescent="0.35">
      <c r="A16" s="31">
        <f t="shared" si="1"/>
        <v>44403.416666666672</v>
      </c>
      <c r="B16" s="37">
        <f t="shared" si="2"/>
        <v>44403.416666666672</v>
      </c>
      <c r="C16" s="170">
        <v>4.1666666666666664E-2</v>
      </c>
      <c r="D16" s="327" t="str">
        <f t="shared" si="0"/>
        <v/>
      </c>
      <c r="E16" s="37">
        <f t="shared" si="3"/>
        <v>44403.458333333336</v>
      </c>
      <c r="F16" s="270" t="s">
        <v>612</v>
      </c>
      <c r="G16" s="275"/>
      <c r="H16" s="283"/>
      <c r="I16" s="283"/>
      <c r="J16" s="283">
        <v>150</v>
      </c>
      <c r="K16" s="283"/>
      <c r="L16" s="337">
        <f t="shared" si="4"/>
        <v>150</v>
      </c>
      <c r="M16" s="282"/>
      <c r="N16" s="441"/>
      <c r="O16" s="442"/>
    </row>
    <row r="17" spans="1:15" ht="14.5" x14ac:dyDescent="0.35">
      <c r="A17" s="31">
        <f t="shared" si="1"/>
        <v>44403.458333333336</v>
      </c>
      <c r="B17" s="37">
        <f t="shared" si="2"/>
        <v>44403.458333333336</v>
      </c>
      <c r="C17" s="170">
        <v>3.8194444444444441E-2</v>
      </c>
      <c r="D17" s="327" t="str">
        <f t="shared" si="0"/>
        <v/>
      </c>
      <c r="E17" s="37">
        <f t="shared" si="3"/>
        <v>44403.496527777781</v>
      </c>
      <c r="F17" s="270" t="s">
        <v>614</v>
      </c>
      <c r="G17" s="275"/>
      <c r="H17" s="283">
        <v>60</v>
      </c>
      <c r="I17" s="283"/>
      <c r="J17" s="283"/>
      <c r="K17" s="283"/>
      <c r="L17" s="337"/>
      <c r="M17" s="283">
        <v>60</v>
      </c>
      <c r="N17" s="441"/>
      <c r="O17" s="442"/>
    </row>
    <row r="18" spans="1:15" ht="14.5" x14ac:dyDescent="0.35">
      <c r="A18" s="31">
        <f t="shared" si="1"/>
        <v>44403.496527777781</v>
      </c>
      <c r="B18" s="37">
        <f t="shared" si="2"/>
        <v>44403.496527777781</v>
      </c>
      <c r="C18" s="170">
        <v>2.0833333333333332E-2</v>
      </c>
      <c r="D18" s="327" t="str">
        <f t="shared" si="0"/>
        <v/>
      </c>
      <c r="E18" s="37">
        <f t="shared" si="3"/>
        <v>44403.517361111117</v>
      </c>
      <c r="F18" s="270" t="s">
        <v>616</v>
      </c>
      <c r="G18" s="275"/>
      <c r="H18" s="283"/>
      <c r="I18" s="283">
        <v>30</v>
      </c>
      <c r="J18" s="283"/>
      <c r="K18" s="283"/>
      <c r="L18" s="337">
        <f t="shared" si="4"/>
        <v>30</v>
      </c>
      <c r="M18" s="282"/>
      <c r="N18" s="441"/>
      <c r="O18" s="442"/>
    </row>
    <row r="19" spans="1:15" ht="14.5" x14ac:dyDescent="0.35">
      <c r="A19" s="31">
        <f t="shared" si="1"/>
        <v>44403.517361111117</v>
      </c>
      <c r="B19" s="37">
        <f t="shared" si="2"/>
        <v>44403.517361111117</v>
      </c>
      <c r="C19" s="170">
        <v>4.8611111111111112E-2</v>
      </c>
      <c r="D19" s="327" t="str">
        <f t="shared" si="0"/>
        <v/>
      </c>
      <c r="E19" s="37">
        <f t="shared" si="3"/>
        <v>44403.565972222226</v>
      </c>
      <c r="F19" s="270" t="s">
        <v>618</v>
      </c>
      <c r="G19" s="275"/>
      <c r="H19" s="283"/>
      <c r="I19" s="283"/>
      <c r="J19" s="283">
        <v>30</v>
      </c>
      <c r="K19" s="283"/>
      <c r="L19" s="337">
        <f t="shared" si="4"/>
        <v>30</v>
      </c>
      <c r="M19" s="282"/>
    </row>
    <row r="20" spans="1:15" ht="14.5" x14ac:dyDescent="0.35">
      <c r="A20" s="31">
        <f t="shared" si="1"/>
        <v>44403.565972222226</v>
      </c>
      <c r="B20" s="37">
        <f t="shared" si="2"/>
        <v>44403.565972222226</v>
      </c>
      <c r="C20" s="170">
        <v>1.3888888888888888E-2</v>
      </c>
      <c r="D20" s="327" t="str">
        <f t="shared" si="0"/>
        <v/>
      </c>
      <c r="E20" s="37">
        <f t="shared" si="3"/>
        <v>44403.579861111117</v>
      </c>
      <c r="F20" s="270" t="s">
        <v>619</v>
      </c>
      <c r="G20" s="275"/>
      <c r="H20" s="283"/>
      <c r="I20" s="283"/>
      <c r="J20" s="283"/>
      <c r="K20" s="283">
        <v>54.229797979797979</v>
      </c>
      <c r="L20" s="337">
        <f t="shared" si="4"/>
        <v>54.229797979797979</v>
      </c>
      <c r="M20" s="282"/>
    </row>
    <row r="21" spans="1:15" ht="14.5" x14ac:dyDescent="0.35">
      <c r="A21" s="31">
        <f t="shared" si="1"/>
        <v>44403.579861111117</v>
      </c>
      <c r="B21" s="37">
        <f t="shared" si="2"/>
        <v>44403.579861111117</v>
      </c>
      <c r="C21" s="170">
        <v>3.125E-2</v>
      </c>
      <c r="D21" s="327" t="str">
        <f t="shared" si="0"/>
        <v/>
      </c>
      <c r="E21" s="37">
        <f t="shared" si="3"/>
        <v>44403.611111111117</v>
      </c>
      <c r="F21" s="270" t="s">
        <v>620</v>
      </c>
      <c r="G21" s="275"/>
      <c r="H21" s="283"/>
      <c r="I21" s="283">
        <v>501.63599783163266</v>
      </c>
      <c r="J21" s="283"/>
      <c r="K21" s="283"/>
      <c r="L21" s="337">
        <f t="shared" si="4"/>
        <v>501.63599783163266</v>
      </c>
      <c r="M21" s="282"/>
      <c r="N21" s="441" t="s">
        <v>2631</v>
      </c>
      <c r="O21" s="442">
        <f>SUM(L14:L21)</f>
        <v>1002.9931670851433</v>
      </c>
    </row>
    <row r="22" spans="1:15" ht="14.5" x14ac:dyDescent="0.35">
      <c r="A22" s="31">
        <f t="shared" si="1"/>
        <v>44403.611111111117</v>
      </c>
      <c r="B22" s="37">
        <f t="shared" si="2"/>
        <v>44403.611111111117</v>
      </c>
      <c r="C22" s="170">
        <v>0.3125</v>
      </c>
      <c r="D22" s="327" t="str">
        <f t="shared" si="0"/>
        <v/>
      </c>
      <c r="E22" s="37">
        <f t="shared" si="3"/>
        <v>44403.923611111117</v>
      </c>
      <c r="F22" s="270" t="s">
        <v>621</v>
      </c>
      <c r="G22" s="275"/>
      <c r="H22" s="283">
        <v>450</v>
      </c>
      <c r="I22" s="283"/>
      <c r="J22" s="283"/>
      <c r="K22" s="283"/>
      <c r="L22" s="338"/>
      <c r="M22" s="283">
        <v>450</v>
      </c>
    </row>
    <row r="23" spans="1:15" ht="14.5" x14ac:dyDescent="0.35">
      <c r="A23" s="31">
        <f t="shared" si="1"/>
        <v>44403.923611111117</v>
      </c>
      <c r="B23" s="37">
        <f t="shared" si="2"/>
        <v>44403.923611111117</v>
      </c>
      <c r="C23" s="170">
        <v>0.27083333333333331</v>
      </c>
      <c r="D23" s="327" t="str">
        <f t="shared" si="0"/>
        <v/>
      </c>
      <c r="E23" s="37">
        <f t="shared" si="3"/>
        <v>44404.194444444453</v>
      </c>
      <c r="F23" s="270" t="s">
        <v>622</v>
      </c>
      <c r="G23" s="414"/>
      <c r="H23" s="283"/>
      <c r="I23" s="283">
        <v>270</v>
      </c>
      <c r="J23" s="283"/>
      <c r="K23" s="283"/>
      <c r="L23" s="337">
        <f t="shared" si="4"/>
        <v>270</v>
      </c>
      <c r="M23" s="282"/>
    </row>
    <row r="24" spans="1:15" ht="15" hidden="1" thickBot="1" x14ac:dyDescent="0.4">
      <c r="A24" s="521">
        <f t="shared" si="1"/>
        <v>44404.194444444453</v>
      </c>
      <c r="B24" s="519">
        <f t="shared" si="2"/>
        <v>44404.194444444453</v>
      </c>
      <c r="C24" s="520">
        <v>0</v>
      </c>
      <c r="D24" s="520" t="str">
        <f t="shared" si="0"/>
        <v/>
      </c>
      <c r="E24" s="519">
        <f t="shared" si="3"/>
        <v>44404.194444444453</v>
      </c>
      <c r="F24" s="522" t="s">
        <v>2543</v>
      </c>
      <c r="G24" s="523"/>
      <c r="H24" s="524"/>
      <c r="I24" s="524"/>
      <c r="J24" s="524"/>
      <c r="K24" s="524"/>
      <c r="L24" s="525"/>
      <c r="M24" s="526"/>
    </row>
    <row r="25" spans="1:15" ht="14.5" x14ac:dyDescent="0.35">
      <c r="A25" s="330">
        <f t="shared" si="1"/>
        <v>44404.194444444453</v>
      </c>
      <c r="B25" s="331">
        <f t="shared" si="2"/>
        <v>44404.194444444453</v>
      </c>
      <c r="C25" s="354">
        <v>0.52083333333333337</v>
      </c>
      <c r="D25" s="470" t="str">
        <f t="shared" si="0"/>
        <v/>
      </c>
      <c r="E25" s="331">
        <f t="shared" si="3"/>
        <v>44404.715277777788</v>
      </c>
      <c r="F25" s="471" t="s">
        <v>623</v>
      </c>
      <c r="G25" s="518"/>
      <c r="H25" s="472"/>
      <c r="I25" s="472">
        <v>270</v>
      </c>
      <c r="J25" s="472"/>
      <c r="K25" s="472"/>
      <c r="L25" s="473">
        <f t="shared" si="4"/>
        <v>270</v>
      </c>
      <c r="M25" s="474"/>
      <c r="N25" s="1096"/>
      <c r="O25" s="1096"/>
    </row>
    <row r="26" spans="1:15" ht="14.5" x14ac:dyDescent="0.35">
      <c r="A26" s="31">
        <f t="shared" si="1"/>
        <v>44404.715277777788</v>
      </c>
      <c r="B26" s="37">
        <f t="shared" si="2"/>
        <v>44404.715277777788</v>
      </c>
      <c r="C26" s="170">
        <v>0.27083333333333331</v>
      </c>
      <c r="D26" s="327" t="str">
        <f t="shared" si="0"/>
        <v/>
      </c>
      <c r="E26" s="37">
        <f t="shared" si="3"/>
        <v>44404.986111111124</v>
      </c>
      <c r="F26" s="270" t="s">
        <v>625</v>
      </c>
      <c r="G26" s="414"/>
      <c r="H26" s="283"/>
      <c r="I26" s="283"/>
      <c r="J26" s="283"/>
      <c r="K26" s="283">
        <v>450</v>
      </c>
      <c r="L26" s="337">
        <f t="shared" si="4"/>
        <v>450</v>
      </c>
      <c r="M26" s="282"/>
      <c r="N26" s="441" t="s">
        <v>2632</v>
      </c>
      <c r="O26" s="442">
        <f>SUM(L22:L26)</f>
        <v>990</v>
      </c>
    </row>
    <row r="27" spans="1:15" ht="14.5" x14ac:dyDescent="0.35">
      <c r="A27" s="31">
        <f t="shared" si="1"/>
        <v>44404.986111111124</v>
      </c>
      <c r="B27" s="37">
        <f t="shared" si="2"/>
        <v>44404.986111111124</v>
      </c>
      <c r="C27" s="170">
        <v>6.25E-2</v>
      </c>
      <c r="D27" s="327" t="str">
        <f t="shared" si="0"/>
        <v/>
      </c>
      <c r="E27" s="37">
        <f t="shared" si="3"/>
        <v>44405.048611111124</v>
      </c>
      <c r="F27" s="270" t="s">
        <v>2633</v>
      </c>
      <c r="G27" s="414"/>
      <c r="H27" s="283"/>
      <c r="I27" s="283"/>
      <c r="J27" s="283"/>
      <c r="K27" s="283"/>
      <c r="L27" s="337"/>
      <c r="M27" s="282"/>
      <c r="N27" s="441"/>
      <c r="O27" s="442"/>
    </row>
    <row r="28" spans="1:15" ht="14.5" x14ac:dyDescent="0.35">
      <c r="A28" s="31">
        <f t="shared" si="1"/>
        <v>44405.048611111124</v>
      </c>
      <c r="B28" s="37">
        <f t="shared" si="2"/>
        <v>44405.048611111124</v>
      </c>
      <c r="C28" s="170">
        <v>7.6388888888888895E-2</v>
      </c>
      <c r="D28" s="327" t="str">
        <f t="shared" si="0"/>
        <v/>
      </c>
      <c r="E28" s="37">
        <f t="shared" si="3"/>
        <v>44405.125000000015</v>
      </c>
      <c r="F28" s="270" t="s">
        <v>627</v>
      </c>
      <c r="G28" s="275"/>
      <c r="H28" s="283"/>
      <c r="I28" s="283"/>
      <c r="J28" s="283"/>
      <c r="K28" s="283">
        <v>461.78450126262624</v>
      </c>
      <c r="L28" s="337">
        <f t="shared" si="4"/>
        <v>461.78450126262624</v>
      </c>
      <c r="M28" s="282"/>
    </row>
    <row r="29" spans="1:15" ht="14.5" x14ac:dyDescent="0.35">
      <c r="A29" s="31">
        <f t="shared" si="1"/>
        <v>44405.125000000015</v>
      </c>
      <c r="B29" s="37">
        <f t="shared" si="2"/>
        <v>44405.125000000015</v>
      </c>
      <c r="C29" s="170">
        <v>6.25E-2</v>
      </c>
      <c r="D29" s="327" t="str">
        <f t="shared" si="0"/>
        <v/>
      </c>
      <c r="E29" s="37">
        <f t="shared" si="3"/>
        <v>44405.187500000015</v>
      </c>
      <c r="F29" s="270" t="s">
        <v>589</v>
      </c>
      <c r="G29" s="275"/>
      <c r="H29" s="283"/>
      <c r="I29" s="283"/>
      <c r="J29" s="283"/>
      <c r="K29" s="283"/>
      <c r="L29" s="337"/>
      <c r="M29" s="282"/>
      <c r="N29" s="1096"/>
      <c r="O29" s="1096"/>
    </row>
    <row r="30" spans="1:15" ht="14.5" x14ac:dyDescent="0.35">
      <c r="A30" s="31">
        <f t="shared" si="1"/>
        <v>44405.187500000015</v>
      </c>
      <c r="B30" s="37">
        <f t="shared" si="2"/>
        <v>44405.187500000015</v>
      </c>
      <c r="C30" s="170">
        <v>0.125</v>
      </c>
      <c r="D30" s="327" t="str">
        <f t="shared" si="0"/>
        <v/>
      </c>
      <c r="E30" s="37">
        <f t="shared" si="3"/>
        <v>44405.312500000015</v>
      </c>
      <c r="F30" s="270" t="s">
        <v>628</v>
      </c>
      <c r="G30" s="275"/>
      <c r="H30" s="283"/>
      <c r="I30" s="283"/>
      <c r="J30" s="283"/>
      <c r="K30" s="283"/>
      <c r="L30" s="337"/>
      <c r="M30" s="282"/>
      <c r="N30" s="441"/>
      <c r="O30" s="442"/>
    </row>
    <row r="31" spans="1:15" ht="14.5" hidden="1" x14ac:dyDescent="0.35">
      <c r="A31" s="563">
        <f t="shared" si="1"/>
        <v>44405.312500000015</v>
      </c>
      <c r="B31" s="564">
        <f t="shared" si="2"/>
        <v>44405.312500000015</v>
      </c>
      <c r="C31" s="562">
        <v>0</v>
      </c>
      <c r="D31" s="562"/>
      <c r="E31" s="605">
        <f t="shared" si="3"/>
        <v>44405.312500000015</v>
      </c>
      <c r="F31" s="750" t="s">
        <v>2634</v>
      </c>
      <c r="G31" s="751"/>
      <c r="H31" s="752"/>
      <c r="I31" s="752"/>
      <c r="J31" s="752"/>
      <c r="K31" s="752"/>
      <c r="L31" s="753"/>
      <c r="M31" s="754"/>
      <c r="N31" s="441"/>
      <c r="O31" s="442"/>
    </row>
    <row r="32" spans="1:15" ht="14.5" x14ac:dyDescent="0.35">
      <c r="A32" s="31">
        <f t="shared" si="1"/>
        <v>44405.312500000015</v>
      </c>
      <c r="B32" s="37">
        <f t="shared" si="2"/>
        <v>44405.312500000015</v>
      </c>
      <c r="C32" s="170">
        <v>3.4722222222222224E-2</v>
      </c>
      <c r="D32" s="327" t="str">
        <f t="shared" si="0"/>
        <v/>
      </c>
      <c r="E32" s="37">
        <f t="shared" si="3"/>
        <v>44405.347222222234</v>
      </c>
      <c r="F32" s="270" t="s">
        <v>629</v>
      </c>
      <c r="G32" s="275"/>
      <c r="H32" s="283"/>
      <c r="I32" s="283"/>
      <c r="J32" s="283"/>
      <c r="K32" s="283">
        <v>48.729924242424239</v>
      </c>
      <c r="L32" s="337">
        <f t="shared" si="4"/>
        <v>48.729924242424239</v>
      </c>
      <c r="M32" s="282"/>
      <c r="N32" s="441"/>
      <c r="O32" s="442"/>
    </row>
    <row r="33" spans="1:15" ht="14.5" x14ac:dyDescent="0.35">
      <c r="A33" s="31">
        <f t="shared" si="1"/>
        <v>44405.347222222234</v>
      </c>
      <c r="B33" s="37">
        <f t="shared" si="2"/>
        <v>44405.347222222234</v>
      </c>
      <c r="C33" s="170" t="s">
        <v>99</v>
      </c>
      <c r="D33" s="327" t="s">
        <v>99</v>
      </c>
      <c r="E33" s="37" t="s">
        <v>99</v>
      </c>
      <c r="F33" s="291" t="s">
        <v>631</v>
      </c>
      <c r="G33" s="275"/>
      <c r="H33" s="283"/>
      <c r="I33" s="283"/>
      <c r="J33" s="283"/>
      <c r="K33" s="283"/>
      <c r="L33" s="337"/>
      <c r="M33" s="282"/>
      <c r="N33" s="441"/>
      <c r="O33" s="442"/>
    </row>
    <row r="34" spans="1:15" ht="16.5" customHeight="1" x14ac:dyDescent="0.35">
      <c r="A34" s="31">
        <f>IF(D32 = "",A32+C32,A32+D32)</f>
        <v>44405.347222222234</v>
      </c>
      <c r="B34" s="37">
        <f>IF(D32 = "",B32+C32,B32+D32)</f>
        <v>44405.347222222234</v>
      </c>
      <c r="C34" s="170">
        <v>0.11458333333333333</v>
      </c>
      <c r="D34" s="327" t="str">
        <f t="shared" si="0"/>
        <v/>
      </c>
      <c r="E34" s="37">
        <f t="shared" si="3"/>
        <v>44405.461805555569</v>
      </c>
      <c r="F34" s="269" t="s">
        <v>589</v>
      </c>
      <c r="G34" s="275"/>
      <c r="H34" s="283"/>
      <c r="I34" s="283"/>
      <c r="J34" s="283"/>
      <c r="K34" s="283"/>
      <c r="L34" s="337"/>
      <c r="M34" s="282"/>
    </row>
    <row r="35" spans="1:15" s="267" customFormat="1" ht="14.9" hidden="1" customHeight="1" x14ac:dyDescent="0.25">
      <c r="A35" s="280" t="s">
        <v>591</v>
      </c>
      <c r="B35" s="280"/>
      <c r="C35" s="280"/>
      <c r="D35" s="280"/>
      <c r="E35" s="280"/>
      <c r="F35" s="280"/>
      <c r="G35" s="280"/>
      <c r="H35" s="284"/>
      <c r="I35" s="284"/>
      <c r="J35" s="284"/>
      <c r="K35" s="284"/>
      <c r="L35" s="285"/>
      <c r="M35" s="341"/>
    </row>
    <row r="36" spans="1:15" ht="15" customHeight="1" x14ac:dyDescent="0.35">
      <c r="A36" s="31">
        <f>IF(D34 = "",A34+C34,A34+D34)</f>
        <v>44405.461805555569</v>
      </c>
      <c r="B36" s="37">
        <f>IF(D34 = "",B34+C34,B34+D34)</f>
        <v>44405.461805555569</v>
      </c>
      <c r="C36" s="170">
        <v>1.3888888888888888E-2</v>
      </c>
      <c r="D36" s="327"/>
      <c r="E36" s="37">
        <f t="shared" si="3"/>
        <v>44405.47569444446</v>
      </c>
      <c r="F36" s="268" t="s">
        <v>632</v>
      </c>
      <c r="G36" s="275"/>
      <c r="H36" s="283"/>
      <c r="I36" s="283"/>
      <c r="J36" s="283">
        <v>53.22811529933481</v>
      </c>
      <c r="K36" s="283"/>
      <c r="L36" s="337">
        <f t="shared" si="4"/>
        <v>53.22811529933481</v>
      </c>
      <c r="M36" s="282"/>
    </row>
    <row r="37" spans="1:15" ht="14.5" x14ac:dyDescent="0.35">
      <c r="A37" s="31">
        <f t="shared" ref="A37:A42" si="5">IF(D36 = "",A36+C36,A36+D36)</f>
        <v>44405.47569444446</v>
      </c>
      <c r="B37" s="37">
        <f>IF(D36 = "",B36+C36,B36+D36)</f>
        <v>44405.47569444446</v>
      </c>
      <c r="C37" s="170">
        <v>0.1875</v>
      </c>
      <c r="D37" s="327"/>
      <c r="E37" s="37">
        <f t="shared" si="3"/>
        <v>44405.66319444446</v>
      </c>
      <c r="F37" s="268" t="s">
        <v>633</v>
      </c>
      <c r="G37" s="275"/>
      <c r="H37" s="283"/>
      <c r="I37" s="283"/>
      <c r="J37" s="283">
        <v>402.40454545454548</v>
      </c>
      <c r="K37" s="283"/>
      <c r="L37" s="337">
        <f t="shared" si="4"/>
        <v>402.40454545454548</v>
      </c>
      <c r="M37" s="282"/>
    </row>
    <row r="38" spans="1:15" ht="14.5" x14ac:dyDescent="0.35">
      <c r="A38" s="31">
        <f t="shared" si="5"/>
        <v>44405.66319444446</v>
      </c>
      <c r="B38" s="37">
        <f t="shared" ref="B38:B42" si="6">IF(D37 = "",B37+C37,B37+D37)</f>
        <v>44405.66319444446</v>
      </c>
      <c r="C38" s="170">
        <v>0.17361111111111113</v>
      </c>
      <c r="D38" s="327" t="str">
        <f t="shared" si="0"/>
        <v/>
      </c>
      <c r="E38" s="37">
        <f t="shared" si="3"/>
        <v>44405.836805555569</v>
      </c>
      <c r="F38" s="268" t="s">
        <v>634</v>
      </c>
      <c r="G38" s="275"/>
      <c r="H38" s="283"/>
      <c r="I38" s="283"/>
      <c r="J38" s="283">
        <v>401.28492239467846</v>
      </c>
      <c r="K38" s="283"/>
      <c r="L38" s="337">
        <f t="shared" si="4"/>
        <v>401.28492239467846</v>
      </c>
      <c r="M38" s="282"/>
    </row>
    <row r="39" spans="1:15" ht="14.5" x14ac:dyDescent="0.35">
      <c r="A39" s="31">
        <f t="shared" si="5"/>
        <v>44405.836805555569</v>
      </c>
      <c r="B39" s="37">
        <f t="shared" si="6"/>
        <v>44405.836805555569</v>
      </c>
      <c r="C39" s="170">
        <v>0.15625</v>
      </c>
      <c r="D39" s="327" t="str">
        <f t="shared" si="0"/>
        <v/>
      </c>
      <c r="E39" s="37">
        <f t="shared" si="3"/>
        <v>44405.993055555569</v>
      </c>
      <c r="F39" s="268" t="s">
        <v>635</v>
      </c>
      <c r="G39" s="275"/>
      <c r="H39" s="283"/>
      <c r="I39" s="283"/>
      <c r="J39" s="283">
        <v>401.58048780487803</v>
      </c>
      <c r="K39" s="283"/>
      <c r="L39" s="337">
        <f t="shared" si="4"/>
        <v>401.58048780487803</v>
      </c>
      <c r="M39" s="282"/>
    </row>
    <row r="40" spans="1:15" ht="14.5" x14ac:dyDescent="0.35">
      <c r="A40" s="31">
        <f t="shared" si="5"/>
        <v>44405.993055555569</v>
      </c>
      <c r="B40" s="37">
        <f t="shared" si="6"/>
        <v>44405.993055555569</v>
      </c>
      <c r="C40" s="170">
        <v>0.14583333333333334</v>
      </c>
      <c r="D40" s="327" t="str">
        <f t="shared" si="0"/>
        <v/>
      </c>
      <c r="E40" s="37">
        <f t="shared" si="3"/>
        <v>44406.138888888905</v>
      </c>
      <c r="F40" s="268" t="s">
        <v>636</v>
      </c>
      <c r="G40" s="275"/>
      <c r="H40" s="283"/>
      <c r="I40" s="283"/>
      <c r="J40" s="283">
        <v>302.87261640798226</v>
      </c>
      <c r="K40" s="283"/>
      <c r="L40" s="337">
        <f t="shared" si="4"/>
        <v>302.87261640798226</v>
      </c>
      <c r="M40" s="282"/>
      <c r="N40" s="441" t="s">
        <v>2635</v>
      </c>
      <c r="O40" s="442">
        <f>SUM(L28:L40)</f>
        <v>2071.8851128664696</v>
      </c>
    </row>
    <row r="41" spans="1:15" ht="14.5" x14ac:dyDescent="0.35">
      <c r="A41" s="31">
        <f t="shared" si="5"/>
        <v>44406.138888888905</v>
      </c>
      <c r="B41" s="37">
        <f t="shared" si="6"/>
        <v>44406.138888888905</v>
      </c>
      <c r="C41" s="170">
        <v>2.0833333333333332E-2</v>
      </c>
      <c r="D41" s="327" t="str">
        <f t="shared" si="0"/>
        <v/>
      </c>
      <c r="E41" s="37">
        <f t="shared" si="3"/>
        <v>44406.159722222241</v>
      </c>
      <c r="F41" s="268" t="s">
        <v>637</v>
      </c>
      <c r="G41" s="275"/>
      <c r="H41" s="283"/>
      <c r="I41" s="283"/>
      <c r="J41" s="283"/>
      <c r="K41" s="283"/>
      <c r="L41" s="337"/>
      <c r="M41" s="282"/>
      <c r="N41" s="1096"/>
      <c r="O41" s="1096"/>
    </row>
    <row r="42" spans="1:15" ht="14.5" x14ac:dyDescent="0.35">
      <c r="A42" s="31">
        <f t="shared" si="5"/>
        <v>44406.159722222241</v>
      </c>
      <c r="B42" s="37">
        <f t="shared" si="6"/>
        <v>44406.159722222241</v>
      </c>
      <c r="C42" s="170" t="s">
        <v>99</v>
      </c>
      <c r="D42" s="327" t="s">
        <v>99</v>
      </c>
      <c r="E42" s="37" t="s">
        <v>99</v>
      </c>
      <c r="F42" s="292" t="s">
        <v>638</v>
      </c>
      <c r="G42" s="275"/>
      <c r="H42" s="283"/>
      <c r="I42" s="283"/>
      <c r="J42" s="283"/>
      <c r="K42" s="283"/>
      <c r="L42" s="337"/>
      <c r="M42" s="282"/>
      <c r="N42" s="441"/>
      <c r="O42" s="442"/>
    </row>
    <row r="43" spans="1:15" ht="14.5" x14ac:dyDescent="0.35">
      <c r="A43" s="31">
        <f>IF(D41 = "",A41+C41,A41+D41)</f>
        <v>44406.159722222241</v>
      </c>
      <c r="B43" s="37">
        <f>IF(D41 = "",B41+C41,B41+D41)</f>
        <v>44406.159722222241</v>
      </c>
      <c r="C43" s="170">
        <v>6.5972222222222224E-2</v>
      </c>
      <c r="D43" s="327" t="str">
        <f t="shared" si="0"/>
        <v/>
      </c>
      <c r="E43" s="37">
        <f t="shared" si="3"/>
        <v>44406.22569444446</v>
      </c>
      <c r="F43" s="268" t="s">
        <v>639</v>
      </c>
      <c r="G43" s="275"/>
      <c r="H43" s="283"/>
      <c r="I43" s="283"/>
      <c r="J43" s="283"/>
      <c r="K43" s="283"/>
      <c r="L43" s="337"/>
      <c r="M43" s="282"/>
      <c r="N43" s="441"/>
      <c r="O43" s="442"/>
    </row>
    <row r="44" spans="1:15" x14ac:dyDescent="0.25">
      <c r="A44" s="1070" t="s">
        <v>640</v>
      </c>
      <c r="B44" s="1070"/>
      <c r="C44" s="1070"/>
      <c r="D44" s="1070"/>
      <c r="E44" s="1070"/>
      <c r="F44" s="1070"/>
      <c r="G44" s="1071"/>
      <c r="H44" s="286"/>
      <c r="I44" s="286"/>
      <c r="J44" s="286"/>
      <c r="K44" s="286"/>
      <c r="L44" s="339"/>
      <c r="M44" s="286"/>
    </row>
    <row r="45" spans="1:15" ht="14.5" x14ac:dyDescent="0.35">
      <c r="A45" s="31">
        <f>IF(D43 = "",A43+C43,A43+D43)</f>
        <v>44406.22569444446</v>
      </c>
      <c r="B45" s="37">
        <f>IF(D43 = "",B43+C43,B43+D43)</f>
        <v>44406.22569444446</v>
      </c>
      <c r="C45" s="170">
        <v>1.0416666666666666E-2</v>
      </c>
      <c r="D45" s="327" t="str">
        <f t="shared" si="0"/>
        <v/>
      </c>
      <c r="E45" s="37">
        <f t="shared" si="3"/>
        <v>44406.236111111124</v>
      </c>
      <c r="F45" s="273" t="s">
        <v>641</v>
      </c>
      <c r="G45" s="275"/>
      <c r="H45" s="283"/>
      <c r="I45" s="283"/>
      <c r="J45" s="283"/>
      <c r="K45" s="283">
        <v>133.60631313131313</v>
      </c>
      <c r="L45" s="337">
        <f t="shared" si="4"/>
        <v>133.60631313131313</v>
      </c>
      <c r="M45" s="282"/>
    </row>
    <row r="46" spans="1:15" ht="14.5" x14ac:dyDescent="0.35">
      <c r="A46" s="31">
        <f>IF(D45 = "",A45+C45,A45+D45)</f>
        <v>44406.236111111124</v>
      </c>
      <c r="B46" s="37">
        <f t="shared" ref="B46:B47" si="7">IF(D44 = "",B44+C44,B44+D44)</f>
        <v>0</v>
      </c>
      <c r="C46" s="170">
        <v>1.0416666666666666E-2</v>
      </c>
      <c r="D46" s="327"/>
      <c r="E46" s="37">
        <f t="shared" si="3"/>
        <v>1.0416666666666666E-2</v>
      </c>
      <c r="F46" s="273" t="s">
        <v>2636</v>
      </c>
      <c r="G46" s="275"/>
      <c r="H46" s="283"/>
      <c r="I46" s="283"/>
      <c r="J46" s="283"/>
      <c r="K46" s="283"/>
      <c r="L46" s="337"/>
      <c r="M46" s="282"/>
    </row>
    <row r="47" spans="1:15" ht="14.5" x14ac:dyDescent="0.35">
      <c r="A47" s="31">
        <f t="shared" ref="A47" si="8">IF(D45 = "",A45+C45,A45+D45)</f>
        <v>44406.236111111124</v>
      </c>
      <c r="B47" s="37">
        <f t="shared" si="7"/>
        <v>44406.236111111124</v>
      </c>
      <c r="C47" s="170">
        <v>9.375E-2</v>
      </c>
      <c r="D47" s="327" t="str">
        <f t="shared" si="0"/>
        <v/>
      </c>
      <c r="E47" s="37">
        <f t="shared" si="3"/>
        <v>44406.329861111124</v>
      </c>
      <c r="F47" s="269" t="s">
        <v>642</v>
      </c>
      <c r="G47" s="275"/>
      <c r="H47" s="283"/>
      <c r="I47" s="283"/>
      <c r="J47" s="283"/>
      <c r="K47" s="283">
        <v>1621.7</v>
      </c>
      <c r="L47" s="337">
        <f t="shared" si="4"/>
        <v>1621.7</v>
      </c>
      <c r="M47" s="282"/>
    </row>
    <row r="48" spans="1:15" ht="14.5" x14ac:dyDescent="0.35">
      <c r="A48" s="31">
        <f t="shared" ref="A48:A57" si="9">IF(D47 = "",A47+C47,A47+D47)</f>
        <v>44406.329861111124</v>
      </c>
      <c r="B48" s="37">
        <f t="shared" ref="B48:B57" si="10">IF(D47 = "",B47+C47,B47+D47)</f>
        <v>44406.329861111124</v>
      </c>
      <c r="C48" s="170">
        <v>0.1388888888888889</v>
      </c>
      <c r="D48" s="327" t="str">
        <f t="shared" si="0"/>
        <v/>
      </c>
      <c r="E48" s="37">
        <f t="shared" si="3"/>
        <v>44406.468750000015</v>
      </c>
      <c r="F48" s="269" t="s">
        <v>643</v>
      </c>
      <c r="G48" s="275"/>
      <c r="H48" s="283"/>
      <c r="I48" s="283"/>
      <c r="J48" s="283"/>
      <c r="K48" s="283">
        <v>260</v>
      </c>
      <c r="L48" s="337">
        <f t="shared" si="4"/>
        <v>260</v>
      </c>
      <c r="M48" s="282"/>
    </row>
    <row r="49" spans="1:15" ht="14.5" x14ac:dyDescent="0.35">
      <c r="A49" s="31">
        <f t="shared" si="9"/>
        <v>44406.468750000015</v>
      </c>
      <c r="B49" s="37">
        <f t="shared" si="10"/>
        <v>44406.468750000015</v>
      </c>
      <c r="C49" s="170">
        <v>0.1388888888888889</v>
      </c>
      <c r="D49" s="327" t="str">
        <f t="shared" si="0"/>
        <v/>
      </c>
      <c r="E49" s="37">
        <f t="shared" si="3"/>
        <v>44406.607638888905</v>
      </c>
      <c r="F49" s="269" t="s">
        <v>645</v>
      </c>
      <c r="G49" s="275"/>
      <c r="H49" s="283"/>
      <c r="I49" s="283"/>
      <c r="J49" s="283"/>
      <c r="K49" s="283">
        <v>260</v>
      </c>
      <c r="L49" s="337">
        <f t="shared" si="4"/>
        <v>260</v>
      </c>
      <c r="M49" s="282"/>
    </row>
    <row r="50" spans="1:15" ht="14.5" x14ac:dyDescent="0.35">
      <c r="A50" s="31">
        <f t="shared" si="9"/>
        <v>44406.607638888905</v>
      </c>
      <c r="B50" s="37">
        <f t="shared" si="10"/>
        <v>44406.607638888905</v>
      </c>
      <c r="C50" s="170">
        <v>0.1388888888888889</v>
      </c>
      <c r="D50" s="327" t="str">
        <f t="shared" si="0"/>
        <v/>
      </c>
      <c r="E50" s="37">
        <f t="shared" si="3"/>
        <v>44406.746527777796</v>
      </c>
      <c r="F50" s="269" t="s">
        <v>646</v>
      </c>
      <c r="G50" s="275"/>
      <c r="H50" s="283"/>
      <c r="I50" s="283"/>
      <c r="J50" s="283"/>
      <c r="K50" s="283">
        <v>260</v>
      </c>
      <c r="L50" s="337">
        <f t="shared" si="4"/>
        <v>260</v>
      </c>
      <c r="M50" s="282"/>
    </row>
    <row r="51" spans="1:15" ht="14.5" x14ac:dyDescent="0.35">
      <c r="A51" s="31">
        <f t="shared" si="9"/>
        <v>44406.746527777796</v>
      </c>
      <c r="B51" s="37">
        <f t="shared" si="10"/>
        <v>44406.746527777796</v>
      </c>
      <c r="C51" s="271">
        <v>8.3333333333333329E-2</v>
      </c>
      <c r="D51" s="327" t="str">
        <f t="shared" si="0"/>
        <v/>
      </c>
      <c r="E51" s="37">
        <f t="shared" si="3"/>
        <v>44406.829861111131</v>
      </c>
      <c r="F51" s="269" t="s">
        <v>647</v>
      </c>
      <c r="G51" s="275"/>
      <c r="H51" s="283"/>
      <c r="I51" s="283"/>
      <c r="J51" s="283"/>
      <c r="K51" s="283"/>
      <c r="L51" s="337"/>
      <c r="M51" s="282"/>
    </row>
    <row r="52" spans="1:15" ht="14.5" x14ac:dyDescent="0.35">
      <c r="A52" s="31">
        <f t="shared" si="9"/>
        <v>44406.829861111131</v>
      </c>
      <c r="B52" s="37">
        <f t="shared" si="10"/>
        <v>44406.829861111131</v>
      </c>
      <c r="C52" s="271">
        <v>4.1666666666666664E-2</v>
      </c>
      <c r="D52" s="327"/>
      <c r="E52" s="37">
        <f t="shared" si="3"/>
        <v>44406.871527777796</v>
      </c>
      <c r="F52" s="269" t="s">
        <v>597</v>
      </c>
      <c r="G52" s="275"/>
      <c r="H52" s="283"/>
      <c r="I52" s="283"/>
      <c r="J52" s="283"/>
      <c r="K52" s="283"/>
      <c r="L52" s="337"/>
      <c r="M52" s="282"/>
    </row>
    <row r="53" spans="1:15" ht="14.5" x14ac:dyDescent="0.35">
      <c r="A53" s="31">
        <f t="shared" si="9"/>
        <v>44406.871527777796</v>
      </c>
      <c r="B53" s="37">
        <f t="shared" si="10"/>
        <v>44406.871527777796</v>
      </c>
      <c r="C53" s="271">
        <v>3.125E-2</v>
      </c>
      <c r="D53" s="327" t="str">
        <f t="shared" si="0"/>
        <v/>
      </c>
      <c r="E53" s="37">
        <f t="shared" si="3"/>
        <v>44406.902777777796</v>
      </c>
      <c r="F53" s="269" t="s">
        <v>642</v>
      </c>
      <c r="G53" s="275"/>
      <c r="H53" s="283"/>
      <c r="I53" s="283"/>
      <c r="J53" s="283"/>
      <c r="K53" s="283">
        <v>1206.9000000000001</v>
      </c>
      <c r="L53" s="337">
        <f t="shared" si="4"/>
        <v>1206.9000000000001</v>
      </c>
      <c r="M53" s="282"/>
    </row>
    <row r="54" spans="1:15" ht="14.5" x14ac:dyDescent="0.35">
      <c r="A54" s="31">
        <f t="shared" si="9"/>
        <v>44406.902777777796</v>
      </c>
      <c r="B54" s="37">
        <f t="shared" si="10"/>
        <v>44406.902777777796</v>
      </c>
      <c r="C54" s="170">
        <v>0.10416666666666667</v>
      </c>
      <c r="D54" s="327" t="str">
        <f t="shared" si="0"/>
        <v/>
      </c>
      <c r="E54" s="37">
        <f t="shared" si="3"/>
        <v>44407.00694444446</v>
      </c>
      <c r="F54" s="269" t="s">
        <v>647</v>
      </c>
      <c r="G54" s="275"/>
      <c r="H54" s="283"/>
      <c r="I54" s="283"/>
      <c r="J54" s="283"/>
      <c r="K54" s="283"/>
      <c r="L54" s="337"/>
      <c r="M54" s="282"/>
    </row>
    <row r="55" spans="1:15" ht="14.5" x14ac:dyDescent="0.35">
      <c r="A55" s="31">
        <f t="shared" si="9"/>
        <v>44407.00694444446</v>
      </c>
      <c r="B55" s="37">
        <f t="shared" si="10"/>
        <v>44407.00694444446</v>
      </c>
      <c r="C55" s="170">
        <v>6.9444444444444434E-2</v>
      </c>
      <c r="D55" s="327" t="str">
        <f t="shared" si="0"/>
        <v/>
      </c>
      <c r="E55" s="37">
        <f t="shared" si="3"/>
        <v>44407.076388888905</v>
      </c>
      <c r="F55" s="269" t="s">
        <v>648</v>
      </c>
      <c r="G55" s="275"/>
      <c r="H55" s="283"/>
      <c r="I55" s="283"/>
      <c r="J55" s="283"/>
      <c r="K55" s="283"/>
      <c r="L55" s="337"/>
      <c r="M55" s="282"/>
    </row>
    <row r="56" spans="1:15" s="267" customFormat="1" ht="16.399999999999999" customHeight="1" x14ac:dyDescent="0.35">
      <c r="A56" s="31">
        <f t="shared" si="9"/>
        <v>44407.076388888905</v>
      </c>
      <c r="B56" s="37">
        <f t="shared" si="10"/>
        <v>44407.076388888905</v>
      </c>
      <c r="C56" s="170">
        <v>2.0833333333333332E-2</v>
      </c>
      <c r="D56" s="327" t="str">
        <f t="shared" si="0"/>
        <v/>
      </c>
      <c r="E56" s="37">
        <f t="shared" si="3"/>
        <v>44407.097222222241</v>
      </c>
      <c r="F56" s="273" t="s">
        <v>649</v>
      </c>
      <c r="G56" s="276"/>
      <c r="H56" s="283"/>
      <c r="I56" s="283"/>
      <c r="J56" s="283"/>
      <c r="K56" s="283">
        <v>36.920694444444443</v>
      </c>
      <c r="L56" s="337">
        <f>SUM(H56:K56)</f>
        <v>36.920694444444443</v>
      </c>
      <c r="M56" s="282"/>
      <c r="N56" s="1096"/>
      <c r="O56" s="1096"/>
    </row>
    <row r="57" spans="1:15" ht="14.5" x14ac:dyDescent="0.35">
      <c r="A57" s="31">
        <f t="shared" si="9"/>
        <v>44407.097222222241</v>
      </c>
      <c r="B57" s="37">
        <f t="shared" si="10"/>
        <v>44407.097222222241</v>
      </c>
      <c r="C57" s="170" t="s">
        <v>99</v>
      </c>
      <c r="D57" s="327" t="s">
        <v>99</v>
      </c>
      <c r="E57" s="37" t="s">
        <v>99</v>
      </c>
      <c r="F57" s="293" t="s">
        <v>650</v>
      </c>
      <c r="G57" s="275"/>
      <c r="H57" s="283"/>
      <c r="I57" s="283"/>
      <c r="J57" s="283"/>
      <c r="K57" s="283"/>
      <c r="L57" s="337"/>
      <c r="M57" s="282"/>
      <c r="N57" s="441"/>
      <c r="O57" s="442"/>
    </row>
    <row r="58" spans="1:15" ht="14.5" x14ac:dyDescent="0.35">
      <c r="A58" s="31">
        <f>IF(D56 = "",A56+C56,A56+D56)</f>
        <v>44407.097222222241</v>
      </c>
      <c r="B58" s="37">
        <f>IF(D56 = "",B56+C56,B56+D56)</f>
        <v>44407.097222222241</v>
      </c>
      <c r="C58" s="170">
        <v>0.10416666666666667</v>
      </c>
      <c r="D58" s="327" t="str">
        <f t="shared" si="0"/>
        <v/>
      </c>
      <c r="E58" s="37">
        <f t="shared" si="3"/>
        <v>44407.201388888905</v>
      </c>
      <c r="F58" s="269" t="s">
        <v>647</v>
      </c>
      <c r="G58" s="275"/>
      <c r="H58" s="283"/>
      <c r="I58" s="283"/>
      <c r="J58" s="283"/>
      <c r="K58" s="283"/>
      <c r="L58" s="337"/>
      <c r="M58" s="282"/>
      <c r="N58" s="441"/>
      <c r="O58" s="442"/>
    </row>
    <row r="59" spans="1:15" ht="14.5" x14ac:dyDescent="0.35">
      <c r="A59" s="31">
        <f>IF(D58 = "",A58+C58,A58+D58)</f>
        <v>44407.201388888905</v>
      </c>
      <c r="B59" s="37">
        <f>IF(D58 = "",B58+C58,B58+D58)</f>
        <v>44407.201388888905</v>
      </c>
      <c r="C59" s="170">
        <v>0.10416666666666667</v>
      </c>
      <c r="D59" s="327" t="str">
        <f t="shared" si="0"/>
        <v/>
      </c>
      <c r="E59" s="37">
        <f t="shared" si="3"/>
        <v>44407.305555555569</v>
      </c>
      <c r="F59" s="269" t="s">
        <v>656</v>
      </c>
      <c r="G59" s="275"/>
      <c r="H59" s="283"/>
      <c r="I59" s="283"/>
      <c r="J59" s="283"/>
      <c r="K59" s="283"/>
      <c r="L59" s="337"/>
      <c r="M59" s="282"/>
      <c r="O59" s="530">
        <f>SUM(L45:L59)</f>
        <v>3779.1270075757575</v>
      </c>
    </row>
    <row r="60" spans="1:15" s="267" customFormat="1" ht="11.9" customHeight="1" x14ac:dyDescent="0.25">
      <c r="A60" s="280" t="s">
        <v>664</v>
      </c>
      <c r="B60" s="280"/>
      <c r="C60" s="280"/>
      <c r="D60" s="280"/>
      <c r="E60" s="280"/>
      <c r="F60" s="280"/>
      <c r="G60" s="775"/>
      <c r="H60" s="776"/>
      <c r="I60" s="776"/>
      <c r="J60" s="776"/>
      <c r="K60" s="776"/>
      <c r="L60" s="776"/>
      <c r="M60" s="342"/>
    </row>
    <row r="61" spans="1:15" s="267" customFormat="1" ht="14.5" x14ac:dyDescent="0.25">
      <c r="A61" s="31">
        <f>E59</f>
        <v>44407.305555555569</v>
      </c>
      <c r="B61" s="37">
        <f>E59</f>
        <v>44407.305555555569</v>
      </c>
      <c r="C61" s="170">
        <v>8.3333333333333329E-2</v>
      </c>
      <c r="D61" s="327"/>
      <c r="E61" s="37">
        <f>B61+C61</f>
        <v>44407.388888888905</v>
      </c>
      <c r="F61" s="294" t="s">
        <v>666</v>
      </c>
      <c r="G61" s="288"/>
      <c r="H61" s="288"/>
      <c r="I61" s="288"/>
      <c r="J61" s="288"/>
      <c r="K61" s="288"/>
      <c r="L61" s="288"/>
      <c r="M61" s="288"/>
      <c r="N61" s="25"/>
      <c r="O61" s="25"/>
    </row>
    <row r="62" spans="1:15" ht="21" x14ac:dyDescent="0.55000000000000004">
      <c r="A62" s="34"/>
      <c r="B62" s="33" t="s">
        <v>534</v>
      </c>
      <c r="C62" s="32">
        <f>SUM(C45:C59,C14:C34,C36:C43)</f>
        <v>3.9409722222222228</v>
      </c>
      <c r="D62" s="32">
        <f>SUM(D45:D59,D14:D34,D36:D43,D61:D61)</f>
        <v>0</v>
      </c>
      <c r="G62" s="274" t="s">
        <v>607</v>
      </c>
      <c r="H62" s="287">
        <f t="shared" ref="H62:M62" si="11">SUM(H45:H59,H36:H43,H14:H34)</f>
        <v>510</v>
      </c>
      <c r="I62" s="287">
        <f t="shared" si="11"/>
        <v>1071.6359978316327</v>
      </c>
      <c r="J62" s="287">
        <f t="shared" si="11"/>
        <v>1852.2354323725056</v>
      </c>
      <c r="K62" s="287">
        <f t="shared" si="11"/>
        <v>4920.1338573232324</v>
      </c>
      <c r="L62" s="287">
        <f t="shared" si="11"/>
        <v>7844.0052875273714</v>
      </c>
      <c r="M62" s="527">
        <f t="shared" si="11"/>
        <v>510</v>
      </c>
    </row>
    <row r="63" spans="1:15" x14ac:dyDescent="0.25">
      <c r="B63" s="31" t="s">
        <v>536</v>
      </c>
      <c r="C63" s="112">
        <f>(C62/24)</f>
        <v>0.16420717592592596</v>
      </c>
      <c r="D63" s="112">
        <f>(D62/24)</f>
        <v>0</v>
      </c>
      <c r="G63" s="26"/>
      <c r="H63" s="26"/>
      <c r="I63" s="26"/>
      <c r="J63" s="26"/>
    </row>
    <row r="64" spans="1:15" x14ac:dyDescent="0.25">
      <c r="C64" s="262"/>
      <c r="D64" s="262"/>
      <c r="G64" s="26"/>
      <c r="H64" s="26"/>
      <c r="I64" s="26"/>
      <c r="J64" s="26"/>
    </row>
    <row r="65" spans="7:10" x14ac:dyDescent="0.25">
      <c r="G65" s="26"/>
      <c r="H65" s="26"/>
      <c r="I65" s="26"/>
      <c r="J65" s="26"/>
    </row>
    <row r="66" spans="7:10" x14ac:dyDescent="0.25">
      <c r="G66" s="26"/>
      <c r="H66" s="26"/>
      <c r="I66" s="26"/>
      <c r="J66" s="26"/>
    </row>
    <row r="67" spans="7:10" x14ac:dyDescent="0.25">
      <c r="G67" s="26"/>
      <c r="H67" s="26"/>
      <c r="I67" s="26"/>
      <c r="J67" s="26"/>
    </row>
    <row r="68" spans="7:10" x14ac:dyDescent="0.25">
      <c r="G68" s="26"/>
      <c r="H68" s="26"/>
      <c r="I68" s="26"/>
      <c r="J68" s="26"/>
    </row>
    <row r="69" spans="7:10" x14ac:dyDescent="0.25">
      <c r="G69" s="26"/>
      <c r="H69" s="26"/>
      <c r="I69" s="26"/>
      <c r="J69" s="26"/>
    </row>
    <row r="70" spans="7:10" x14ac:dyDescent="0.25">
      <c r="G70" s="26"/>
      <c r="H70" s="26"/>
      <c r="I70" s="26"/>
      <c r="J70" s="26"/>
    </row>
    <row r="71" spans="7:10" x14ac:dyDescent="0.25">
      <c r="G71" s="26"/>
      <c r="H71" s="26"/>
      <c r="I71" s="26"/>
      <c r="J71" s="26"/>
    </row>
    <row r="72" spans="7:10" x14ac:dyDescent="0.25">
      <c r="G72" s="26"/>
      <c r="H72" s="26"/>
      <c r="I72" s="26"/>
      <c r="J72" s="26"/>
    </row>
    <row r="73" spans="7:10" x14ac:dyDescent="0.25">
      <c r="G73" s="26"/>
      <c r="H73" s="26"/>
      <c r="I73" s="26"/>
      <c r="J73" s="26"/>
    </row>
    <row r="74" spans="7:10" x14ac:dyDescent="0.25">
      <c r="G74" s="26"/>
      <c r="H74" s="26"/>
      <c r="I74" s="26"/>
      <c r="J74" s="26"/>
    </row>
    <row r="75" spans="7:10" x14ac:dyDescent="0.25">
      <c r="G75" s="26"/>
      <c r="H75" s="26"/>
      <c r="I75" s="26"/>
      <c r="J75" s="26"/>
    </row>
    <row r="76" spans="7:10" x14ac:dyDescent="0.25">
      <c r="G76" s="26"/>
      <c r="H76" s="26"/>
      <c r="I76" s="26"/>
      <c r="J76" s="26"/>
    </row>
    <row r="77" spans="7:10" x14ac:dyDescent="0.25">
      <c r="G77" s="26"/>
      <c r="H77" s="26"/>
      <c r="I77" s="26"/>
      <c r="J77" s="26"/>
    </row>
    <row r="78" spans="7:10" x14ac:dyDescent="0.25">
      <c r="G78" s="26"/>
      <c r="H78" s="26"/>
      <c r="I78" s="26"/>
      <c r="J78" s="26"/>
    </row>
    <row r="79" spans="7:10" x14ac:dyDescent="0.25">
      <c r="G79" s="26"/>
      <c r="H79" s="26"/>
      <c r="I79" s="26"/>
      <c r="J79" s="26"/>
    </row>
    <row r="80" spans="7:10" x14ac:dyDescent="0.25">
      <c r="G80" s="26"/>
      <c r="H80" s="26"/>
      <c r="I80" s="26"/>
      <c r="J80" s="26"/>
    </row>
    <row r="81" spans="6:10" x14ac:dyDescent="0.25">
      <c r="G81" s="26"/>
      <c r="H81" s="26"/>
      <c r="I81" s="26"/>
      <c r="J81" s="26"/>
    </row>
    <row r="82" spans="6:10" x14ac:dyDescent="0.25">
      <c r="G82" s="26"/>
      <c r="H82" s="26"/>
      <c r="I82" s="26"/>
      <c r="J82" s="26"/>
    </row>
    <row r="83" spans="6:10" x14ac:dyDescent="0.25">
      <c r="G83" s="26"/>
      <c r="H83" s="26"/>
      <c r="I83" s="26"/>
      <c r="J83" s="26"/>
    </row>
    <row r="84" spans="6:10" x14ac:dyDescent="0.25">
      <c r="F84" s="26"/>
    </row>
    <row r="85" spans="6:10" x14ac:dyDescent="0.25">
      <c r="F85" s="26"/>
    </row>
  </sheetData>
  <mergeCells count="7">
    <mergeCell ref="N56:O56"/>
    <mergeCell ref="A1:B1"/>
    <mergeCell ref="N14:O14"/>
    <mergeCell ref="N25:O25"/>
    <mergeCell ref="N29:O29"/>
    <mergeCell ref="N41:O41"/>
    <mergeCell ref="A44:G44"/>
  </mergeCells>
  <pageMargins left="0.75" right="0.75" top="1" bottom="1" header="0.5" footer="0.5"/>
  <pageSetup orientation="portrait" r:id="rId1"/>
  <headerFooter alignWithMargins="0">
    <oddFooter>&amp;R&amp;"Arial,Regular"&amp;08&amp;K7F7F7FAmgen Proprietary - Confidential   &amp;C&amp;"Arial,Regular"&amp;08&amp;K7F7F7FAmgen Proprietary - For Internal Use Only</oddFooter>
    <evenFooter>&amp;R&amp;"Arial,Regular"&amp;08&amp;K7F7F7FAmgen Proprietary - Confidential   &amp;C&amp;"Arial,Regular"&amp;08&amp;K7F7F7FAmgen Proprietary - For Internal Use Only</evenFooter>
    <firstFooter>&amp;R&amp;"Arial,Regular"&amp;08&amp;K7F7F7FAmgen Proprietary - Confidential   &amp;C&amp;"Arial,Regular"&amp;08&amp;K7F7F7FAmgen Proprietary - For Internal Use Only</firstFooter>
  </headerFooter>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B162B2-5BCA-43DB-B643-58C01935369E}">
  <sheetPr codeName="Sheet92">
    <pageSetUpPr autoPageBreaks="0"/>
  </sheetPr>
  <dimension ref="A1:G44"/>
  <sheetViews>
    <sheetView topLeftCell="A5" zoomScale="122" zoomScaleNormal="140" workbookViewId="0">
      <selection activeCell="E9" sqref="E9"/>
    </sheetView>
  </sheetViews>
  <sheetFormatPr defaultColWidth="23.453125" defaultRowHeight="11.5" x14ac:dyDescent="0.25"/>
  <cols>
    <col min="1" max="2" width="27.453125" style="25" bestFit="1" customWidth="1"/>
    <col min="3" max="3" width="23.453125" style="25"/>
    <col min="4" max="4" width="23.453125" style="25" hidden="1" customWidth="1"/>
    <col min="5" max="5" width="23.453125" style="25"/>
    <col min="6" max="6" width="47.453125" style="25" bestFit="1" customWidth="1"/>
    <col min="7" max="7" width="27.453125" style="25" customWidth="1"/>
    <col min="8" max="8" width="15.453125" style="25" customWidth="1"/>
    <col min="9" max="9" width="14.54296875" style="25" customWidth="1"/>
    <col min="10" max="10" width="13.453125" style="25" customWidth="1"/>
    <col min="11" max="16384" width="23.453125" style="25"/>
  </cols>
  <sheetData>
    <row r="1" spans="1:7" ht="12" thickBot="1" x14ac:dyDescent="0.3">
      <c r="A1" s="1053" t="s">
        <v>479</v>
      </c>
      <c r="B1" s="1054"/>
    </row>
    <row r="2" spans="1:7" x14ac:dyDescent="0.25">
      <c r="A2" s="43" t="s">
        <v>480</v>
      </c>
      <c r="B2" s="44">
        <f>A11</f>
        <v>44424.385416666664</v>
      </c>
    </row>
    <row r="3" spans="1:7" ht="12" thickBot="1" x14ac:dyDescent="0.3">
      <c r="A3" s="42" t="s">
        <v>482</v>
      </c>
      <c r="B3" s="45">
        <f>A11</f>
        <v>44424.385416666664</v>
      </c>
    </row>
    <row r="5" spans="1:7" x14ac:dyDescent="0.25">
      <c r="A5" s="1049" t="s">
        <v>484</v>
      </c>
      <c r="B5" s="1050"/>
      <c r="C5" s="1050"/>
      <c r="D5" s="1051"/>
    </row>
    <row r="6" spans="1:7" x14ac:dyDescent="0.25">
      <c r="A6" s="781" t="s">
        <v>2563</v>
      </c>
      <c r="B6" s="781" t="s">
        <v>486</v>
      </c>
      <c r="C6" s="781" t="s">
        <v>487</v>
      </c>
      <c r="D6" s="781" t="s">
        <v>488</v>
      </c>
    </row>
    <row r="7" spans="1:7" x14ac:dyDescent="0.25">
      <c r="A7" s="41" t="str">
        <f>F13</f>
        <v xml:space="preserve">IPC: LC for reaction conversion </v>
      </c>
      <c r="B7" s="40">
        <f>INDEX($A$11:$A$59,MATCH(A7,$F$11:$F$56,0))</f>
        <v>44424.677083333328</v>
      </c>
      <c r="C7" s="37">
        <f>INDEX($A$11:$A$59,MATCH(A7,$F$11:$F$59,0))</f>
        <v>44424.677083333328</v>
      </c>
      <c r="D7" s="37"/>
    </row>
    <row r="8" spans="1:7" x14ac:dyDescent="0.25">
      <c r="A8" s="41" t="str">
        <f>F17</f>
        <v xml:space="preserve">IPC: LOD </v>
      </c>
      <c r="B8" s="40">
        <f>INDEX($A$11:$A$59,MATCH(A8,$F$11:$F$56,0))</f>
        <v>44425.680555555555</v>
      </c>
      <c r="C8" s="37">
        <f>INDEX($A$11:$A$59,MATCH(A8,$F$11:$F$59,0))</f>
        <v>44425.680555555555</v>
      </c>
      <c r="D8" s="37"/>
    </row>
    <row r="9" spans="1:7" ht="12" thickBot="1" x14ac:dyDescent="0.3"/>
    <row r="10" spans="1:7" ht="23.5" thickBot="1" x14ac:dyDescent="0.3">
      <c r="A10" s="749" t="s">
        <v>492</v>
      </c>
      <c r="B10" s="749" t="s">
        <v>493</v>
      </c>
      <c r="C10" s="651" t="s">
        <v>494</v>
      </c>
      <c r="D10" s="654" t="s">
        <v>495</v>
      </c>
      <c r="E10" s="749" t="s">
        <v>540</v>
      </c>
      <c r="F10" s="749" t="s">
        <v>541</v>
      </c>
      <c r="G10" s="749" t="s">
        <v>498</v>
      </c>
    </row>
    <row r="11" spans="1:7" x14ac:dyDescent="0.25">
      <c r="A11" s="31">
        <v>44424.385416666664</v>
      </c>
      <c r="B11" s="38">
        <f>A11</f>
        <v>44424.385416666664</v>
      </c>
      <c r="C11" s="228">
        <v>0.10416666666666667</v>
      </c>
      <c r="D11" s="72"/>
      <c r="E11" s="653">
        <f t="shared" ref="E11:E20" si="0">B11+C11</f>
        <v>44424.489583333328</v>
      </c>
      <c r="F11" s="35" t="s">
        <v>2439</v>
      </c>
      <c r="G11" s="35"/>
    </row>
    <row r="12" spans="1:7" ht="12.75" customHeight="1" x14ac:dyDescent="0.25">
      <c r="A12" s="31">
        <f>IF(D11 = "",A11+C11,A11+D11)</f>
        <v>44424.489583333328</v>
      </c>
      <c r="B12" s="38">
        <f>IF(D11 = "",B11+C11,B11+D11)</f>
        <v>44424.489583333328</v>
      </c>
      <c r="C12" s="229">
        <v>0.1875</v>
      </c>
      <c r="D12" s="73"/>
      <c r="E12" s="317">
        <f t="shared" si="0"/>
        <v>44424.677083333328</v>
      </c>
      <c r="F12" s="35" t="s">
        <v>2440</v>
      </c>
      <c r="G12" s="35"/>
    </row>
    <row r="13" spans="1:7" x14ac:dyDescent="0.25">
      <c r="A13" s="31">
        <f t="shared" ref="A13:A20" si="1">IF(D12 = "",A12+C12,A12+D12)</f>
        <v>44424.677083333328</v>
      </c>
      <c r="B13" s="38">
        <f t="shared" ref="B13:B20" si="2">IF(D12 = "",B12+C12,B12+D12)</f>
        <v>44424.677083333328</v>
      </c>
      <c r="C13" s="229">
        <v>0.16666666666666666</v>
      </c>
      <c r="D13" s="73">
        <v>0.1076388888888889</v>
      </c>
      <c r="E13" s="317">
        <f t="shared" si="0"/>
        <v>44424.843749999993</v>
      </c>
      <c r="F13" s="39" t="s">
        <v>2441</v>
      </c>
      <c r="G13" s="79"/>
    </row>
    <row r="14" spans="1:7" ht="13.5" customHeight="1" x14ac:dyDescent="0.25">
      <c r="A14" s="31">
        <f t="shared" si="1"/>
        <v>44424.784722222219</v>
      </c>
      <c r="B14" s="38">
        <f t="shared" si="2"/>
        <v>44424.784722222219</v>
      </c>
      <c r="C14" s="230">
        <v>8.3333333333333329E-2</v>
      </c>
      <c r="D14" s="74"/>
      <c r="E14" s="318">
        <f t="shared" si="0"/>
        <v>44424.868055555555</v>
      </c>
      <c r="F14" s="35" t="s">
        <v>548</v>
      </c>
      <c r="G14" s="35"/>
    </row>
    <row r="15" spans="1:7" x14ac:dyDescent="0.25">
      <c r="A15" s="31">
        <f t="shared" si="1"/>
        <v>44424.868055555555</v>
      </c>
      <c r="B15" s="38">
        <f t="shared" si="2"/>
        <v>44424.868055555555</v>
      </c>
      <c r="C15" s="230">
        <v>0.4375</v>
      </c>
      <c r="D15" s="74"/>
      <c r="E15" s="318">
        <f t="shared" si="0"/>
        <v>44425.305555555555</v>
      </c>
      <c r="F15" s="35" t="s">
        <v>2442</v>
      </c>
      <c r="G15" s="35"/>
    </row>
    <row r="16" spans="1:7" ht="13.5" customHeight="1" x14ac:dyDescent="0.25">
      <c r="A16" s="31">
        <f t="shared" si="1"/>
        <v>44425.305555555555</v>
      </c>
      <c r="B16" s="38">
        <f t="shared" si="2"/>
        <v>44425.305555555555</v>
      </c>
      <c r="C16" s="230">
        <v>0.375</v>
      </c>
      <c r="D16" s="74"/>
      <c r="E16" s="318">
        <f t="shared" si="0"/>
        <v>44425.680555555555</v>
      </c>
      <c r="F16" s="35" t="s">
        <v>551</v>
      </c>
      <c r="G16" s="35"/>
    </row>
    <row r="17" spans="1:7" ht="12" customHeight="1" x14ac:dyDescent="0.25">
      <c r="A17" s="31">
        <f t="shared" si="1"/>
        <v>44425.680555555555</v>
      </c>
      <c r="B17" s="38">
        <f t="shared" si="2"/>
        <v>44425.680555555555</v>
      </c>
      <c r="C17" s="229">
        <v>4.1666666666666664E-2</v>
      </c>
      <c r="D17" s="73"/>
      <c r="E17" s="317">
        <f t="shared" si="0"/>
        <v>44425.722222222219</v>
      </c>
      <c r="F17" s="39" t="s">
        <v>2443</v>
      </c>
      <c r="G17" s="39" t="s">
        <v>2444</v>
      </c>
    </row>
    <row r="18" spans="1:7" ht="12.75" customHeight="1" thickBot="1" x14ac:dyDescent="0.3">
      <c r="A18" s="31">
        <f t="shared" si="1"/>
        <v>44425.722222222219</v>
      </c>
      <c r="B18" s="38">
        <f t="shared" si="2"/>
        <v>44425.722222222219</v>
      </c>
      <c r="C18" s="229">
        <v>0.10416666666666667</v>
      </c>
      <c r="D18" s="655"/>
      <c r="E18" s="317">
        <f t="shared" si="0"/>
        <v>44425.826388888883</v>
      </c>
      <c r="F18" s="35" t="s">
        <v>554</v>
      </c>
      <c r="G18" s="35"/>
    </row>
    <row r="19" spans="1:7" x14ac:dyDescent="0.25">
      <c r="A19" s="706">
        <f t="shared" si="1"/>
        <v>44425.826388888883</v>
      </c>
      <c r="B19" s="721">
        <f t="shared" si="2"/>
        <v>44425.826388888883</v>
      </c>
      <c r="C19" s="73">
        <v>2.0833333333333332E-2</v>
      </c>
      <c r="D19" s="73">
        <v>2.0833333333333332E-2</v>
      </c>
      <c r="E19" s="722">
        <f t="shared" si="0"/>
        <v>44425.847222222219</v>
      </c>
      <c r="F19" s="720" t="s">
        <v>2561</v>
      </c>
      <c r="G19" s="720"/>
    </row>
    <row r="20" spans="1:7" x14ac:dyDescent="0.25">
      <c r="A20" s="706">
        <f t="shared" si="1"/>
        <v>44425.847222222219</v>
      </c>
      <c r="B20" s="721">
        <f t="shared" si="2"/>
        <v>44425.847222222219</v>
      </c>
      <c r="C20" s="73">
        <v>0.22916666666666666</v>
      </c>
      <c r="D20" s="73">
        <v>0.22916666666666666</v>
      </c>
      <c r="E20" s="722">
        <f t="shared" si="0"/>
        <v>44426.076388888883</v>
      </c>
      <c r="F20" s="720" t="s">
        <v>2562</v>
      </c>
      <c r="G20" s="720"/>
    </row>
    <row r="21" spans="1:7" ht="21" x14ac:dyDescent="0.55000000000000004">
      <c r="A21" s="34"/>
      <c r="B21" s="33" t="s">
        <v>534</v>
      </c>
      <c r="C21" s="32">
        <f>SUM(C11:C18)</f>
        <v>1.5000000000000002</v>
      </c>
      <c r="D21" s="32">
        <f>SUM(D11:D18)</f>
        <v>0.1076388888888889</v>
      </c>
      <c r="G21" s="26"/>
    </row>
    <row r="22" spans="1:7" x14ac:dyDescent="0.25">
      <c r="B22" s="31" t="s">
        <v>536</v>
      </c>
      <c r="C22" s="30">
        <f>(C21*60)/1440</f>
        <v>6.2500000000000014E-2</v>
      </c>
      <c r="D22" s="30">
        <f>(D21*60)/1440</f>
        <v>4.4849537037037045E-3</v>
      </c>
      <c r="G22" s="26"/>
    </row>
    <row r="23" spans="1:7" hidden="1" x14ac:dyDescent="0.25">
      <c r="G23" s="26"/>
    </row>
    <row r="24" spans="1:7" hidden="1" x14ac:dyDescent="0.25">
      <c r="G24" s="26"/>
    </row>
    <row r="25" spans="1:7" hidden="1" x14ac:dyDescent="0.25">
      <c r="A25" s="1053" t="s">
        <v>555</v>
      </c>
      <c r="B25" s="1054"/>
      <c r="G25" s="26"/>
    </row>
    <row r="26" spans="1:7" hidden="1" x14ac:dyDescent="0.25">
      <c r="A26" s="781" t="s">
        <v>556</v>
      </c>
      <c r="B26" s="29" t="e">
        <f>MAX(A18,#REF!)</f>
        <v>#REF!</v>
      </c>
      <c r="G26" s="26"/>
    </row>
    <row r="27" spans="1:7" hidden="1" x14ac:dyDescent="0.25">
      <c r="A27" s="781" t="s">
        <v>557</v>
      </c>
      <c r="B27" s="28" t="e">
        <f>MAX((#REF!+#REF!),(B18+C18))</f>
        <v>#REF!</v>
      </c>
      <c r="G27" s="26"/>
    </row>
    <row r="28" spans="1:7" x14ac:dyDescent="0.25">
      <c r="G28" s="26"/>
    </row>
    <row r="29" spans="1:7" x14ac:dyDescent="0.25">
      <c r="G29" s="26"/>
    </row>
    <row r="30" spans="1:7" x14ac:dyDescent="0.25">
      <c r="G30" s="26"/>
    </row>
    <row r="31" spans="1:7" x14ac:dyDescent="0.25">
      <c r="G31" s="26"/>
    </row>
    <row r="32" spans="1:7" x14ac:dyDescent="0.25">
      <c r="C32" s="27"/>
      <c r="D32" s="27"/>
      <c r="G32" s="26"/>
    </row>
    <row r="33" spans="6:7" x14ac:dyDescent="0.25">
      <c r="G33" s="26"/>
    </row>
    <row r="34" spans="6:7" x14ac:dyDescent="0.25">
      <c r="G34" s="26"/>
    </row>
    <row r="35" spans="6:7" x14ac:dyDescent="0.25">
      <c r="G35" s="26"/>
    </row>
    <row r="36" spans="6:7" x14ac:dyDescent="0.25">
      <c r="G36" s="26"/>
    </row>
    <row r="37" spans="6:7" x14ac:dyDescent="0.25">
      <c r="G37" s="26"/>
    </row>
    <row r="38" spans="6:7" x14ac:dyDescent="0.25">
      <c r="G38" s="26"/>
    </row>
    <row r="39" spans="6:7" x14ac:dyDescent="0.25">
      <c r="G39" s="26"/>
    </row>
    <row r="40" spans="6:7" x14ac:dyDescent="0.25">
      <c r="G40" s="26"/>
    </row>
    <row r="43" spans="6:7" x14ac:dyDescent="0.25">
      <c r="F43" s="26"/>
    </row>
    <row r="44" spans="6:7" x14ac:dyDescent="0.25">
      <c r="F44" s="26"/>
    </row>
  </sheetData>
  <mergeCells count="3">
    <mergeCell ref="A1:B1"/>
    <mergeCell ref="A5:D5"/>
    <mergeCell ref="A25:B25"/>
  </mergeCells>
  <pageMargins left="0.75" right="0.75" top="1" bottom="1" header="0.5" footer="0.5"/>
  <pageSetup orientation="portrait" r:id="rId1"/>
  <headerFooter alignWithMargins="0">
    <oddFooter>&amp;R&amp;"Arial,Regular"&amp;08&amp;K7F7F7FAmgen Proprietary - Confidential   &amp;C&amp;"Arial,Regular"&amp;08&amp;K7F7F7FAmgen Proprietary - For Internal Use Only</oddFooter>
    <evenFooter>&amp;R&amp;"Arial,Regular"&amp;08&amp;K7F7F7FAmgen Proprietary - Confidential   &amp;C&amp;"Arial,Regular"&amp;08&amp;K7F7F7FAmgen Proprietary - For Internal Use Only</evenFooter>
    <firstFooter>&amp;R&amp;"Arial,Regular"&amp;08&amp;K7F7F7FAmgen Proprietary - Confidential   &amp;C&amp;"Arial,Regular"&amp;08&amp;K7F7F7FAmgen Proprietary - For Internal Use Only</firstFooter>
  </headerFooter>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220DB-9639-4844-8F8E-A385D92DC078}">
  <sheetPr codeName="Sheet93">
    <pageSetUpPr autoPageBreaks="0"/>
  </sheetPr>
  <dimension ref="A1:G44"/>
  <sheetViews>
    <sheetView zoomScale="140" zoomScaleNormal="140" workbookViewId="0">
      <selection activeCell="A11" sqref="A11"/>
    </sheetView>
  </sheetViews>
  <sheetFormatPr defaultColWidth="23.453125" defaultRowHeight="11.5" x14ac:dyDescent="0.25"/>
  <cols>
    <col min="1" max="2" width="27.453125" style="25" bestFit="1" customWidth="1"/>
    <col min="3" max="3" width="23.453125" style="25"/>
    <col min="4" max="4" width="23.453125" style="25" hidden="1" customWidth="1"/>
    <col min="5" max="5" width="23.453125" style="25"/>
    <col min="6" max="6" width="47.453125" style="25" bestFit="1" customWidth="1"/>
    <col min="7" max="7" width="27.453125" style="25" customWidth="1"/>
    <col min="8" max="8" width="15.453125" style="25" customWidth="1"/>
    <col min="9" max="9" width="14.54296875" style="25" customWidth="1"/>
    <col min="10" max="10" width="13.453125" style="25" customWidth="1"/>
    <col min="11" max="16384" width="23.453125" style="25"/>
  </cols>
  <sheetData>
    <row r="1" spans="1:7" ht="12" thickBot="1" x14ac:dyDescent="0.3">
      <c r="A1" s="1053" t="s">
        <v>479</v>
      </c>
      <c r="B1" s="1054"/>
    </row>
    <row r="2" spans="1:7" x14ac:dyDescent="0.25">
      <c r="A2" s="43" t="s">
        <v>480</v>
      </c>
      <c r="B2" s="44">
        <f>A11</f>
        <v>44426.354166666664</v>
      </c>
    </row>
    <row r="3" spans="1:7" ht="12" thickBot="1" x14ac:dyDescent="0.3">
      <c r="A3" s="42" t="s">
        <v>482</v>
      </c>
      <c r="B3" s="45">
        <f>A11</f>
        <v>44426.354166666664</v>
      </c>
    </row>
    <row r="5" spans="1:7" x14ac:dyDescent="0.25">
      <c r="A5" s="1049" t="s">
        <v>484</v>
      </c>
      <c r="B5" s="1050"/>
      <c r="C5" s="1050"/>
      <c r="D5" s="1051"/>
    </row>
    <row r="6" spans="1:7" x14ac:dyDescent="0.25">
      <c r="A6" s="781" t="s">
        <v>2563</v>
      </c>
      <c r="B6" s="781" t="s">
        <v>486</v>
      </c>
      <c r="C6" s="781" t="s">
        <v>487</v>
      </c>
      <c r="D6" s="781" t="s">
        <v>488</v>
      </c>
    </row>
    <row r="7" spans="1:7" x14ac:dyDescent="0.25">
      <c r="A7" s="41" t="str">
        <f>F13</f>
        <v xml:space="preserve">IPC: LC for reaction conversion </v>
      </c>
      <c r="B7" s="40">
        <f>INDEX($A$11:$A$59,MATCH(A7,$F$11:$F$56,0))</f>
        <v>44426.645833333328</v>
      </c>
      <c r="C7" s="37">
        <f>INDEX($A$11:$A$59,MATCH(A7,$F$11:$F$59,0))</f>
        <v>44426.645833333328</v>
      </c>
      <c r="D7" s="37"/>
    </row>
    <row r="8" spans="1:7" x14ac:dyDescent="0.25">
      <c r="A8" s="41" t="str">
        <f>F17</f>
        <v xml:space="preserve">IPC: LOD </v>
      </c>
      <c r="B8" s="40">
        <f>INDEX($A$11:$A$59,MATCH(A8,$F$11:$F$56,0))</f>
        <v>44427.708333333328</v>
      </c>
      <c r="C8" s="37">
        <f>INDEX($A$11:$A$59,MATCH(A8,$F$11:$F$59,0))</f>
        <v>44427.708333333328</v>
      </c>
      <c r="D8" s="37"/>
    </row>
    <row r="9" spans="1:7" ht="12" thickBot="1" x14ac:dyDescent="0.3"/>
    <row r="10" spans="1:7" ht="23.5" thickBot="1" x14ac:dyDescent="0.3">
      <c r="A10" s="749" t="s">
        <v>492</v>
      </c>
      <c r="B10" s="749" t="s">
        <v>493</v>
      </c>
      <c r="C10" s="651" t="s">
        <v>494</v>
      </c>
      <c r="D10" s="654" t="s">
        <v>495</v>
      </c>
      <c r="E10" s="749" t="s">
        <v>540</v>
      </c>
      <c r="F10" s="749" t="s">
        <v>541</v>
      </c>
      <c r="G10" s="749" t="s">
        <v>498</v>
      </c>
    </row>
    <row r="11" spans="1:7" x14ac:dyDescent="0.25">
      <c r="A11" s="31">
        <v>44426.354166666664</v>
      </c>
      <c r="B11" s="38">
        <f>A11</f>
        <v>44426.354166666664</v>
      </c>
      <c r="C11" s="228">
        <v>0.10416666666666667</v>
      </c>
      <c r="D11" s="72"/>
      <c r="E11" s="653">
        <f t="shared" ref="E11:E20" si="0">B11+C11</f>
        <v>44426.458333333328</v>
      </c>
      <c r="F11" s="35" t="s">
        <v>2439</v>
      </c>
      <c r="G11" s="35"/>
    </row>
    <row r="12" spans="1:7" ht="12.75" customHeight="1" x14ac:dyDescent="0.25">
      <c r="A12" s="31">
        <f>IF(D11 = "",A11+C11,A11+D11)</f>
        <v>44426.458333333328</v>
      </c>
      <c r="B12" s="38">
        <f>IF(D11 = "",B11+C11,B11+D11)</f>
        <v>44426.458333333328</v>
      </c>
      <c r="C12" s="229">
        <v>0.1875</v>
      </c>
      <c r="D12" s="73"/>
      <c r="E12" s="317">
        <f t="shared" si="0"/>
        <v>44426.645833333328</v>
      </c>
      <c r="F12" s="35" t="s">
        <v>2440</v>
      </c>
      <c r="G12" s="35"/>
    </row>
    <row r="13" spans="1:7" x14ac:dyDescent="0.25">
      <c r="A13" s="31">
        <f t="shared" ref="A13:A20" si="1">IF(D12 = "",A12+C12,A12+D12)</f>
        <v>44426.645833333328</v>
      </c>
      <c r="B13" s="38">
        <f t="shared" ref="B13:B20" si="2">IF(D12 = "",B12+C12,B12+D12)</f>
        <v>44426.645833333328</v>
      </c>
      <c r="C13" s="229">
        <v>0.16666666666666666</v>
      </c>
      <c r="D13" s="73"/>
      <c r="E13" s="317">
        <f t="shared" si="0"/>
        <v>44426.812499999993</v>
      </c>
      <c r="F13" s="39" t="s">
        <v>2441</v>
      </c>
      <c r="G13" s="79"/>
    </row>
    <row r="14" spans="1:7" ht="13.5" customHeight="1" x14ac:dyDescent="0.25">
      <c r="A14" s="31">
        <f t="shared" si="1"/>
        <v>44426.812499999993</v>
      </c>
      <c r="B14" s="38">
        <f t="shared" si="2"/>
        <v>44426.812499999993</v>
      </c>
      <c r="C14" s="230">
        <v>8.3333333333333329E-2</v>
      </c>
      <c r="D14" s="74"/>
      <c r="E14" s="318">
        <f t="shared" si="0"/>
        <v>44426.895833333328</v>
      </c>
      <c r="F14" s="35" t="s">
        <v>548</v>
      </c>
      <c r="G14" s="35"/>
    </row>
    <row r="15" spans="1:7" x14ac:dyDescent="0.25">
      <c r="A15" s="31">
        <f t="shared" si="1"/>
        <v>44426.895833333328</v>
      </c>
      <c r="B15" s="38">
        <f t="shared" si="2"/>
        <v>44426.895833333328</v>
      </c>
      <c r="C15" s="230">
        <v>0.4375</v>
      </c>
      <c r="D15" s="74"/>
      <c r="E15" s="318">
        <f t="shared" si="0"/>
        <v>44427.333333333328</v>
      </c>
      <c r="F15" s="35" t="s">
        <v>2442</v>
      </c>
      <c r="G15" s="35"/>
    </row>
    <row r="16" spans="1:7" ht="13.5" customHeight="1" x14ac:dyDescent="0.25">
      <c r="A16" s="31">
        <f t="shared" si="1"/>
        <v>44427.333333333328</v>
      </c>
      <c r="B16" s="38">
        <f t="shared" si="2"/>
        <v>44427.333333333328</v>
      </c>
      <c r="C16" s="230">
        <v>0.375</v>
      </c>
      <c r="D16" s="74"/>
      <c r="E16" s="318">
        <f t="shared" si="0"/>
        <v>44427.708333333328</v>
      </c>
      <c r="F16" s="35" t="s">
        <v>551</v>
      </c>
      <c r="G16" s="35"/>
    </row>
    <row r="17" spans="1:7" ht="12" customHeight="1" x14ac:dyDescent="0.25">
      <c r="A17" s="31">
        <f t="shared" si="1"/>
        <v>44427.708333333328</v>
      </c>
      <c r="B17" s="38">
        <f t="shared" si="2"/>
        <v>44427.708333333328</v>
      </c>
      <c r="C17" s="229">
        <v>4.1666666666666664E-2</v>
      </c>
      <c r="D17" s="73"/>
      <c r="E17" s="317">
        <f t="shared" si="0"/>
        <v>44427.749999999993</v>
      </c>
      <c r="F17" s="39" t="s">
        <v>2443</v>
      </c>
      <c r="G17" s="39" t="s">
        <v>2444</v>
      </c>
    </row>
    <row r="18" spans="1:7" ht="12.75" customHeight="1" thickBot="1" x14ac:dyDescent="0.3">
      <c r="A18" s="31">
        <f t="shared" si="1"/>
        <v>44427.749999999993</v>
      </c>
      <c r="B18" s="38">
        <f t="shared" si="2"/>
        <v>44427.749999999993</v>
      </c>
      <c r="C18" s="229">
        <v>0.10416666666666667</v>
      </c>
      <c r="D18" s="655"/>
      <c r="E18" s="317">
        <f t="shared" si="0"/>
        <v>44427.854166666657</v>
      </c>
      <c r="F18" s="35" t="s">
        <v>554</v>
      </c>
      <c r="G18" s="35"/>
    </row>
    <row r="19" spans="1:7" x14ac:dyDescent="0.25">
      <c r="A19" s="706">
        <f t="shared" si="1"/>
        <v>44427.854166666657</v>
      </c>
      <c r="B19" s="721">
        <f t="shared" si="2"/>
        <v>44427.854166666657</v>
      </c>
      <c r="C19" s="73">
        <v>2.0833333333333332E-2</v>
      </c>
      <c r="D19" s="73">
        <v>2.0833333333333332E-2</v>
      </c>
      <c r="E19" s="722">
        <f t="shared" si="0"/>
        <v>44427.874999999993</v>
      </c>
      <c r="F19" s="720" t="s">
        <v>2561</v>
      </c>
      <c r="G19" s="720"/>
    </row>
    <row r="20" spans="1:7" x14ac:dyDescent="0.25">
      <c r="A20" s="706">
        <f t="shared" si="1"/>
        <v>44427.874999999993</v>
      </c>
      <c r="B20" s="721">
        <f t="shared" si="2"/>
        <v>44427.874999999993</v>
      </c>
      <c r="C20" s="73">
        <v>0.22916666666666666</v>
      </c>
      <c r="D20" s="73">
        <v>0.22916666666666666</v>
      </c>
      <c r="E20" s="722">
        <f t="shared" si="0"/>
        <v>44428.104166666657</v>
      </c>
      <c r="F20" s="720" t="s">
        <v>2562</v>
      </c>
      <c r="G20" s="720"/>
    </row>
    <row r="21" spans="1:7" ht="21" x14ac:dyDescent="0.55000000000000004">
      <c r="A21" s="34"/>
      <c r="B21" s="33" t="s">
        <v>534</v>
      </c>
      <c r="C21" s="32">
        <f>SUM(C11:C18)</f>
        <v>1.5000000000000002</v>
      </c>
      <c r="D21" s="32">
        <f>SUM(D11:D18)</f>
        <v>0</v>
      </c>
      <c r="G21" s="26"/>
    </row>
    <row r="22" spans="1:7" x14ac:dyDescent="0.25">
      <c r="B22" s="31" t="s">
        <v>536</v>
      </c>
      <c r="C22" s="30">
        <f>(C21*60)/1440</f>
        <v>6.2500000000000014E-2</v>
      </c>
      <c r="D22" s="30">
        <f>(D21*60)/1440</f>
        <v>0</v>
      </c>
      <c r="G22" s="26"/>
    </row>
    <row r="23" spans="1:7" hidden="1" x14ac:dyDescent="0.25">
      <c r="G23" s="26"/>
    </row>
    <row r="24" spans="1:7" hidden="1" x14ac:dyDescent="0.25">
      <c r="G24" s="26"/>
    </row>
    <row r="25" spans="1:7" hidden="1" x14ac:dyDescent="0.25">
      <c r="A25" s="1053" t="s">
        <v>555</v>
      </c>
      <c r="B25" s="1054"/>
      <c r="G25" s="26"/>
    </row>
    <row r="26" spans="1:7" hidden="1" x14ac:dyDescent="0.25">
      <c r="A26" s="781" t="s">
        <v>556</v>
      </c>
      <c r="B26" s="29" t="e">
        <f>MAX(A18,#REF!)</f>
        <v>#REF!</v>
      </c>
      <c r="G26" s="26"/>
    </row>
    <row r="27" spans="1:7" hidden="1" x14ac:dyDescent="0.25">
      <c r="A27" s="781" t="s">
        <v>557</v>
      </c>
      <c r="B27" s="28" t="e">
        <f>MAX((#REF!+#REF!),(B18+C18))</f>
        <v>#REF!</v>
      </c>
      <c r="G27" s="26"/>
    </row>
    <row r="28" spans="1:7" x14ac:dyDescent="0.25">
      <c r="G28" s="26"/>
    </row>
    <row r="29" spans="1:7" x14ac:dyDescent="0.25">
      <c r="G29" s="26"/>
    </row>
    <row r="30" spans="1:7" x14ac:dyDescent="0.25">
      <c r="G30" s="26"/>
    </row>
    <row r="31" spans="1:7" x14ac:dyDescent="0.25">
      <c r="G31" s="26"/>
    </row>
    <row r="32" spans="1:7" x14ac:dyDescent="0.25">
      <c r="C32" s="27"/>
      <c r="D32" s="27"/>
      <c r="G32" s="26"/>
    </row>
    <row r="33" spans="6:7" x14ac:dyDescent="0.25">
      <c r="G33" s="26"/>
    </row>
    <row r="34" spans="6:7" x14ac:dyDescent="0.25">
      <c r="G34" s="26"/>
    </row>
    <row r="35" spans="6:7" x14ac:dyDescent="0.25">
      <c r="G35" s="26"/>
    </row>
    <row r="36" spans="6:7" x14ac:dyDescent="0.25">
      <c r="G36" s="26"/>
    </row>
    <row r="37" spans="6:7" x14ac:dyDescent="0.25">
      <c r="G37" s="26"/>
    </row>
    <row r="38" spans="6:7" x14ac:dyDescent="0.25">
      <c r="G38" s="26"/>
    </row>
    <row r="39" spans="6:7" x14ac:dyDescent="0.25">
      <c r="G39" s="26"/>
    </row>
    <row r="40" spans="6:7" x14ac:dyDescent="0.25">
      <c r="G40" s="26"/>
    </row>
    <row r="43" spans="6:7" x14ac:dyDescent="0.25">
      <c r="F43" s="26"/>
    </row>
    <row r="44" spans="6:7" x14ac:dyDescent="0.25">
      <c r="F44" s="26"/>
    </row>
  </sheetData>
  <mergeCells count="3">
    <mergeCell ref="A1:B1"/>
    <mergeCell ref="A5:D5"/>
    <mergeCell ref="A25:B25"/>
  </mergeCells>
  <pageMargins left="0.75" right="0.75" top="1" bottom="1" header="0.5" footer="0.5"/>
  <pageSetup orientation="portrait" r:id="rId1"/>
  <headerFooter alignWithMargins="0">
    <oddFooter>&amp;R&amp;"Arial,Regular"&amp;08&amp;K7F7F7FAmgen Proprietary - Confidential   &amp;C&amp;"Arial,Regular"&amp;08&amp;K7F7F7FAmgen Proprietary - For Internal Use Only</oddFooter>
    <evenFooter>&amp;R&amp;"Arial,Regular"&amp;08&amp;K7F7F7FAmgen Proprietary - Confidential   &amp;C&amp;"Arial,Regular"&amp;08&amp;K7F7F7FAmgen Proprietary - For Internal Use Only</evenFooter>
    <firstFooter>&amp;R&amp;"Arial,Regular"&amp;08&amp;K7F7F7FAmgen Proprietary - Confidential   &amp;C&amp;"Arial,Regular"&amp;08&amp;K7F7F7FAmgen Proprietary - For Internal Use Only</firstFooter>
  </headerFooter>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4A7FDE-C42C-4598-8111-C132776D9F6E}">
  <sheetPr codeName="Sheet94">
    <pageSetUpPr autoPageBreaks="0"/>
  </sheetPr>
  <dimension ref="A1:G44"/>
  <sheetViews>
    <sheetView topLeftCell="A7" zoomScale="150" zoomScaleNormal="150" workbookViewId="0">
      <selection activeCell="E14" sqref="E14"/>
    </sheetView>
  </sheetViews>
  <sheetFormatPr defaultColWidth="23.453125" defaultRowHeight="11.5" x14ac:dyDescent="0.25"/>
  <cols>
    <col min="1" max="2" width="27.453125" style="25" bestFit="1" customWidth="1"/>
    <col min="3" max="3" width="23.453125" style="25"/>
    <col min="4" max="4" width="23.453125" style="25" hidden="1" customWidth="1"/>
    <col min="5" max="5" width="23.453125" style="25"/>
    <col min="6" max="6" width="47.453125" style="25" bestFit="1" customWidth="1"/>
    <col min="7" max="7" width="27.453125" style="25" customWidth="1"/>
    <col min="8" max="8" width="15.453125" style="25" customWidth="1"/>
    <col min="9" max="9" width="14.54296875" style="25" customWidth="1"/>
    <col min="10" max="10" width="13.453125" style="25" customWidth="1"/>
    <col min="11" max="16384" width="23.453125" style="25"/>
  </cols>
  <sheetData>
    <row r="1" spans="1:7" ht="12" thickBot="1" x14ac:dyDescent="0.3">
      <c r="A1" s="1053" t="s">
        <v>479</v>
      </c>
      <c r="B1" s="1054"/>
    </row>
    <row r="2" spans="1:7" x14ac:dyDescent="0.25">
      <c r="A2" s="43" t="s">
        <v>480</v>
      </c>
      <c r="B2" s="44">
        <f>A11</f>
        <v>44431.354166666664</v>
      </c>
    </row>
    <row r="3" spans="1:7" ht="12" thickBot="1" x14ac:dyDescent="0.3">
      <c r="A3" s="42" t="s">
        <v>482</v>
      </c>
      <c r="B3" s="45">
        <f>A11</f>
        <v>44431.354166666664</v>
      </c>
    </row>
    <row r="5" spans="1:7" x14ac:dyDescent="0.25">
      <c r="A5" s="1049" t="s">
        <v>484</v>
      </c>
      <c r="B5" s="1050"/>
      <c r="C5" s="1050"/>
      <c r="D5" s="1051"/>
    </row>
    <row r="6" spans="1:7" x14ac:dyDescent="0.25">
      <c r="A6" s="781" t="s">
        <v>2563</v>
      </c>
      <c r="B6" s="781" t="s">
        <v>486</v>
      </c>
      <c r="C6" s="781" t="s">
        <v>487</v>
      </c>
      <c r="D6" s="781" t="s">
        <v>488</v>
      </c>
    </row>
    <row r="7" spans="1:7" x14ac:dyDescent="0.25">
      <c r="A7" s="41" t="str">
        <f>F13</f>
        <v xml:space="preserve">IPC: LC for reaction conversion </v>
      </c>
      <c r="B7" s="40">
        <f>INDEX($A$11:$A$59,MATCH(A7,$F$11:$F$56,0))</f>
        <v>44431.645833333328</v>
      </c>
      <c r="C7" s="37">
        <f>INDEX($A$11:$A$59,MATCH(A7,$F$11:$F$59,0))</f>
        <v>44431.645833333328</v>
      </c>
      <c r="D7" s="37"/>
    </row>
    <row r="8" spans="1:7" x14ac:dyDescent="0.25">
      <c r="A8" s="41" t="str">
        <f>F17</f>
        <v xml:space="preserve">IPC: LOD </v>
      </c>
      <c r="B8" s="40">
        <f>INDEX($A$11:$A$59,MATCH(A8,$F$11:$F$56,0))</f>
        <v>44432.708333333328</v>
      </c>
      <c r="C8" s="37">
        <f>INDEX($A$11:$A$59,MATCH(A8,$F$11:$F$59,0))</f>
        <v>44432.708333333328</v>
      </c>
      <c r="D8" s="37"/>
    </row>
    <row r="9" spans="1:7" ht="12" thickBot="1" x14ac:dyDescent="0.3"/>
    <row r="10" spans="1:7" ht="23.5" thickBot="1" x14ac:dyDescent="0.3">
      <c r="A10" s="749" t="s">
        <v>492</v>
      </c>
      <c r="B10" s="749" t="s">
        <v>493</v>
      </c>
      <c r="C10" s="651" t="s">
        <v>494</v>
      </c>
      <c r="D10" s="654" t="s">
        <v>495</v>
      </c>
      <c r="E10" s="749" t="s">
        <v>540</v>
      </c>
      <c r="F10" s="749" t="s">
        <v>541</v>
      </c>
      <c r="G10" s="749" t="s">
        <v>498</v>
      </c>
    </row>
    <row r="11" spans="1:7" x14ac:dyDescent="0.25">
      <c r="A11" s="31">
        <v>44431.354166666664</v>
      </c>
      <c r="B11" s="38">
        <f>A11</f>
        <v>44431.354166666664</v>
      </c>
      <c r="C11" s="228">
        <v>0.10416666666666667</v>
      </c>
      <c r="D11" s="72"/>
      <c r="E11" s="653">
        <f t="shared" ref="E11:E20" si="0">B11+C11</f>
        <v>44431.458333333328</v>
      </c>
      <c r="F11" s="35" t="s">
        <v>2439</v>
      </c>
      <c r="G11" s="35"/>
    </row>
    <row r="12" spans="1:7" ht="12.75" customHeight="1" x14ac:dyDescent="0.25">
      <c r="A12" s="31">
        <f>IF(D11 = "",A11+C11,A11+D11)</f>
        <v>44431.458333333328</v>
      </c>
      <c r="B12" s="38">
        <f>IF(D11 = "",B11+C11,B11+D11)</f>
        <v>44431.458333333328</v>
      </c>
      <c r="C12" s="229">
        <v>0.1875</v>
      </c>
      <c r="D12" s="73"/>
      <c r="E12" s="317">
        <f t="shared" si="0"/>
        <v>44431.645833333328</v>
      </c>
      <c r="F12" s="35" t="s">
        <v>2440</v>
      </c>
      <c r="G12" s="35"/>
    </row>
    <row r="13" spans="1:7" x14ac:dyDescent="0.25">
      <c r="A13" s="31">
        <f t="shared" ref="A13:A20" si="1">IF(D12 = "",A12+C12,A12+D12)</f>
        <v>44431.645833333328</v>
      </c>
      <c r="B13" s="38">
        <f t="shared" ref="B13:B20" si="2">IF(D12 = "",B12+C12,B12+D12)</f>
        <v>44431.645833333328</v>
      </c>
      <c r="C13" s="229">
        <v>0.16666666666666666</v>
      </c>
      <c r="D13" s="73"/>
      <c r="E13" s="317">
        <f t="shared" si="0"/>
        <v>44431.812499999993</v>
      </c>
      <c r="F13" s="39" t="s">
        <v>2441</v>
      </c>
      <c r="G13" s="79"/>
    </row>
    <row r="14" spans="1:7" ht="13.5" customHeight="1" x14ac:dyDescent="0.25">
      <c r="A14" s="31">
        <f t="shared" si="1"/>
        <v>44431.812499999993</v>
      </c>
      <c r="B14" s="38">
        <f t="shared" si="2"/>
        <v>44431.812499999993</v>
      </c>
      <c r="C14" s="230">
        <v>8.3333333333333329E-2</v>
      </c>
      <c r="D14" s="74"/>
      <c r="E14" s="318">
        <f t="shared" si="0"/>
        <v>44431.895833333328</v>
      </c>
      <c r="F14" s="35" t="s">
        <v>548</v>
      </c>
      <c r="G14" s="35"/>
    </row>
    <row r="15" spans="1:7" x14ac:dyDescent="0.25">
      <c r="A15" s="31">
        <f t="shared" si="1"/>
        <v>44431.895833333328</v>
      </c>
      <c r="B15" s="38">
        <f t="shared" si="2"/>
        <v>44431.895833333328</v>
      </c>
      <c r="C15" s="230">
        <v>0.4375</v>
      </c>
      <c r="D15" s="74"/>
      <c r="E15" s="318">
        <f t="shared" si="0"/>
        <v>44432.333333333328</v>
      </c>
      <c r="F15" s="35" t="s">
        <v>2442</v>
      </c>
      <c r="G15" s="35"/>
    </row>
    <row r="16" spans="1:7" ht="13.5" customHeight="1" x14ac:dyDescent="0.25">
      <c r="A16" s="31">
        <f t="shared" si="1"/>
        <v>44432.333333333328</v>
      </c>
      <c r="B16" s="38">
        <f t="shared" si="2"/>
        <v>44432.333333333328</v>
      </c>
      <c r="C16" s="230">
        <v>0.375</v>
      </c>
      <c r="D16" s="74"/>
      <c r="E16" s="318">
        <f t="shared" si="0"/>
        <v>44432.708333333328</v>
      </c>
      <c r="F16" s="35" t="s">
        <v>551</v>
      </c>
      <c r="G16" s="35"/>
    </row>
    <row r="17" spans="1:7" ht="12" customHeight="1" x14ac:dyDescent="0.25">
      <c r="A17" s="31">
        <f t="shared" si="1"/>
        <v>44432.708333333328</v>
      </c>
      <c r="B17" s="38">
        <f t="shared" si="2"/>
        <v>44432.708333333328</v>
      </c>
      <c r="C17" s="229">
        <v>4.1666666666666664E-2</v>
      </c>
      <c r="D17" s="73"/>
      <c r="E17" s="317">
        <f t="shared" si="0"/>
        <v>44432.749999999993</v>
      </c>
      <c r="F17" s="39" t="s">
        <v>2443</v>
      </c>
      <c r="G17" s="39" t="s">
        <v>2444</v>
      </c>
    </row>
    <row r="18" spans="1:7" ht="12.75" customHeight="1" thickBot="1" x14ac:dyDescent="0.3">
      <c r="A18" s="31">
        <f t="shared" si="1"/>
        <v>44432.749999999993</v>
      </c>
      <c r="B18" s="38">
        <f t="shared" si="2"/>
        <v>44432.749999999993</v>
      </c>
      <c r="C18" s="229">
        <v>0.10416666666666667</v>
      </c>
      <c r="D18" s="655"/>
      <c r="E18" s="317">
        <f t="shared" si="0"/>
        <v>44432.854166666657</v>
      </c>
      <c r="F18" s="35" t="s">
        <v>554</v>
      </c>
      <c r="G18" s="35"/>
    </row>
    <row r="19" spans="1:7" hidden="1" x14ac:dyDescent="0.25">
      <c r="A19" s="706">
        <f t="shared" si="1"/>
        <v>44432.854166666657</v>
      </c>
      <c r="B19" s="721">
        <f t="shared" si="2"/>
        <v>44432.854166666657</v>
      </c>
      <c r="C19" s="73">
        <v>0</v>
      </c>
      <c r="D19" s="73">
        <v>2.0833333333333332E-2</v>
      </c>
      <c r="E19" s="722">
        <f t="shared" si="0"/>
        <v>44432.854166666657</v>
      </c>
      <c r="F19" s="720" t="s">
        <v>2561</v>
      </c>
      <c r="G19" s="720"/>
    </row>
    <row r="20" spans="1:7" hidden="1" x14ac:dyDescent="0.25">
      <c r="A20" s="706">
        <f t="shared" si="1"/>
        <v>44432.874999999993</v>
      </c>
      <c r="B20" s="721">
        <f t="shared" si="2"/>
        <v>44432.874999999993</v>
      </c>
      <c r="C20" s="73">
        <v>0</v>
      </c>
      <c r="D20" s="73">
        <v>0.22916666666666666</v>
      </c>
      <c r="E20" s="722">
        <f t="shared" si="0"/>
        <v>44432.874999999993</v>
      </c>
      <c r="F20" s="720" t="s">
        <v>2562</v>
      </c>
      <c r="G20" s="720"/>
    </row>
    <row r="21" spans="1:7" ht="21" x14ac:dyDescent="0.55000000000000004">
      <c r="A21" s="34"/>
      <c r="B21" s="33" t="s">
        <v>534</v>
      </c>
      <c r="C21" s="32">
        <f>SUM(C11:C18)</f>
        <v>1.5000000000000002</v>
      </c>
      <c r="D21" s="32">
        <f>SUM(D11:D18)</f>
        <v>0</v>
      </c>
      <c r="G21" s="26"/>
    </row>
    <row r="22" spans="1:7" x14ac:dyDescent="0.25">
      <c r="B22" s="31" t="s">
        <v>536</v>
      </c>
      <c r="C22" s="30">
        <f>(C21*60)/1440</f>
        <v>6.2500000000000014E-2</v>
      </c>
      <c r="D22" s="30">
        <f>(D21*60)/1440</f>
        <v>0</v>
      </c>
      <c r="G22" s="26"/>
    </row>
    <row r="23" spans="1:7" hidden="1" x14ac:dyDescent="0.25">
      <c r="G23" s="26"/>
    </row>
    <row r="24" spans="1:7" hidden="1" x14ac:dyDescent="0.25">
      <c r="G24" s="26"/>
    </row>
    <row r="25" spans="1:7" hidden="1" x14ac:dyDescent="0.25">
      <c r="A25" s="1053" t="s">
        <v>555</v>
      </c>
      <c r="B25" s="1054"/>
      <c r="G25" s="26"/>
    </row>
    <row r="26" spans="1:7" hidden="1" x14ac:dyDescent="0.25">
      <c r="A26" s="781" t="s">
        <v>556</v>
      </c>
      <c r="B26" s="29" t="e">
        <f>MAX(A18,#REF!)</f>
        <v>#REF!</v>
      </c>
      <c r="G26" s="26"/>
    </row>
    <row r="27" spans="1:7" hidden="1" x14ac:dyDescent="0.25">
      <c r="A27" s="781" t="s">
        <v>557</v>
      </c>
      <c r="B27" s="28" t="e">
        <f>MAX((#REF!+#REF!),(B18+C18))</f>
        <v>#REF!</v>
      </c>
      <c r="G27" s="26"/>
    </row>
    <row r="28" spans="1:7" x14ac:dyDescent="0.25">
      <c r="G28" s="26"/>
    </row>
    <row r="29" spans="1:7" x14ac:dyDescent="0.25">
      <c r="G29" s="26"/>
    </row>
    <row r="30" spans="1:7" x14ac:dyDescent="0.25">
      <c r="G30" s="26"/>
    </row>
    <row r="31" spans="1:7" x14ac:dyDescent="0.25">
      <c r="G31" s="26"/>
    </row>
    <row r="32" spans="1:7" x14ac:dyDescent="0.25">
      <c r="C32" s="27"/>
      <c r="D32" s="27"/>
      <c r="G32" s="26"/>
    </row>
    <row r="33" spans="6:7" x14ac:dyDescent="0.25">
      <c r="G33" s="26"/>
    </row>
    <row r="34" spans="6:7" x14ac:dyDescent="0.25">
      <c r="G34" s="26"/>
    </row>
    <row r="35" spans="6:7" x14ac:dyDescent="0.25">
      <c r="G35" s="26"/>
    </row>
    <row r="36" spans="6:7" x14ac:dyDescent="0.25">
      <c r="G36" s="26"/>
    </row>
    <row r="37" spans="6:7" x14ac:dyDescent="0.25">
      <c r="G37" s="26"/>
    </row>
    <row r="38" spans="6:7" x14ac:dyDescent="0.25">
      <c r="G38" s="26"/>
    </row>
    <row r="39" spans="6:7" x14ac:dyDescent="0.25">
      <c r="G39" s="26"/>
    </row>
    <row r="40" spans="6:7" x14ac:dyDescent="0.25">
      <c r="G40" s="26"/>
    </row>
    <row r="43" spans="6:7" x14ac:dyDescent="0.25">
      <c r="F43" s="26"/>
    </row>
    <row r="44" spans="6:7" x14ac:dyDescent="0.25">
      <c r="F44" s="26"/>
    </row>
  </sheetData>
  <mergeCells count="3">
    <mergeCell ref="A1:B1"/>
    <mergeCell ref="A5:D5"/>
    <mergeCell ref="A25:B25"/>
  </mergeCells>
  <pageMargins left="0.75" right="0.75" top="1" bottom="1" header="0.5" footer="0.5"/>
  <pageSetup orientation="portrait" r:id="rId1"/>
  <headerFooter alignWithMargins="0">
    <oddFooter>&amp;R&amp;"Arial,Regular"&amp;08&amp;K7F7F7FAmgen Proprietary - Confidential   &amp;C&amp;"Arial,Regular"&amp;08&amp;K7F7F7FAmgen Proprietary - For Internal Use Only</oddFooter>
    <evenFooter>&amp;R&amp;"Arial,Regular"&amp;08&amp;K7F7F7FAmgen Proprietary - Confidential   &amp;C&amp;"Arial,Regular"&amp;08&amp;K7F7F7FAmgen Proprietary - For Internal Use Only</evenFooter>
    <firstFooter>&amp;R&amp;"Arial,Regular"&amp;08&amp;K7F7F7FAmgen Proprietary - Confidential   &amp;C&amp;"Arial,Regular"&amp;08&amp;K7F7F7FAmgen Proprietary - For Internal Use Only</firstFooter>
  </headerFooter>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268F4-8F0F-4E50-A96D-1DE1C04831F8}">
  <sheetPr codeName="Sheet95">
    <pageSetUpPr autoPageBreaks="0"/>
  </sheetPr>
  <dimension ref="A1:P78"/>
  <sheetViews>
    <sheetView topLeftCell="A5" zoomScale="90" zoomScaleNormal="90" workbookViewId="0">
      <selection activeCell="D39" sqref="D39"/>
    </sheetView>
  </sheetViews>
  <sheetFormatPr defaultColWidth="23.453125" defaultRowHeight="11.5" x14ac:dyDescent="0.25"/>
  <cols>
    <col min="1" max="1" width="52.453125" style="46" bestFit="1" customWidth="1"/>
    <col min="2" max="2" width="23.453125" style="46" bestFit="1" customWidth="1"/>
    <col min="3" max="3" width="20.453125" style="46" bestFit="1" customWidth="1"/>
    <col min="4" max="4" width="20.54296875" style="46" customWidth="1"/>
    <col min="5" max="5" width="23.453125" style="46"/>
    <col min="6" max="6" width="75.453125" style="46" bestFit="1" customWidth="1"/>
    <col min="7" max="7" width="16.54296875" style="46" customWidth="1"/>
    <col min="8" max="8" width="17.453125" style="46" customWidth="1"/>
    <col min="9" max="9" width="10.54296875" style="46" customWidth="1"/>
    <col min="10" max="10" width="19.453125" style="46" customWidth="1"/>
    <col min="11" max="11" width="16" style="46" customWidth="1"/>
    <col min="12" max="12" width="22.54296875" style="46" customWidth="1"/>
    <col min="13" max="13" width="30.54296875" style="46" customWidth="1"/>
    <col min="14" max="14" width="23.453125" style="46"/>
    <col min="15" max="15" width="53.54296875" style="46" hidden="1" customWidth="1"/>
    <col min="16" max="16" width="23.453125" style="46" hidden="1" customWidth="1"/>
    <col min="17" max="16384" width="23.453125" style="46"/>
  </cols>
  <sheetData>
    <row r="1" spans="1:16" ht="12" thickBot="1" x14ac:dyDescent="0.3">
      <c r="A1" s="1042" t="s">
        <v>479</v>
      </c>
      <c r="B1" s="1043"/>
    </row>
    <row r="2" spans="1:16" x14ac:dyDescent="0.25">
      <c r="A2" s="67" t="s">
        <v>480</v>
      </c>
      <c r="B2" s="407">
        <f>A13</f>
        <v>44432.416666666664</v>
      </c>
    </row>
    <row r="3" spans="1:16" ht="12" thickBot="1" x14ac:dyDescent="0.3">
      <c r="A3" s="66" t="s">
        <v>482</v>
      </c>
      <c r="B3" s="408">
        <f>A13</f>
        <v>44432.416666666664</v>
      </c>
    </row>
    <row r="5" spans="1:16" x14ac:dyDescent="0.25">
      <c r="A5" s="1044" t="s">
        <v>484</v>
      </c>
      <c r="B5" s="1045"/>
      <c r="C5" s="1045"/>
      <c r="D5" s="1046"/>
    </row>
    <row r="6" spans="1:16" x14ac:dyDescent="0.25">
      <c r="A6" s="102" t="s">
        <v>485</v>
      </c>
      <c r="B6" s="102" t="s">
        <v>486</v>
      </c>
      <c r="C6" s="102" t="s">
        <v>487</v>
      </c>
      <c r="D6" s="102" t="s">
        <v>488</v>
      </c>
    </row>
    <row r="7" spans="1:16" x14ac:dyDescent="0.25">
      <c r="A7" s="65" t="str">
        <f>F33</f>
        <v>Sample for Residual Solvent Methanol (Ethyl Acetate)</v>
      </c>
      <c r="B7" s="64">
        <f>A33</f>
        <v>44434.631944444453</v>
      </c>
      <c r="C7" s="56">
        <f>B33</f>
        <v>44434.631944444453</v>
      </c>
      <c r="D7" s="464"/>
    </row>
    <row r="8" spans="1:16" x14ac:dyDescent="0.25">
      <c r="A8" s="65" t="s">
        <v>490</v>
      </c>
      <c r="B8" s="64">
        <f>A51</f>
        <v>44435.815972222234</v>
      </c>
      <c r="C8" s="56">
        <f>A51</f>
        <v>44435.815972222234</v>
      </c>
      <c r="D8" s="464"/>
    </row>
    <row r="9" spans="1:16" x14ac:dyDescent="0.25">
      <c r="A9" s="65" t="s">
        <v>491</v>
      </c>
      <c r="B9" s="64">
        <f>E54</f>
        <v>44435.451388888905</v>
      </c>
      <c r="C9" s="56">
        <f>E54</f>
        <v>44435.451388888905</v>
      </c>
      <c r="D9" s="63"/>
    </row>
    <row r="10" spans="1:16" ht="13" x14ac:dyDescent="0.25">
      <c r="O10" s="62" t="s">
        <v>2564</v>
      </c>
      <c r="P10" s="62" t="s">
        <v>2565</v>
      </c>
    </row>
    <row r="11" spans="1:16" ht="23" x14ac:dyDescent="0.25">
      <c r="A11" s="61" t="s">
        <v>492</v>
      </c>
      <c r="B11" s="61" t="s">
        <v>493</v>
      </c>
      <c r="C11" s="61" t="s">
        <v>494</v>
      </c>
      <c r="D11" s="118" t="s">
        <v>495</v>
      </c>
      <c r="E11" s="61" t="s">
        <v>496</v>
      </c>
      <c r="F11" s="61" t="s">
        <v>497</v>
      </c>
      <c r="G11" s="61" t="s">
        <v>498</v>
      </c>
      <c r="H11" s="61" t="s">
        <v>92</v>
      </c>
      <c r="I11" s="61" t="s">
        <v>499</v>
      </c>
      <c r="J11" s="61" t="s">
        <v>96</v>
      </c>
      <c r="K11" s="61" t="s">
        <v>500</v>
      </c>
      <c r="L11" s="61" t="s">
        <v>501</v>
      </c>
      <c r="O11" s="60" t="s">
        <v>2566</v>
      </c>
      <c r="P11" s="60" t="s">
        <v>2567</v>
      </c>
    </row>
    <row r="12" spans="1:16" ht="14.5" x14ac:dyDescent="0.25">
      <c r="A12" s="117" t="s">
        <v>2568</v>
      </c>
      <c r="B12" s="117"/>
      <c r="C12" s="117"/>
      <c r="D12" s="119"/>
      <c r="E12" s="117"/>
      <c r="F12" s="117"/>
      <c r="G12" s="117"/>
      <c r="H12" s="189"/>
      <c r="I12" s="189"/>
      <c r="J12" s="189"/>
      <c r="K12" s="189"/>
      <c r="L12" s="189"/>
      <c r="O12" s="60"/>
      <c r="P12" s="60"/>
    </row>
    <row r="13" spans="1:16" ht="13.5" customHeight="1" x14ac:dyDescent="0.25">
      <c r="A13" s="50">
        <v>44432.416666666664</v>
      </c>
      <c r="B13" s="461">
        <f>A13</f>
        <v>44432.416666666664</v>
      </c>
      <c r="C13" s="55">
        <v>7.2916666666666671E-2</v>
      </c>
      <c r="D13" s="327"/>
      <c r="E13" s="56">
        <f>B13+C13</f>
        <v>44432.489583333328</v>
      </c>
      <c r="F13" s="54" t="s">
        <v>2569</v>
      </c>
      <c r="G13" s="190"/>
      <c r="H13" s="190">
        <v>5</v>
      </c>
      <c r="I13" s="191"/>
      <c r="J13" s="191"/>
      <c r="K13" s="191"/>
      <c r="L13" s="191"/>
      <c r="M13" s="203" t="s">
        <v>2570</v>
      </c>
      <c r="N13" s="203">
        <f>SUM(J13:J22)</f>
        <v>33.241492346938777</v>
      </c>
      <c r="O13" s="57" t="s">
        <v>2571</v>
      </c>
      <c r="P13" s="57" t="s">
        <v>2572</v>
      </c>
    </row>
    <row r="14" spans="1:16" ht="13.5" customHeight="1" x14ac:dyDescent="0.25">
      <c r="A14" s="31">
        <f t="shared" ref="A14:A35" si="0">IF(D13 = "",A13+C13,A13+D13)</f>
        <v>44432.489583333328</v>
      </c>
      <c r="B14" s="37">
        <f t="shared" ref="B14:B35" si="1">IF(D13 = "",B13+C13,B13+D13)</f>
        <v>44432.489583333328</v>
      </c>
      <c r="C14" s="55">
        <v>2.0833333333333332E-2</v>
      </c>
      <c r="D14" s="327"/>
      <c r="E14" s="56">
        <f t="shared" ref="E14:E36" si="2">B14+C14</f>
        <v>44432.510416666664</v>
      </c>
      <c r="F14" s="54" t="s">
        <v>504</v>
      </c>
      <c r="G14" s="190"/>
      <c r="H14" s="190">
        <v>30</v>
      </c>
      <c r="I14" s="191"/>
      <c r="J14" s="191"/>
      <c r="K14" s="191"/>
      <c r="L14" s="191"/>
      <c r="M14" s="195" t="s">
        <v>2573</v>
      </c>
      <c r="N14" s="195">
        <f>SUM(K13:K22)</f>
        <v>1595.8448535353536</v>
      </c>
      <c r="O14" s="57" t="s">
        <v>580</v>
      </c>
      <c r="P14" s="57" t="s">
        <v>2574</v>
      </c>
    </row>
    <row r="15" spans="1:16" ht="13.5" customHeight="1" x14ac:dyDescent="0.25">
      <c r="A15" s="31">
        <f t="shared" si="0"/>
        <v>44432.510416666664</v>
      </c>
      <c r="B15" s="37">
        <f t="shared" si="1"/>
        <v>44432.510416666664</v>
      </c>
      <c r="C15" s="55">
        <v>2.0833333333333332E-2</v>
      </c>
      <c r="D15" s="327"/>
      <c r="E15" s="56">
        <f t="shared" si="2"/>
        <v>44432.53125</v>
      </c>
      <c r="F15" s="54" t="s">
        <v>505</v>
      </c>
      <c r="G15" s="193"/>
      <c r="H15" s="193">
        <v>30</v>
      </c>
      <c r="I15" s="194"/>
      <c r="J15" s="194"/>
      <c r="K15" s="194"/>
      <c r="L15" s="191"/>
      <c r="M15" s="195" t="s">
        <v>2575</v>
      </c>
      <c r="N15" s="195">
        <f>SUM(I13:I22)</f>
        <v>157.39168514412415</v>
      </c>
      <c r="O15" s="57" t="s">
        <v>581</v>
      </c>
      <c r="P15" s="57" t="s">
        <v>2576</v>
      </c>
    </row>
    <row r="16" spans="1:16" ht="13.5" customHeight="1" x14ac:dyDescent="0.25">
      <c r="A16" s="31">
        <f t="shared" si="0"/>
        <v>44432.53125</v>
      </c>
      <c r="B16" s="37">
        <f t="shared" si="1"/>
        <v>44432.53125</v>
      </c>
      <c r="C16" s="55">
        <v>2.0833333333333332E-2</v>
      </c>
      <c r="D16" s="327"/>
      <c r="E16" s="56">
        <f t="shared" si="2"/>
        <v>44432.552083333336</v>
      </c>
      <c r="F16" s="54" t="s">
        <v>506</v>
      </c>
      <c r="G16" s="190"/>
      <c r="H16" s="190"/>
      <c r="I16" s="191"/>
      <c r="J16" s="191">
        <v>33.241492346938777</v>
      </c>
      <c r="K16" s="191"/>
      <c r="L16" s="191">
        <f t="shared" ref="L16:L27" si="3">SUM(I16:K16)</f>
        <v>33.241492346938777</v>
      </c>
      <c r="M16" s="195" t="s">
        <v>2577</v>
      </c>
      <c r="N16" s="195">
        <f>SUM(L13:L22)</f>
        <v>1786.4780310264164</v>
      </c>
      <c r="O16" s="57" t="s">
        <v>2578</v>
      </c>
      <c r="P16" s="57" t="s">
        <v>2579</v>
      </c>
    </row>
    <row r="17" spans="1:16" ht="13.5" customHeight="1" x14ac:dyDescent="0.25">
      <c r="A17" s="31">
        <f t="shared" si="0"/>
        <v>44432.552083333336</v>
      </c>
      <c r="B17" s="37">
        <f t="shared" si="1"/>
        <v>44432.552083333336</v>
      </c>
      <c r="C17" s="59">
        <v>4.1666666666666664E-2</v>
      </c>
      <c r="D17" s="327"/>
      <c r="E17" s="56">
        <f t="shared" si="2"/>
        <v>44432.59375</v>
      </c>
      <c r="F17" s="54" t="s">
        <v>507</v>
      </c>
      <c r="G17" s="190"/>
      <c r="H17" s="190"/>
      <c r="I17" s="191">
        <v>31.659645232815961</v>
      </c>
      <c r="J17" s="191"/>
      <c r="K17" s="191"/>
      <c r="L17" s="191">
        <f t="shared" si="3"/>
        <v>31.659645232815961</v>
      </c>
      <c r="M17" s="192"/>
      <c r="N17" s="192"/>
      <c r="O17" s="57" t="s">
        <v>2580</v>
      </c>
      <c r="P17" s="57" t="s">
        <v>2581</v>
      </c>
    </row>
    <row r="18" spans="1:16" ht="13.5" customHeight="1" x14ac:dyDescent="0.25">
      <c r="A18" s="31">
        <f t="shared" si="0"/>
        <v>44432.59375</v>
      </c>
      <c r="B18" s="37">
        <f t="shared" si="1"/>
        <v>44432.59375</v>
      </c>
      <c r="C18" s="59">
        <v>6.9444444444444441E-3</v>
      </c>
      <c r="D18" s="327"/>
      <c r="E18" s="56">
        <f t="shared" si="2"/>
        <v>44432.600694444445</v>
      </c>
      <c r="F18" s="54" t="s">
        <v>509</v>
      </c>
      <c r="G18" s="190"/>
      <c r="H18" s="190"/>
      <c r="I18" s="191">
        <v>125.73203991130821</v>
      </c>
      <c r="J18" s="191"/>
      <c r="K18" s="191"/>
      <c r="L18" s="191">
        <f t="shared" si="3"/>
        <v>125.73203991130821</v>
      </c>
      <c r="M18" s="192"/>
      <c r="N18" s="192"/>
      <c r="O18" s="57" t="s">
        <v>2582</v>
      </c>
      <c r="P18" s="57" t="s">
        <v>2583</v>
      </c>
    </row>
    <row r="19" spans="1:16" ht="13.5" customHeight="1" x14ac:dyDescent="0.25">
      <c r="A19" s="31">
        <f t="shared" si="0"/>
        <v>44432.600694444445</v>
      </c>
      <c r="B19" s="37">
        <f t="shared" si="1"/>
        <v>44432.600694444445</v>
      </c>
      <c r="C19" s="59">
        <v>2.0833333333333332E-2</v>
      </c>
      <c r="D19" s="327"/>
      <c r="E19" s="56">
        <f t="shared" si="2"/>
        <v>44432.621527777781</v>
      </c>
      <c r="F19" s="54" t="s">
        <v>510</v>
      </c>
      <c r="G19" s="190"/>
      <c r="H19" s="190"/>
      <c r="I19" s="191"/>
      <c r="J19" s="191"/>
      <c r="K19" s="191">
        <v>51.172853535353532</v>
      </c>
      <c r="L19" s="191">
        <f t="shared" si="3"/>
        <v>51.172853535353532</v>
      </c>
      <c r="O19" s="202" t="s">
        <v>2584</v>
      </c>
      <c r="P19" s="57" t="s">
        <v>2585</v>
      </c>
    </row>
    <row r="20" spans="1:16" ht="13.5" customHeight="1" x14ac:dyDescent="0.25">
      <c r="A20" s="31">
        <f t="shared" si="0"/>
        <v>44432.621527777781</v>
      </c>
      <c r="B20" s="37">
        <f t="shared" si="1"/>
        <v>44432.621527777781</v>
      </c>
      <c r="C20" s="55">
        <v>2.0833333333333332E-2</v>
      </c>
      <c r="D20" s="327"/>
      <c r="E20" s="56">
        <f t="shared" si="2"/>
        <v>44432.642361111117</v>
      </c>
      <c r="F20" s="54" t="s">
        <v>511</v>
      </c>
      <c r="G20" s="193"/>
      <c r="H20" s="193"/>
      <c r="I20" s="194"/>
      <c r="J20" s="194"/>
      <c r="K20" s="194">
        <v>624.67200000000003</v>
      </c>
      <c r="L20" s="191">
        <f t="shared" si="3"/>
        <v>624.67200000000003</v>
      </c>
      <c r="O20" s="57" t="s">
        <v>2586</v>
      </c>
      <c r="P20" s="57" t="s">
        <v>2587</v>
      </c>
    </row>
    <row r="21" spans="1:16" ht="13.5" customHeight="1" x14ac:dyDescent="0.25">
      <c r="A21" s="31">
        <f t="shared" si="0"/>
        <v>44432.642361111117</v>
      </c>
      <c r="B21" s="37">
        <f t="shared" si="1"/>
        <v>44432.642361111117</v>
      </c>
      <c r="C21" s="55">
        <v>0.33333333333333331</v>
      </c>
      <c r="D21" s="327">
        <v>0.60416666666666663</v>
      </c>
      <c r="E21" s="56">
        <f t="shared" si="2"/>
        <v>44432.975694444453</v>
      </c>
      <c r="F21" s="54" t="s">
        <v>2588</v>
      </c>
      <c r="G21" s="190"/>
      <c r="H21" s="190"/>
      <c r="I21" s="191"/>
      <c r="J21" s="191"/>
      <c r="K21" s="191">
        <v>550</v>
      </c>
      <c r="L21" s="191">
        <f t="shared" si="3"/>
        <v>550</v>
      </c>
      <c r="O21" s="57" t="s">
        <v>2589</v>
      </c>
      <c r="P21" s="57" t="s">
        <v>2590</v>
      </c>
    </row>
    <row r="22" spans="1:16" ht="13.5" customHeight="1" x14ac:dyDescent="0.25">
      <c r="A22" s="31">
        <f t="shared" si="0"/>
        <v>44433.246527777781</v>
      </c>
      <c r="B22" s="37">
        <f t="shared" si="1"/>
        <v>44433.246527777781</v>
      </c>
      <c r="C22" s="55">
        <v>0.33333333333333331</v>
      </c>
      <c r="D22" s="327">
        <v>0.3125</v>
      </c>
      <c r="E22" s="56">
        <f t="shared" si="2"/>
        <v>44433.579861111117</v>
      </c>
      <c r="F22" s="54" t="s">
        <v>2591</v>
      </c>
      <c r="G22" s="190"/>
      <c r="H22" s="190"/>
      <c r="I22" s="191"/>
      <c r="J22" s="191"/>
      <c r="K22" s="191">
        <v>370</v>
      </c>
      <c r="L22" s="191">
        <f t="shared" si="3"/>
        <v>370</v>
      </c>
      <c r="O22" s="57" t="s">
        <v>589</v>
      </c>
      <c r="P22" s="57" t="s">
        <v>2592</v>
      </c>
    </row>
    <row r="23" spans="1:16" ht="13.5" customHeight="1" x14ac:dyDescent="0.25">
      <c r="A23" s="31">
        <f t="shared" si="0"/>
        <v>44433.559027777781</v>
      </c>
      <c r="B23" s="37">
        <f t="shared" si="1"/>
        <v>44433.559027777781</v>
      </c>
      <c r="C23" s="55">
        <v>0.3125</v>
      </c>
      <c r="D23" s="327"/>
      <c r="E23" s="56">
        <f t="shared" si="2"/>
        <v>44433.871527777781</v>
      </c>
      <c r="F23" s="54" t="s">
        <v>2593</v>
      </c>
      <c r="G23" s="190"/>
      <c r="H23" s="190"/>
      <c r="I23" s="191"/>
      <c r="J23" s="191"/>
      <c r="K23" s="191">
        <v>370</v>
      </c>
      <c r="L23" s="191">
        <f t="shared" si="3"/>
        <v>370</v>
      </c>
      <c r="M23" s="195" t="s">
        <v>2594</v>
      </c>
      <c r="N23" s="195">
        <f>SUM(K23:K37)</f>
        <v>1286.9770000000001</v>
      </c>
      <c r="O23" s="57" t="s">
        <v>2595</v>
      </c>
      <c r="P23" s="57" t="s">
        <v>2596</v>
      </c>
    </row>
    <row r="24" spans="1:16" ht="13.5" customHeight="1" x14ac:dyDescent="0.25">
      <c r="A24" s="31">
        <f t="shared" si="0"/>
        <v>44433.871527777781</v>
      </c>
      <c r="B24" s="37">
        <f t="shared" si="1"/>
        <v>44433.871527777781</v>
      </c>
      <c r="C24" s="55">
        <v>6.25E-2</v>
      </c>
      <c r="D24" s="327"/>
      <c r="E24" s="56">
        <f t="shared" si="2"/>
        <v>44433.934027777781</v>
      </c>
      <c r="F24" s="54" t="s">
        <v>515</v>
      </c>
      <c r="G24" s="190"/>
      <c r="H24" s="190"/>
      <c r="I24" s="191"/>
      <c r="J24" s="191"/>
      <c r="K24" s="191">
        <v>816.77700000000004</v>
      </c>
      <c r="L24" s="191">
        <f t="shared" si="3"/>
        <v>816.77700000000004</v>
      </c>
      <c r="M24" s="195" t="s">
        <v>2577</v>
      </c>
      <c r="N24" s="195">
        <f>SUM(L23:L37)</f>
        <v>1286.9770000000001</v>
      </c>
      <c r="O24" s="57" t="s">
        <v>2597</v>
      </c>
      <c r="P24" s="57" t="s">
        <v>2598</v>
      </c>
    </row>
    <row r="25" spans="1:16" ht="13.5" customHeight="1" x14ac:dyDescent="0.25">
      <c r="A25" s="31">
        <f t="shared" si="0"/>
        <v>44433.934027777781</v>
      </c>
      <c r="B25" s="37">
        <f t="shared" si="1"/>
        <v>44433.934027777781</v>
      </c>
      <c r="C25" s="55">
        <v>8.3333333333333329E-2</v>
      </c>
      <c r="D25" s="327"/>
      <c r="E25" s="56">
        <f t="shared" si="2"/>
        <v>44434.017361111117</v>
      </c>
      <c r="F25" s="54" t="s">
        <v>516</v>
      </c>
      <c r="G25" s="190"/>
      <c r="H25" s="190"/>
      <c r="I25" s="191"/>
      <c r="J25" s="191"/>
      <c r="K25" s="191"/>
      <c r="L25" s="191"/>
      <c r="M25" s="192"/>
      <c r="N25" s="192"/>
      <c r="O25" s="58" t="s">
        <v>2599</v>
      </c>
      <c r="P25" s="58" t="s">
        <v>2600</v>
      </c>
    </row>
    <row r="26" spans="1:16" ht="13.5" customHeight="1" x14ac:dyDescent="0.25">
      <c r="A26" s="31">
        <f t="shared" si="0"/>
        <v>44434.017361111117</v>
      </c>
      <c r="B26" s="37">
        <f t="shared" si="1"/>
        <v>44434.017361111117</v>
      </c>
      <c r="C26" s="55">
        <v>8.3333333333333329E-2</v>
      </c>
      <c r="D26" s="327"/>
      <c r="E26" s="56">
        <f t="shared" si="2"/>
        <v>44434.100694444453</v>
      </c>
      <c r="F26" s="54" t="s">
        <v>517</v>
      </c>
      <c r="G26" s="190"/>
      <c r="H26" s="190"/>
      <c r="I26" s="191"/>
      <c r="J26" s="191"/>
      <c r="K26" s="191"/>
      <c r="L26" s="191"/>
      <c r="M26" s="192"/>
      <c r="N26" s="192"/>
      <c r="O26" s="57" t="s">
        <v>2601</v>
      </c>
      <c r="P26" s="57" t="s">
        <v>2602</v>
      </c>
    </row>
    <row r="27" spans="1:16" ht="13.5" customHeight="1" x14ac:dyDescent="0.25">
      <c r="A27" s="31">
        <f t="shared" si="0"/>
        <v>44434.100694444453</v>
      </c>
      <c r="B27" s="37">
        <f t="shared" si="1"/>
        <v>44434.100694444453</v>
      </c>
      <c r="C27" s="55">
        <v>2.0833333333333332E-2</v>
      </c>
      <c r="D27" s="327"/>
      <c r="E27" s="56">
        <f t="shared" si="2"/>
        <v>44434.121527777788</v>
      </c>
      <c r="F27" s="657" t="s">
        <v>2603</v>
      </c>
      <c r="G27" s="190"/>
      <c r="H27" s="190"/>
      <c r="I27" s="191"/>
      <c r="J27" s="191"/>
      <c r="K27" s="191">
        <v>100.2</v>
      </c>
      <c r="L27" s="191">
        <f t="shared" si="3"/>
        <v>100.2</v>
      </c>
      <c r="M27" s="192"/>
      <c r="N27" s="192"/>
      <c r="O27" s="57"/>
      <c r="P27" s="57"/>
    </row>
    <row r="28" spans="1:16" ht="13.5" customHeight="1" x14ac:dyDescent="0.25">
      <c r="A28" s="31">
        <f t="shared" si="0"/>
        <v>44434.121527777788</v>
      </c>
      <c r="B28" s="37">
        <f t="shared" si="1"/>
        <v>44434.121527777788</v>
      </c>
      <c r="C28" s="55">
        <v>0.125</v>
      </c>
      <c r="D28" s="327"/>
      <c r="E28" s="56">
        <f t="shared" si="2"/>
        <v>44434.246527777788</v>
      </c>
      <c r="F28" s="657" t="s">
        <v>2604</v>
      </c>
      <c r="G28" s="190"/>
      <c r="H28" s="190"/>
      <c r="I28" s="191"/>
      <c r="J28" s="191"/>
      <c r="K28" s="191"/>
      <c r="L28" s="191"/>
      <c r="M28" s="192"/>
      <c r="N28" s="192"/>
      <c r="O28" s="57"/>
      <c r="P28" s="57"/>
    </row>
    <row r="29" spans="1:16" ht="13.5" customHeight="1" x14ac:dyDescent="0.25">
      <c r="A29" s="31">
        <f t="shared" si="0"/>
        <v>44434.246527777788</v>
      </c>
      <c r="B29" s="37">
        <f t="shared" si="1"/>
        <v>44434.246527777788</v>
      </c>
      <c r="C29" s="55">
        <v>0.125</v>
      </c>
      <c r="D29" s="327"/>
      <c r="E29" s="56">
        <f t="shared" si="2"/>
        <v>44434.371527777788</v>
      </c>
      <c r="F29" s="657" t="s">
        <v>2605</v>
      </c>
      <c r="G29" s="190"/>
      <c r="H29" s="190"/>
      <c r="I29" s="191"/>
      <c r="J29" s="191"/>
      <c r="K29" s="191"/>
      <c r="L29" s="191"/>
      <c r="M29" s="192"/>
      <c r="N29" s="192"/>
      <c r="O29" s="57"/>
      <c r="P29" s="57"/>
    </row>
    <row r="30" spans="1:16" ht="13.5" customHeight="1" x14ac:dyDescent="0.25">
      <c r="A30" s="31">
        <f t="shared" si="0"/>
        <v>44434.371527777788</v>
      </c>
      <c r="B30" s="37">
        <f t="shared" si="1"/>
        <v>44434.371527777788</v>
      </c>
      <c r="C30" s="55">
        <v>0.125</v>
      </c>
      <c r="D30" s="327"/>
      <c r="E30" s="56">
        <f t="shared" si="2"/>
        <v>44434.496527777788</v>
      </c>
      <c r="F30" s="657" t="s">
        <v>2606</v>
      </c>
      <c r="G30" s="190"/>
      <c r="H30" s="190"/>
      <c r="I30" s="191"/>
      <c r="J30" s="191"/>
      <c r="K30" s="191"/>
      <c r="L30" s="191"/>
      <c r="M30" s="192"/>
      <c r="N30" s="192"/>
      <c r="O30" s="57"/>
      <c r="P30" s="57"/>
    </row>
    <row r="31" spans="1:16" ht="13.5" customHeight="1" x14ac:dyDescent="0.25">
      <c r="A31" s="31">
        <f t="shared" si="0"/>
        <v>44434.496527777788</v>
      </c>
      <c r="B31" s="37">
        <f t="shared" si="1"/>
        <v>44434.496527777788</v>
      </c>
      <c r="C31" s="55">
        <v>0.125</v>
      </c>
      <c r="D31" s="327"/>
      <c r="E31" s="56">
        <f t="shared" si="2"/>
        <v>44434.621527777788</v>
      </c>
      <c r="F31" s="657" t="s">
        <v>2607</v>
      </c>
      <c r="G31" s="190"/>
      <c r="H31" s="190"/>
      <c r="I31" s="191"/>
      <c r="J31" s="191"/>
      <c r="K31" s="191"/>
      <c r="L31" s="191"/>
      <c r="M31" s="192"/>
      <c r="N31" s="192"/>
      <c r="O31" s="57"/>
      <c r="P31" s="57"/>
    </row>
    <row r="32" spans="1:16" ht="13.5" customHeight="1" x14ac:dyDescent="0.25">
      <c r="A32" s="31">
        <f t="shared" si="0"/>
        <v>44434.621527777788</v>
      </c>
      <c r="B32" s="37">
        <f t="shared" si="1"/>
        <v>44434.621527777788</v>
      </c>
      <c r="C32" s="55">
        <v>1.0416666666666666E-2</v>
      </c>
      <c r="D32" s="327"/>
      <c r="E32" s="56">
        <f t="shared" si="2"/>
        <v>44434.631944444453</v>
      </c>
      <c r="F32" s="657" t="s">
        <v>2608</v>
      </c>
      <c r="G32" s="190"/>
      <c r="H32" s="190"/>
      <c r="I32" s="191"/>
      <c r="J32" s="191"/>
      <c r="K32" s="191"/>
      <c r="L32" s="191"/>
      <c r="M32" s="192"/>
      <c r="N32" s="192"/>
      <c r="O32" s="57"/>
      <c r="P32" s="57"/>
    </row>
    <row r="33" spans="1:16" ht="13.5" customHeight="1" x14ac:dyDescent="0.25">
      <c r="A33" s="31">
        <f t="shared" si="0"/>
        <v>44434.631944444453</v>
      </c>
      <c r="B33" s="37">
        <f t="shared" si="1"/>
        <v>44434.631944444453</v>
      </c>
      <c r="C33" s="55">
        <v>0</v>
      </c>
      <c r="D33" s="327"/>
      <c r="E33" s="56">
        <f t="shared" si="2"/>
        <v>44434.631944444453</v>
      </c>
      <c r="F33" s="658" t="s">
        <v>2609</v>
      </c>
      <c r="G33" s="190"/>
      <c r="H33" s="190"/>
      <c r="I33" s="191"/>
      <c r="J33" s="191"/>
      <c r="K33" s="191"/>
      <c r="L33" s="191"/>
      <c r="M33" s="192"/>
      <c r="N33" s="192"/>
      <c r="O33" s="57"/>
      <c r="P33" s="57"/>
    </row>
    <row r="34" spans="1:16" ht="13.5" customHeight="1" x14ac:dyDescent="0.25">
      <c r="A34" s="31">
        <f t="shared" si="0"/>
        <v>44434.631944444453</v>
      </c>
      <c r="B34" s="37">
        <f t="shared" si="1"/>
        <v>44434.631944444453</v>
      </c>
      <c r="C34" s="55">
        <v>6.25E-2</v>
      </c>
      <c r="D34" s="327"/>
      <c r="E34" s="56">
        <f t="shared" si="2"/>
        <v>44434.694444444453</v>
      </c>
      <c r="F34" s="657" t="s">
        <v>2610</v>
      </c>
      <c r="G34" s="190"/>
      <c r="H34" s="190"/>
      <c r="I34" s="191"/>
      <c r="J34" s="191"/>
      <c r="K34" s="191"/>
      <c r="L34" s="191"/>
      <c r="M34" s="192"/>
      <c r="N34" s="192"/>
      <c r="O34" s="57"/>
      <c r="P34" s="57"/>
    </row>
    <row r="35" spans="1:16" ht="13.5" customHeight="1" x14ac:dyDescent="0.25">
      <c r="A35" s="31">
        <f t="shared" si="0"/>
        <v>44434.694444444453</v>
      </c>
      <c r="B35" s="37">
        <f t="shared" si="1"/>
        <v>44434.694444444453</v>
      </c>
      <c r="C35" s="55">
        <v>2.0833333333333332E-2</v>
      </c>
      <c r="D35" s="327"/>
      <c r="E35" s="56">
        <f t="shared" si="2"/>
        <v>44434.715277777788</v>
      </c>
      <c r="F35" s="659" t="s">
        <v>2611</v>
      </c>
      <c r="G35" s="190"/>
      <c r="H35" s="190"/>
      <c r="I35" s="191"/>
      <c r="J35" s="191"/>
      <c r="K35" s="191"/>
      <c r="L35" s="191"/>
      <c r="M35" s="192"/>
      <c r="N35" s="192"/>
      <c r="O35" s="57"/>
      <c r="P35" s="57"/>
    </row>
    <row r="36" spans="1:16" ht="13.5" customHeight="1" x14ac:dyDescent="0.25">
      <c r="A36" s="31">
        <f>IF(D35 = "",A35+C35,A35+D35)</f>
        <v>44434.715277777788</v>
      </c>
      <c r="B36" s="37">
        <f>IF(D35 = "",B35+C35,B35+D35)</f>
        <v>44434.715277777788</v>
      </c>
      <c r="C36" s="55">
        <v>2.0833333333333332E-2</v>
      </c>
      <c r="D36" s="327"/>
      <c r="E36" s="56">
        <f t="shared" si="2"/>
        <v>44434.736111111124</v>
      </c>
      <c r="F36" s="659" t="s">
        <v>2612</v>
      </c>
      <c r="G36" s="190"/>
      <c r="H36" s="190"/>
      <c r="I36" s="191"/>
      <c r="J36" s="191"/>
      <c r="K36" s="191"/>
      <c r="L36" s="191"/>
      <c r="M36" s="192"/>
      <c r="N36" s="192"/>
      <c r="O36" s="57"/>
      <c r="P36" s="57"/>
    </row>
    <row r="37" spans="1:16" x14ac:dyDescent="0.25">
      <c r="A37" s="189" t="s">
        <v>640</v>
      </c>
      <c r="B37" s="189"/>
      <c r="C37" s="189"/>
      <c r="D37" s="189"/>
      <c r="E37" s="189"/>
      <c r="F37" s="189"/>
      <c r="G37" s="197"/>
      <c r="H37" s="197"/>
      <c r="I37" s="197"/>
      <c r="J37" s="197"/>
      <c r="K37" s="197"/>
      <c r="L37" s="197"/>
    </row>
    <row r="38" spans="1:16" ht="13.5" customHeight="1" x14ac:dyDescent="0.35">
      <c r="A38" s="660">
        <f>IF(D36 = "",A36+C36,A36+D36)</f>
        <v>44434.736111111124</v>
      </c>
      <c r="B38" s="37">
        <f>IF(D36 = "",B36+C36,B36+D36)</f>
        <v>44434.736111111124</v>
      </c>
      <c r="C38" s="55">
        <v>0</v>
      </c>
      <c r="D38" s="327">
        <v>0.16666666666666666</v>
      </c>
      <c r="E38" s="56">
        <f>B38+C38</f>
        <v>44434.736111111124</v>
      </c>
      <c r="F38" s="659" t="s">
        <v>2611</v>
      </c>
      <c r="G38" s="191"/>
      <c r="H38" s="191"/>
      <c r="I38" s="191"/>
      <c r="J38" s="191"/>
      <c r="K38" s="191"/>
      <c r="L38" s="191"/>
      <c r="M38" s="192"/>
      <c r="N38" s="192"/>
      <c r="O38" s="661"/>
      <c r="P38" s="661"/>
    </row>
    <row r="39" spans="1:16" ht="13.5" customHeight="1" x14ac:dyDescent="0.35">
      <c r="A39" s="660">
        <f>IF(D38 = "",A38+C38,A38+D38)</f>
        <v>44434.902777777788</v>
      </c>
      <c r="B39" s="37">
        <f>IF(D38 = "",B38+C38,B38+D38)</f>
        <v>44434.902777777788</v>
      </c>
      <c r="C39" s="55">
        <v>0</v>
      </c>
      <c r="D39" s="327"/>
      <c r="E39" s="56">
        <f t="shared" ref="E39:E52" si="4">B39+C39</f>
        <v>44434.902777777788</v>
      </c>
      <c r="F39" s="659" t="s">
        <v>2612</v>
      </c>
      <c r="G39" s="191"/>
      <c r="H39" s="191"/>
      <c r="I39" s="191"/>
      <c r="J39" s="191"/>
      <c r="K39" s="191"/>
      <c r="L39" s="191"/>
      <c r="O39" s="661"/>
      <c r="P39" s="661"/>
    </row>
    <row r="40" spans="1:16" ht="13.5" customHeight="1" x14ac:dyDescent="0.35">
      <c r="A40" s="660">
        <f t="shared" ref="A40:A51" si="5">IF(D39 = "",A39+C39,A39+D39)</f>
        <v>44434.902777777788</v>
      </c>
      <c r="B40" s="37">
        <f t="shared" ref="B40:B51" si="6">IF(D39 = "",B39+C39,B39+D39)</f>
        <v>44434.902777777788</v>
      </c>
      <c r="C40" s="55">
        <v>4.8611111111111112E-2</v>
      </c>
      <c r="D40" s="327"/>
      <c r="E40" s="56">
        <f t="shared" si="4"/>
        <v>44434.951388888898</v>
      </c>
      <c r="F40" s="54" t="s">
        <v>523</v>
      </c>
      <c r="G40" s="190"/>
      <c r="H40" s="190"/>
      <c r="I40" s="191"/>
      <c r="J40" s="191"/>
      <c r="K40" s="191">
        <v>1621.69</v>
      </c>
      <c r="L40" s="191">
        <f t="shared" ref="L40:L50" si="7">SUM(I40:K40)</f>
        <v>1621.69</v>
      </c>
      <c r="M40" s="195" t="s">
        <v>2613</v>
      </c>
      <c r="N40" s="195">
        <f>SUM(K40:K51)</f>
        <v>2976.5854166666668</v>
      </c>
      <c r="O40" s="662" t="s">
        <v>592</v>
      </c>
      <c r="P40" s="662" t="s">
        <v>2614</v>
      </c>
    </row>
    <row r="41" spans="1:16" ht="13.5" customHeight="1" x14ac:dyDescent="0.35">
      <c r="A41" s="660">
        <f t="shared" si="5"/>
        <v>44434.951388888898</v>
      </c>
      <c r="B41" s="37">
        <f t="shared" si="6"/>
        <v>44434.951388888898</v>
      </c>
      <c r="C41" s="55">
        <v>0.14583333333333334</v>
      </c>
      <c r="D41" s="327"/>
      <c r="E41" s="56">
        <f t="shared" si="4"/>
        <v>44435.097222222234</v>
      </c>
      <c r="F41" s="663" t="s">
        <v>2615</v>
      </c>
      <c r="G41" s="190"/>
      <c r="H41" s="190"/>
      <c r="I41" s="191"/>
      <c r="J41" s="191"/>
      <c r="K41" s="191">
        <v>260</v>
      </c>
      <c r="L41" s="191">
        <f t="shared" si="7"/>
        <v>260</v>
      </c>
      <c r="M41" s="195" t="s">
        <v>2577</v>
      </c>
      <c r="N41" s="195">
        <f>SUM(L40:L51)</f>
        <v>2976.5854166666668</v>
      </c>
      <c r="O41" s="662" t="s">
        <v>593</v>
      </c>
      <c r="P41" s="662" t="s">
        <v>2616</v>
      </c>
    </row>
    <row r="42" spans="1:16" ht="13.5" customHeight="1" x14ac:dyDescent="0.35">
      <c r="A42" s="660">
        <f t="shared" si="5"/>
        <v>44435.097222222234</v>
      </c>
      <c r="B42" s="37">
        <f t="shared" si="6"/>
        <v>44435.097222222234</v>
      </c>
      <c r="C42" s="55">
        <v>0.14583333333333334</v>
      </c>
      <c r="D42" s="327"/>
      <c r="E42" s="56">
        <f t="shared" si="4"/>
        <v>44435.243055555569</v>
      </c>
      <c r="F42" s="663" t="s">
        <v>2617</v>
      </c>
      <c r="G42" s="190"/>
      <c r="H42" s="190"/>
      <c r="I42" s="191"/>
      <c r="J42" s="191"/>
      <c r="K42" s="191">
        <v>260</v>
      </c>
      <c r="L42" s="191">
        <f t="shared" si="7"/>
        <v>260</v>
      </c>
      <c r="M42" s="192"/>
      <c r="N42" s="192"/>
      <c r="O42" s="662" t="s">
        <v>594</v>
      </c>
      <c r="P42" s="662" t="s">
        <v>2618</v>
      </c>
    </row>
    <row r="43" spans="1:16" ht="13.5" customHeight="1" x14ac:dyDescent="0.35">
      <c r="A43" s="660">
        <f t="shared" si="5"/>
        <v>44435.243055555569</v>
      </c>
      <c r="B43" s="37">
        <f t="shared" si="6"/>
        <v>44435.243055555569</v>
      </c>
      <c r="C43" s="55">
        <v>0.14583333333333334</v>
      </c>
      <c r="D43" s="327"/>
      <c r="E43" s="56">
        <f t="shared" si="4"/>
        <v>44435.388888888905</v>
      </c>
      <c r="F43" s="663" t="s">
        <v>2619</v>
      </c>
      <c r="G43" s="190"/>
      <c r="H43" s="190"/>
      <c r="I43" s="191"/>
      <c r="J43" s="191"/>
      <c r="K43" s="191">
        <v>260</v>
      </c>
      <c r="L43" s="191">
        <f t="shared" si="7"/>
        <v>260</v>
      </c>
      <c r="M43" s="192"/>
      <c r="N43" s="192"/>
      <c r="O43" s="662"/>
      <c r="P43" s="662"/>
    </row>
    <row r="44" spans="1:16" ht="13.5" customHeight="1" x14ac:dyDescent="0.35">
      <c r="A44" s="660">
        <f t="shared" si="5"/>
        <v>44435.388888888905</v>
      </c>
      <c r="B44" s="37">
        <f t="shared" si="6"/>
        <v>44435.388888888905</v>
      </c>
      <c r="C44" s="55">
        <v>0.125</v>
      </c>
      <c r="D44" s="327"/>
      <c r="E44" s="56">
        <f t="shared" si="4"/>
        <v>44435.513888888905</v>
      </c>
      <c r="F44" s="54" t="s">
        <v>516</v>
      </c>
      <c r="G44" s="190"/>
      <c r="H44" s="190"/>
      <c r="I44" s="191"/>
      <c r="J44" s="191"/>
      <c r="K44" s="191"/>
      <c r="L44" s="191"/>
      <c r="M44" s="192"/>
      <c r="N44" s="192"/>
      <c r="O44" s="662" t="s">
        <v>595</v>
      </c>
      <c r="P44" s="662" t="s">
        <v>2620</v>
      </c>
    </row>
    <row r="45" spans="1:16" ht="13.5" customHeight="1" x14ac:dyDescent="0.35">
      <c r="A45" s="660">
        <f t="shared" si="5"/>
        <v>44435.513888888905</v>
      </c>
      <c r="B45" s="37">
        <f t="shared" si="6"/>
        <v>44435.513888888905</v>
      </c>
      <c r="C45" s="55">
        <v>0.10416666666666667</v>
      </c>
      <c r="D45" s="327"/>
      <c r="E45" s="56">
        <f t="shared" si="4"/>
        <v>44435.618055555569</v>
      </c>
      <c r="F45" s="54" t="s">
        <v>527</v>
      </c>
      <c r="G45" s="190"/>
      <c r="H45" s="190"/>
      <c r="I45" s="191"/>
      <c r="J45" s="191"/>
      <c r="K45" s="191"/>
      <c r="L45" s="191"/>
      <c r="M45" s="192"/>
      <c r="N45" s="192"/>
      <c r="O45" s="662" t="s">
        <v>2621</v>
      </c>
      <c r="P45" s="662" t="s">
        <v>2622</v>
      </c>
    </row>
    <row r="46" spans="1:16" ht="13.5" customHeight="1" x14ac:dyDescent="0.35">
      <c r="A46" s="660">
        <f t="shared" si="5"/>
        <v>44435.618055555569</v>
      </c>
      <c r="B46" s="37">
        <f t="shared" si="6"/>
        <v>44435.618055555569</v>
      </c>
      <c r="C46" s="55">
        <v>3.125E-2</v>
      </c>
      <c r="D46" s="327"/>
      <c r="E46" s="56">
        <f t="shared" si="4"/>
        <v>44435.649305555569</v>
      </c>
      <c r="F46" s="54" t="s">
        <v>528</v>
      </c>
      <c r="G46" s="190"/>
      <c r="H46" s="190"/>
      <c r="I46" s="191"/>
      <c r="J46" s="191"/>
      <c r="K46" s="191">
        <v>537.97472222222211</v>
      </c>
      <c r="L46" s="191">
        <f t="shared" si="7"/>
        <v>537.97472222222211</v>
      </c>
      <c r="M46" s="192"/>
      <c r="N46" s="192"/>
      <c r="O46" s="662" t="s">
        <v>589</v>
      </c>
      <c r="P46" s="662" t="s">
        <v>2623</v>
      </c>
    </row>
    <row r="47" spans="1:16" ht="13.5" customHeight="1" x14ac:dyDescent="0.35">
      <c r="A47" s="660">
        <f t="shared" si="5"/>
        <v>44435.649305555569</v>
      </c>
      <c r="B47" s="37">
        <f t="shared" si="6"/>
        <v>44435.649305555569</v>
      </c>
      <c r="C47" s="55">
        <v>0.10416666666666667</v>
      </c>
      <c r="D47" s="327"/>
      <c r="E47" s="56">
        <f t="shared" si="4"/>
        <v>44435.753472222234</v>
      </c>
      <c r="F47" s="54" t="s">
        <v>516</v>
      </c>
      <c r="G47" s="190"/>
      <c r="H47" s="190"/>
      <c r="I47" s="191"/>
      <c r="J47" s="191"/>
      <c r="K47" s="191"/>
      <c r="L47" s="191"/>
      <c r="O47" s="662" t="s">
        <v>597</v>
      </c>
      <c r="P47" s="662" t="s">
        <v>2624</v>
      </c>
    </row>
    <row r="48" spans="1:16" ht="13.5" hidden="1" customHeight="1" x14ac:dyDescent="0.35">
      <c r="A48" s="665">
        <f t="shared" si="5"/>
        <v>44435.753472222234</v>
      </c>
      <c r="B48" s="564">
        <f t="shared" si="6"/>
        <v>44435.753472222234</v>
      </c>
      <c r="C48" s="664">
        <v>0</v>
      </c>
      <c r="D48" s="562"/>
      <c r="E48" s="666">
        <f t="shared" si="4"/>
        <v>44435.753472222234</v>
      </c>
      <c r="F48" s="667" t="s">
        <v>693</v>
      </c>
      <c r="G48" s="668"/>
      <c r="H48" s="668"/>
      <c r="I48" s="669"/>
      <c r="J48" s="669"/>
      <c r="K48" s="669"/>
      <c r="L48" s="669"/>
      <c r="O48" s="662"/>
      <c r="P48" s="662"/>
    </row>
    <row r="49" spans="1:16" ht="13.5" customHeight="1" x14ac:dyDescent="0.35">
      <c r="A49" s="660">
        <f t="shared" si="5"/>
        <v>44435.753472222234</v>
      </c>
      <c r="B49" s="37">
        <f t="shared" si="6"/>
        <v>44435.753472222234</v>
      </c>
      <c r="C49" s="55">
        <v>4.1666666666666664E-2</v>
      </c>
      <c r="D49" s="327"/>
      <c r="E49" s="56">
        <f t="shared" si="4"/>
        <v>44435.795138888898</v>
      </c>
      <c r="F49" s="54" t="s">
        <v>529</v>
      </c>
      <c r="G49" s="190"/>
      <c r="H49" s="190"/>
      <c r="I49" s="191"/>
      <c r="J49" s="191"/>
      <c r="K49" s="191"/>
      <c r="L49" s="191"/>
      <c r="O49" s="662" t="s">
        <v>593</v>
      </c>
      <c r="P49" s="662" t="s">
        <v>2625</v>
      </c>
    </row>
    <row r="50" spans="1:16" ht="13.5" customHeight="1" x14ac:dyDescent="0.35">
      <c r="A50" s="660">
        <f>IF(D49 = "",A49+C49,A49+D49)</f>
        <v>44435.795138888898</v>
      </c>
      <c r="B50" s="37">
        <f>IF(D49 = "",B49+C49,B49+D49)</f>
        <v>44435.795138888898</v>
      </c>
      <c r="C50" s="55">
        <v>2.0833333333333332E-2</v>
      </c>
      <c r="D50" s="327"/>
      <c r="E50" s="56">
        <f t="shared" si="4"/>
        <v>44435.815972222234</v>
      </c>
      <c r="F50" s="54" t="s">
        <v>530</v>
      </c>
      <c r="G50" s="190"/>
      <c r="H50" s="190"/>
      <c r="I50" s="191"/>
      <c r="J50" s="191"/>
      <c r="K50" s="191">
        <v>36.920694444444443</v>
      </c>
      <c r="L50" s="191">
        <f t="shared" si="7"/>
        <v>36.920694444444443</v>
      </c>
      <c r="M50" s="195" t="s">
        <v>2626</v>
      </c>
      <c r="N50" s="195">
        <f>SUM(K50:K54)</f>
        <v>36.920694444444443</v>
      </c>
      <c r="O50" s="662"/>
      <c r="P50" s="662"/>
    </row>
    <row r="51" spans="1:16" ht="13.5" customHeight="1" x14ac:dyDescent="0.35">
      <c r="A51" s="660">
        <f t="shared" si="5"/>
        <v>44435.815972222234</v>
      </c>
      <c r="B51" s="37">
        <f t="shared" si="6"/>
        <v>44435.815972222234</v>
      </c>
      <c r="C51" s="55">
        <v>0</v>
      </c>
      <c r="D51" s="327"/>
      <c r="E51" s="56">
        <f t="shared" si="4"/>
        <v>44435.815972222234</v>
      </c>
      <c r="F51" s="682" t="s">
        <v>2627</v>
      </c>
      <c r="G51" s="190"/>
      <c r="H51" s="190"/>
      <c r="I51" s="191"/>
      <c r="J51" s="191"/>
      <c r="K51" s="191"/>
      <c r="L51" s="191"/>
      <c r="M51" s="201" t="s">
        <v>2577</v>
      </c>
      <c r="N51" s="201">
        <f>SUM(L50:L54)</f>
        <v>36.920694444444443</v>
      </c>
      <c r="O51" s="662" t="s">
        <v>589</v>
      </c>
      <c r="P51" s="662" t="s">
        <v>2628</v>
      </c>
    </row>
    <row r="52" spans="1:16" ht="13.5" customHeight="1" x14ac:dyDescent="0.35">
      <c r="A52" s="660">
        <f>IF(D51 = "",A51+C51,A51+D51)</f>
        <v>44435.815972222234</v>
      </c>
      <c r="B52" s="37">
        <f>IF(D51 = "",B51+C51,B51+D51)</f>
        <v>44435.815972222234</v>
      </c>
      <c r="C52" s="55">
        <v>0.10416666666666667</v>
      </c>
      <c r="D52" s="327"/>
      <c r="E52" s="56">
        <f t="shared" si="4"/>
        <v>44435.920138888898</v>
      </c>
      <c r="F52" s="54" t="s">
        <v>520</v>
      </c>
      <c r="G52" s="190"/>
      <c r="H52" s="190"/>
      <c r="I52" s="191"/>
      <c r="J52" s="191"/>
      <c r="K52" s="191"/>
      <c r="L52" s="191"/>
      <c r="O52" s="662" t="s">
        <v>590</v>
      </c>
      <c r="P52" s="662" t="s">
        <v>2629</v>
      </c>
    </row>
    <row r="53" spans="1:16" ht="14.5" x14ac:dyDescent="0.25">
      <c r="A53" s="189" t="s">
        <v>2630</v>
      </c>
      <c r="B53" s="189"/>
      <c r="C53" s="189"/>
      <c r="D53" s="189"/>
      <c r="E53" s="189"/>
      <c r="F53" s="189"/>
      <c r="G53" s="197"/>
      <c r="H53" s="197"/>
      <c r="I53" s="197"/>
      <c r="J53" s="197"/>
      <c r="K53" s="197"/>
      <c r="L53" s="197"/>
      <c r="O53" s="200"/>
      <c r="P53" s="200"/>
    </row>
    <row r="54" spans="1:16" ht="13.5" customHeight="1" x14ac:dyDescent="0.25">
      <c r="A54" s="185">
        <f>B44</f>
        <v>44435.388888888905</v>
      </c>
      <c r="B54" s="467">
        <f>A54</f>
        <v>44435.388888888905</v>
      </c>
      <c r="C54" s="730">
        <v>6.25E-2</v>
      </c>
      <c r="D54" s="510" t="str">
        <f t="shared" ref="D54" si="8">IF(_xlfn.ISFORMULA(E54)=TRUE,"",E54-B54)</f>
        <v/>
      </c>
      <c r="E54" s="731">
        <f>B54+C54</f>
        <v>44435.451388888905</v>
      </c>
      <c r="F54" s="732" t="s">
        <v>533</v>
      </c>
      <c r="G54" s="171"/>
      <c r="H54" s="171"/>
      <c r="I54" s="171">
        <v>85</v>
      </c>
      <c r="J54" s="171"/>
      <c r="K54" s="171"/>
      <c r="L54" s="171"/>
      <c r="O54" s="177"/>
      <c r="P54" s="176"/>
    </row>
    <row r="55" spans="1:16" ht="21" x14ac:dyDescent="0.55000000000000004">
      <c r="A55" s="53"/>
      <c r="B55" s="52" t="s">
        <v>534</v>
      </c>
      <c r="D55" s="51">
        <f>SUM(D13:D36,D40:D52)</f>
        <v>0.91666666666666663</v>
      </c>
      <c r="G55" s="198" t="s">
        <v>535</v>
      </c>
      <c r="H55" s="199">
        <f>SUM(H13:H36,H40:H52)</f>
        <v>65</v>
      </c>
      <c r="I55" s="199">
        <f>SUM(I13:I36,I40:I54)</f>
        <v>242.39168514412415</v>
      </c>
      <c r="J55" s="199">
        <f>SUM(J13:J36,J40:J52)</f>
        <v>33.241492346938777</v>
      </c>
      <c r="K55" s="199">
        <f>SUM(K13:K36,K40:K52)</f>
        <v>5859.4072702020203</v>
      </c>
      <c r="L55" s="199">
        <f>SUM(L13:L36,L40:L52)</f>
        <v>6050.0404476930826</v>
      </c>
    </row>
    <row r="56" spans="1:16" x14ac:dyDescent="0.25">
      <c r="B56" s="50" t="s">
        <v>536</v>
      </c>
      <c r="D56" s="49">
        <f>D55/24</f>
        <v>3.8194444444444441E-2</v>
      </c>
      <c r="G56" s="47"/>
      <c r="H56" s="47"/>
      <c r="I56" s="242" t="s">
        <v>537</v>
      </c>
      <c r="J56" s="47"/>
      <c r="K56" s="47"/>
      <c r="L56" s="47"/>
    </row>
    <row r="57" spans="1:16" x14ac:dyDescent="0.25">
      <c r="G57" s="47"/>
      <c r="H57" s="47"/>
      <c r="I57" s="47"/>
      <c r="J57" s="47"/>
      <c r="K57" s="47"/>
      <c r="L57" s="47"/>
    </row>
    <row r="58" spans="1:16" x14ac:dyDescent="0.25">
      <c r="G58" s="47"/>
      <c r="H58" s="47"/>
      <c r="I58" s="47"/>
      <c r="J58" s="47"/>
      <c r="K58" s="47"/>
      <c r="L58" s="47"/>
    </row>
    <row r="59" spans="1:16" x14ac:dyDescent="0.25">
      <c r="G59" s="47"/>
      <c r="H59" s="47"/>
      <c r="I59" s="47"/>
      <c r="J59" s="47"/>
      <c r="K59" s="47"/>
      <c r="L59" s="47"/>
    </row>
    <row r="60" spans="1:16" x14ac:dyDescent="0.25">
      <c r="D60" s="48"/>
      <c r="G60" s="47"/>
      <c r="H60" s="47"/>
      <c r="I60" s="47"/>
      <c r="J60" s="47"/>
      <c r="K60" s="47"/>
      <c r="L60" s="47"/>
    </row>
    <row r="61" spans="1:16" x14ac:dyDescent="0.25">
      <c r="G61" s="47"/>
      <c r="H61" s="47"/>
      <c r="I61" s="47"/>
      <c r="J61" s="47"/>
      <c r="K61" s="47"/>
      <c r="L61" s="47"/>
    </row>
    <row r="62" spans="1:16" x14ac:dyDescent="0.25">
      <c r="G62" s="47"/>
      <c r="H62" s="47"/>
      <c r="I62" s="47"/>
      <c r="J62" s="47"/>
      <c r="K62" s="47"/>
      <c r="L62" s="47"/>
    </row>
    <row r="63" spans="1:16" x14ac:dyDescent="0.25">
      <c r="G63" s="47"/>
      <c r="H63" s="47"/>
      <c r="I63" s="47"/>
      <c r="J63" s="47"/>
      <c r="K63" s="47"/>
      <c r="L63" s="47"/>
    </row>
    <row r="64" spans="1:16" x14ac:dyDescent="0.25">
      <c r="G64" s="47"/>
      <c r="H64" s="47"/>
      <c r="I64" s="47"/>
      <c r="J64" s="47"/>
      <c r="K64" s="47"/>
      <c r="L64" s="47"/>
    </row>
    <row r="65" spans="6:12" x14ac:dyDescent="0.25">
      <c r="G65" s="47"/>
      <c r="H65" s="47"/>
      <c r="I65" s="47"/>
      <c r="J65" s="47"/>
      <c r="K65" s="47"/>
      <c r="L65" s="47"/>
    </row>
    <row r="66" spans="6:12" x14ac:dyDescent="0.25">
      <c r="G66" s="47"/>
      <c r="H66" s="47"/>
      <c r="I66" s="47"/>
      <c r="J66" s="47"/>
      <c r="K66" s="47"/>
      <c r="L66" s="47"/>
    </row>
    <row r="67" spans="6:12" x14ac:dyDescent="0.25">
      <c r="G67" s="47"/>
      <c r="H67" s="47"/>
      <c r="I67" s="47"/>
      <c r="J67" s="47"/>
      <c r="K67" s="47"/>
      <c r="L67" s="47"/>
    </row>
    <row r="68" spans="6:12" x14ac:dyDescent="0.25">
      <c r="G68" s="47"/>
      <c r="H68" s="47"/>
      <c r="I68" s="47"/>
      <c r="J68" s="47"/>
      <c r="K68" s="47"/>
      <c r="L68" s="47"/>
    </row>
    <row r="69" spans="6:12" x14ac:dyDescent="0.25">
      <c r="G69" s="47"/>
      <c r="H69" s="47"/>
      <c r="I69" s="47"/>
      <c r="J69" s="47"/>
      <c r="K69" s="47"/>
      <c r="L69" s="47"/>
    </row>
    <row r="70" spans="6:12" x14ac:dyDescent="0.25">
      <c r="G70" s="47"/>
      <c r="H70" s="47"/>
      <c r="I70" s="47"/>
      <c r="J70" s="47"/>
      <c r="K70" s="47"/>
      <c r="L70" s="47"/>
    </row>
    <row r="71" spans="6:12" x14ac:dyDescent="0.25">
      <c r="G71" s="47"/>
      <c r="H71" s="47"/>
      <c r="I71" s="47"/>
      <c r="J71" s="47"/>
      <c r="K71" s="47"/>
      <c r="L71" s="47"/>
    </row>
    <row r="72" spans="6:12" x14ac:dyDescent="0.25">
      <c r="G72" s="47"/>
      <c r="H72" s="47"/>
      <c r="I72" s="47"/>
      <c r="J72" s="47"/>
      <c r="K72" s="47"/>
      <c r="L72" s="47"/>
    </row>
    <row r="73" spans="6:12" x14ac:dyDescent="0.25">
      <c r="G73" s="47"/>
      <c r="H73" s="47"/>
      <c r="I73" s="47"/>
      <c r="J73" s="47"/>
      <c r="K73" s="47"/>
      <c r="L73" s="47"/>
    </row>
    <row r="74" spans="6:12" x14ac:dyDescent="0.25">
      <c r="G74" s="47"/>
      <c r="H74" s="47"/>
      <c r="I74" s="47"/>
      <c r="J74" s="47"/>
      <c r="K74" s="47"/>
      <c r="L74" s="47"/>
    </row>
    <row r="75" spans="6:12" x14ac:dyDescent="0.25">
      <c r="G75" s="47"/>
      <c r="H75" s="47"/>
      <c r="I75" s="47"/>
      <c r="J75" s="47"/>
      <c r="K75" s="47"/>
      <c r="L75" s="47"/>
    </row>
    <row r="76" spans="6:12" x14ac:dyDescent="0.25">
      <c r="G76" s="47"/>
      <c r="H76" s="47"/>
      <c r="I76" s="47"/>
      <c r="J76" s="47"/>
      <c r="K76" s="47"/>
      <c r="L76" s="47"/>
    </row>
    <row r="77" spans="6:12" x14ac:dyDescent="0.25">
      <c r="F77" s="47"/>
    </row>
    <row r="78" spans="6:12" x14ac:dyDescent="0.25">
      <c r="F78" s="47"/>
    </row>
  </sheetData>
  <mergeCells count="2">
    <mergeCell ref="A1:B1"/>
    <mergeCell ref="A5:D5"/>
  </mergeCells>
  <pageMargins left="0.75" right="0.75" top="1" bottom="1" header="0.5" footer="0.5"/>
  <pageSetup orientation="portrait" r:id="rId1"/>
  <headerFooter alignWithMargins="0">
    <oddFooter>&amp;R&amp;"Arial,Regular"&amp;08&amp;K7F7F7FAmgen Proprietary - Confidential   &amp;C&amp;"Arial,Regular"&amp;08&amp;K7F7F7FAmgen Proprietary - For Internal Use Only</oddFooter>
    <evenFooter>&amp;R&amp;"Arial,Regular"&amp;08&amp;K7F7F7FAmgen Proprietary - Confidential   &amp;C&amp;"Arial,Regular"&amp;08&amp;K7F7F7FAmgen Proprietary - For Internal Use Only</evenFooter>
    <firstFooter>&amp;R&amp;"Arial,Regular"&amp;08&amp;K7F7F7FAmgen Proprietary - Confidential   &amp;C&amp;"Arial,Regular"&amp;08&amp;K7F7F7FAmgen Proprietary - For Internal Use Only</firstFooter>
  </headerFooter>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58D24-596B-49B0-8FD5-BA69DD5777BD}">
  <sheetPr codeName="Sheet96">
    <pageSetUpPr autoPageBreaks="0"/>
  </sheetPr>
  <dimension ref="A1:M55"/>
  <sheetViews>
    <sheetView zoomScaleNormal="100" workbookViewId="0">
      <selection activeCell="D19" sqref="D19"/>
    </sheetView>
  </sheetViews>
  <sheetFormatPr defaultColWidth="9.453125" defaultRowHeight="11.5" x14ac:dyDescent="0.25"/>
  <cols>
    <col min="1" max="1" width="26.54296875" style="25" bestFit="1" customWidth="1"/>
    <col min="2" max="3" width="23.453125" style="25" customWidth="1"/>
    <col min="4" max="4" width="20.54296875" style="25" hidden="1" customWidth="1"/>
    <col min="5" max="5" width="21.54296875" style="25" customWidth="1"/>
    <col min="6" max="6" width="50.54296875" style="25" customWidth="1"/>
    <col min="7" max="7" width="43.453125" style="25" bestFit="1" customWidth="1"/>
    <col min="8" max="11" width="14.453125" style="25" customWidth="1"/>
    <col min="12" max="16384" width="9.453125" style="25"/>
  </cols>
  <sheetData>
    <row r="1" spans="1:13" ht="12" thickBot="1" x14ac:dyDescent="0.3">
      <c r="A1" s="1053" t="s">
        <v>479</v>
      </c>
      <c r="B1" s="1054"/>
    </row>
    <row r="2" spans="1:13" ht="12" thickBot="1" x14ac:dyDescent="0.3">
      <c r="A2" s="772" t="s">
        <v>480</v>
      </c>
      <c r="B2" s="115">
        <f>A11</f>
        <v>44438.479166666664</v>
      </c>
    </row>
    <row r="3" spans="1:13" x14ac:dyDescent="0.25">
      <c r="A3" s="772" t="s">
        <v>482</v>
      </c>
      <c r="B3" s="454">
        <f>A11</f>
        <v>44438.479166666664</v>
      </c>
    </row>
    <row r="5" spans="1:13" x14ac:dyDescent="0.25">
      <c r="A5" s="1049" t="s">
        <v>484</v>
      </c>
      <c r="B5" s="1050"/>
      <c r="C5" s="1050"/>
      <c r="D5" s="1051"/>
    </row>
    <row r="6" spans="1:13" x14ac:dyDescent="0.25">
      <c r="A6" s="781" t="s">
        <v>485</v>
      </c>
      <c r="B6" s="781" t="s">
        <v>486</v>
      </c>
      <c r="C6" s="781" t="s">
        <v>487</v>
      </c>
      <c r="D6" s="781" t="s">
        <v>488</v>
      </c>
    </row>
    <row r="7" spans="1:13" x14ac:dyDescent="0.25">
      <c r="A7" s="41" t="str">
        <f>F16</f>
        <v>IPC: Reaction Conversion</v>
      </c>
      <c r="B7" s="455">
        <f>INDEX($A$11:$A$62,MATCH(A7,$F$11:$F$59,0))</f>
        <v>44439.458333333336</v>
      </c>
      <c r="C7" s="37">
        <f>INDEX($A$11:$A$62,MATCH(A7,$F$11:$F$59,0))</f>
        <v>44439.458333333336</v>
      </c>
      <c r="D7" s="475"/>
    </row>
    <row r="8" spans="1:13" x14ac:dyDescent="0.25">
      <c r="A8" s="35" t="s">
        <v>2445</v>
      </c>
      <c r="B8" s="455">
        <f>INDEX($A$11:$A$62,MATCH(A8,$F$11:$F$59,0))</f>
        <v>44442.697916666664</v>
      </c>
      <c r="C8" s="37">
        <f>INDEX($A$11:$A$62,MATCH(A8,$F$11:$F$59,0))</f>
        <v>44442.697916666664</v>
      </c>
      <c r="D8" s="110"/>
    </row>
    <row r="9" spans="1:13" x14ac:dyDescent="0.25">
      <c r="B9" s="453"/>
    </row>
    <row r="10" spans="1:13" ht="23" x14ac:dyDescent="0.25">
      <c r="A10" s="749" t="s">
        <v>492</v>
      </c>
      <c r="B10" s="749" t="s">
        <v>493</v>
      </c>
      <c r="C10" s="749" t="s">
        <v>494</v>
      </c>
      <c r="D10" s="86" t="s">
        <v>495</v>
      </c>
      <c r="E10" s="749" t="s">
        <v>560</v>
      </c>
      <c r="F10" s="749" t="s">
        <v>541</v>
      </c>
      <c r="G10" s="749" t="s">
        <v>498</v>
      </c>
      <c r="H10" s="749" t="s">
        <v>561</v>
      </c>
      <c r="I10" s="749" t="s">
        <v>126</v>
      </c>
      <c r="J10" s="749" t="s">
        <v>92</v>
      </c>
      <c r="K10" s="749" t="s">
        <v>501</v>
      </c>
    </row>
    <row r="11" spans="1:13" x14ac:dyDescent="0.25">
      <c r="A11" s="31">
        <v>44438.479166666664</v>
      </c>
      <c r="B11" s="38">
        <f>A11</f>
        <v>44438.479166666664</v>
      </c>
      <c r="C11" s="36">
        <v>6.25E-2</v>
      </c>
      <c r="D11" s="327" t="str">
        <f t="shared" ref="D11:D29" si="0">IF(_xlfn.ISFORMULA(E11)=TRUE,"",E11-B11)</f>
        <v/>
      </c>
      <c r="E11" s="114">
        <f t="shared" ref="E11:E29" si="1">B11+C11</f>
        <v>44438.541666666664</v>
      </c>
      <c r="F11" s="35" t="s">
        <v>562</v>
      </c>
      <c r="G11" s="35"/>
      <c r="H11" s="684"/>
      <c r="I11" s="684"/>
      <c r="J11" s="684"/>
      <c r="K11" s="684"/>
      <c r="L11" s="1057"/>
      <c r="M11" s="1056"/>
    </row>
    <row r="12" spans="1:13" ht="12.75" customHeight="1" x14ac:dyDescent="0.25">
      <c r="A12" s="31">
        <f t="shared" ref="A12:A29" si="2">IF(D11 = "",A11+C11,A11+D11)</f>
        <v>44438.541666666664</v>
      </c>
      <c r="B12" s="685">
        <f>IF(D11 = "",B11+C11,B11+D11)</f>
        <v>44438.541666666664</v>
      </c>
      <c r="C12" s="36">
        <v>0.375</v>
      </c>
      <c r="D12" s="327">
        <v>0.33333333333333331</v>
      </c>
      <c r="E12" s="114">
        <f t="shared" si="1"/>
        <v>44438.916666666664</v>
      </c>
      <c r="F12" s="35" t="s">
        <v>563</v>
      </c>
      <c r="G12" s="35"/>
      <c r="H12" s="684"/>
      <c r="I12" s="684"/>
      <c r="J12" s="684"/>
      <c r="K12" s="684"/>
      <c r="L12" s="1055"/>
      <c r="M12" s="1056"/>
    </row>
    <row r="13" spans="1:13" ht="12" customHeight="1" x14ac:dyDescent="0.25">
      <c r="A13" s="31">
        <f t="shared" si="2"/>
        <v>44438.875</v>
      </c>
      <c r="B13" s="37">
        <f t="shared" ref="B13:B29" si="3">IF(D12 = "",B12+C12,B12+D12)</f>
        <v>44438.875</v>
      </c>
      <c r="C13" s="36">
        <v>0.22916666666666666</v>
      </c>
      <c r="D13" s="327">
        <v>0.16666666666666666</v>
      </c>
      <c r="E13" s="114">
        <f t="shared" si="1"/>
        <v>44439.104166666664</v>
      </c>
      <c r="F13" s="35" t="s">
        <v>564</v>
      </c>
      <c r="G13" s="39"/>
      <c r="H13" s="684"/>
      <c r="I13" s="684"/>
      <c r="J13" s="684">
        <f>(199.6 + 36 + 81 + 81 + 81) / 0.997</f>
        <v>480.04012036108327</v>
      </c>
      <c r="K13" s="684"/>
    </row>
    <row r="14" spans="1:13" ht="12" customHeight="1" x14ac:dyDescent="0.25">
      <c r="A14" s="31">
        <f t="shared" si="2"/>
        <v>44439.041666666664</v>
      </c>
      <c r="B14" s="37">
        <f t="shared" si="3"/>
        <v>44439.041666666664</v>
      </c>
      <c r="C14" s="36">
        <v>0.10416666666666667</v>
      </c>
      <c r="D14" s="327">
        <v>0.20833333333333334</v>
      </c>
      <c r="E14" s="114">
        <f t="shared" si="1"/>
        <v>44439.145833333328</v>
      </c>
      <c r="F14" s="35" t="s">
        <v>565</v>
      </c>
      <c r="G14" s="39"/>
      <c r="H14" s="684"/>
      <c r="I14" s="684"/>
      <c r="J14" s="684"/>
      <c r="K14" s="684"/>
      <c r="L14" s="1057"/>
      <c r="M14" s="1056"/>
    </row>
    <row r="15" spans="1:13" ht="12.75" customHeight="1" x14ac:dyDescent="0.25">
      <c r="A15" s="31">
        <f t="shared" si="2"/>
        <v>44439.25</v>
      </c>
      <c r="B15" s="37">
        <f t="shared" si="3"/>
        <v>44439.25</v>
      </c>
      <c r="C15" s="36">
        <v>0.20833333333333334</v>
      </c>
      <c r="D15" s="327" t="str">
        <f t="shared" si="0"/>
        <v/>
      </c>
      <c r="E15" s="114">
        <f t="shared" si="1"/>
        <v>44439.458333333336</v>
      </c>
      <c r="F15" s="35" t="s">
        <v>566</v>
      </c>
      <c r="G15" s="35"/>
      <c r="H15" s="684"/>
      <c r="I15" s="684"/>
      <c r="J15" s="684"/>
      <c r="K15" s="684"/>
      <c r="L15" s="1055"/>
      <c r="M15" s="1056"/>
    </row>
    <row r="16" spans="1:13" ht="13.4" customHeight="1" x14ac:dyDescent="0.25">
      <c r="A16" s="31">
        <f t="shared" si="2"/>
        <v>44439.458333333336</v>
      </c>
      <c r="B16" s="37">
        <f t="shared" si="3"/>
        <v>44439.458333333336</v>
      </c>
      <c r="C16" s="111">
        <v>0.14583333333333334</v>
      </c>
      <c r="D16" s="327">
        <v>0.11458333333333333</v>
      </c>
      <c r="E16" s="114">
        <f t="shared" si="1"/>
        <v>44439.604166666672</v>
      </c>
      <c r="F16" s="39" t="s">
        <v>567</v>
      </c>
      <c r="G16" s="35" t="s">
        <v>568</v>
      </c>
      <c r="H16" s="458"/>
      <c r="I16" s="458"/>
      <c r="J16" s="458"/>
      <c r="K16" s="458"/>
    </row>
    <row r="17" spans="1:13" x14ac:dyDescent="0.25">
      <c r="A17" s="31">
        <f t="shared" si="2"/>
        <v>44439.572916666672</v>
      </c>
      <c r="B17" s="37">
        <f t="shared" si="3"/>
        <v>44439.572916666672</v>
      </c>
      <c r="C17" s="111">
        <v>0.375</v>
      </c>
      <c r="D17" s="327">
        <v>0.26041666666666669</v>
      </c>
      <c r="E17" s="114">
        <f t="shared" si="1"/>
        <v>44439.947916666672</v>
      </c>
      <c r="F17" s="35" t="s">
        <v>569</v>
      </c>
      <c r="G17" s="35"/>
      <c r="H17" s="684"/>
      <c r="I17" s="684"/>
      <c r="J17" s="684"/>
      <c r="K17" s="684"/>
    </row>
    <row r="18" spans="1:13" x14ac:dyDescent="0.25">
      <c r="A18" s="31">
        <f t="shared" si="2"/>
        <v>44439.833333333336</v>
      </c>
      <c r="B18" s="37">
        <f t="shared" si="3"/>
        <v>44439.833333333336</v>
      </c>
      <c r="C18" s="111">
        <v>0.5</v>
      </c>
      <c r="D18" s="327" t="str">
        <f t="shared" si="0"/>
        <v/>
      </c>
      <c r="E18" s="114">
        <f t="shared" si="1"/>
        <v>44440.333333333336</v>
      </c>
      <c r="F18" s="35" t="s">
        <v>570</v>
      </c>
      <c r="G18" s="35"/>
      <c r="H18" s="684"/>
      <c r="I18" s="684"/>
      <c r="J18" s="684">
        <f>(69.5 + 36 + 48 + 62.6 + 36 + 48 + 48 + 48)/0.997</f>
        <v>397.29187562688065</v>
      </c>
      <c r="K18" s="684"/>
    </row>
    <row r="19" spans="1:13" x14ac:dyDescent="0.25">
      <c r="A19" s="31">
        <f t="shared" si="2"/>
        <v>44440.333333333336</v>
      </c>
      <c r="B19" s="37">
        <f t="shared" si="3"/>
        <v>44440.333333333336</v>
      </c>
      <c r="C19" s="111">
        <v>4.1666666666666664E-2</v>
      </c>
      <c r="D19" s="327"/>
      <c r="E19" s="114">
        <f t="shared" si="1"/>
        <v>44440.375</v>
      </c>
      <c r="F19" s="35" t="s">
        <v>2446</v>
      </c>
      <c r="G19" s="35"/>
      <c r="H19" s="684">
        <f>40+120</f>
        <v>160</v>
      </c>
      <c r="I19" s="684"/>
      <c r="J19" s="684"/>
      <c r="K19" s="684">
        <f>H19</f>
        <v>160</v>
      </c>
    </row>
    <row r="20" spans="1:13" ht="13.5" customHeight="1" x14ac:dyDescent="0.25">
      <c r="A20" s="31">
        <f t="shared" si="2"/>
        <v>44440.375</v>
      </c>
      <c r="B20" s="37">
        <f t="shared" si="3"/>
        <v>44440.375</v>
      </c>
      <c r="C20" s="111">
        <v>0.52083333333333337</v>
      </c>
      <c r="D20" s="327">
        <v>0.5625</v>
      </c>
      <c r="E20" s="114">
        <f t="shared" si="1"/>
        <v>44440.895833333336</v>
      </c>
      <c r="F20" s="35" t="s">
        <v>571</v>
      </c>
      <c r="G20" s="35"/>
      <c r="H20" s="684"/>
      <c r="I20" s="684"/>
      <c r="J20" s="684"/>
      <c r="K20" s="684"/>
    </row>
    <row r="21" spans="1:13" ht="12" customHeight="1" x14ac:dyDescent="0.25">
      <c r="A21" s="31">
        <f t="shared" si="2"/>
        <v>44440.9375</v>
      </c>
      <c r="B21" s="37">
        <f t="shared" si="3"/>
        <v>44440.9375</v>
      </c>
      <c r="C21" s="36">
        <v>0.57291666666666663</v>
      </c>
      <c r="D21" s="327" t="str">
        <f t="shared" si="0"/>
        <v/>
      </c>
      <c r="E21" s="114">
        <f t="shared" si="1"/>
        <v>44441.510416666664</v>
      </c>
      <c r="F21" s="35" t="s">
        <v>548</v>
      </c>
      <c r="G21" s="39"/>
      <c r="H21" s="684"/>
      <c r="I21" s="684"/>
      <c r="J21" s="684"/>
      <c r="K21" s="684"/>
      <c r="L21" s="1058"/>
      <c r="M21" s="1059"/>
    </row>
    <row r="22" spans="1:13" ht="12.75" customHeight="1" x14ac:dyDescent="0.25">
      <c r="A22" s="31">
        <f t="shared" si="2"/>
        <v>44441.510416666664</v>
      </c>
      <c r="B22" s="37">
        <f t="shared" si="3"/>
        <v>44441.510416666664</v>
      </c>
      <c r="C22" s="36">
        <v>0.125</v>
      </c>
      <c r="D22" s="327" t="str">
        <f t="shared" si="0"/>
        <v/>
      </c>
      <c r="E22" s="114">
        <f t="shared" si="1"/>
        <v>44441.635416666664</v>
      </c>
      <c r="F22" s="35" t="s">
        <v>549</v>
      </c>
      <c r="G22" s="35"/>
      <c r="H22" s="684">
        <f>(252.2 + 36 + 78.4 + 174.3 + 70.4 + 70.4 + 70.4 + 66 + 54.7)/0.902</f>
        <v>967.62749445676275</v>
      </c>
      <c r="I22" s="684">
        <f>54.7/0.684</f>
        <v>79.970760233918128</v>
      </c>
      <c r="J22" s="684"/>
      <c r="K22" s="684">
        <f>SUM(H22:I22)</f>
        <v>1047.598254690681</v>
      </c>
      <c r="L22" s="1060"/>
      <c r="M22" s="1059"/>
    </row>
    <row r="23" spans="1:13" ht="12.75" customHeight="1" x14ac:dyDescent="0.25">
      <c r="A23" s="31">
        <f t="shared" si="2"/>
        <v>44441.635416666664</v>
      </c>
      <c r="B23" s="37">
        <f t="shared" si="3"/>
        <v>44441.635416666664</v>
      </c>
      <c r="C23" s="36">
        <v>0.4375</v>
      </c>
      <c r="D23" s="327" t="str">
        <f t="shared" si="0"/>
        <v/>
      </c>
      <c r="E23" s="114">
        <f t="shared" si="1"/>
        <v>44442.072916666664</v>
      </c>
      <c r="F23" s="35" t="s">
        <v>572</v>
      </c>
      <c r="G23" s="35"/>
      <c r="H23" s="1061">
        <f>26.1/0.902</f>
        <v>28.935698447893571</v>
      </c>
      <c r="I23" s="1063">
        <f>(13.1 + 32.8)/0.684</f>
        <v>67.105263157894726</v>
      </c>
      <c r="J23" s="684"/>
      <c r="K23" s="1061">
        <f t="shared" ref="K23" si="4">SUM(H23:I23)</f>
        <v>96.040961605788297</v>
      </c>
    </row>
    <row r="24" spans="1:13" ht="12.75" customHeight="1" x14ac:dyDescent="0.25">
      <c r="A24" s="31">
        <f t="shared" si="2"/>
        <v>44442.072916666664</v>
      </c>
      <c r="B24" s="37">
        <f t="shared" si="3"/>
        <v>44442.072916666664</v>
      </c>
      <c r="C24" s="36">
        <v>0.625</v>
      </c>
      <c r="D24" s="327" t="str">
        <f t="shared" si="0"/>
        <v/>
      </c>
      <c r="E24" s="114">
        <f t="shared" si="1"/>
        <v>44442.697916666664</v>
      </c>
      <c r="F24" s="35" t="s">
        <v>551</v>
      </c>
      <c r="G24" s="35"/>
      <c r="H24" s="1062"/>
      <c r="I24" s="1063"/>
      <c r="J24" s="684"/>
      <c r="K24" s="1062"/>
    </row>
    <row r="25" spans="1:13" ht="12.75" customHeight="1" x14ac:dyDescent="0.25">
      <c r="A25" s="31">
        <f t="shared" si="2"/>
        <v>44442.697916666664</v>
      </c>
      <c r="B25" s="37">
        <f t="shared" si="3"/>
        <v>44442.697916666664</v>
      </c>
      <c r="C25" s="36">
        <v>6.25E-2</v>
      </c>
      <c r="D25" s="327" t="str">
        <f t="shared" si="0"/>
        <v/>
      </c>
      <c r="E25" s="114">
        <f t="shared" si="1"/>
        <v>44442.760416666664</v>
      </c>
      <c r="F25" s="35" t="s">
        <v>2445</v>
      </c>
      <c r="G25" s="35"/>
      <c r="H25" s="684"/>
      <c r="I25" s="684"/>
      <c r="J25" s="684"/>
      <c r="K25" s="684"/>
    </row>
    <row r="26" spans="1:13" ht="12.75" customHeight="1" x14ac:dyDescent="0.25">
      <c r="A26" s="31">
        <f t="shared" si="2"/>
        <v>44442.760416666664</v>
      </c>
      <c r="B26" s="37">
        <f t="shared" si="3"/>
        <v>44442.760416666664</v>
      </c>
      <c r="C26" s="36">
        <v>0.16666666666666666</v>
      </c>
      <c r="D26" s="327" t="str">
        <f t="shared" si="0"/>
        <v/>
      </c>
      <c r="E26" s="114">
        <f t="shared" si="1"/>
        <v>44442.927083333328</v>
      </c>
      <c r="F26" s="35" t="s">
        <v>2447</v>
      </c>
      <c r="G26" s="35"/>
      <c r="H26" s="684"/>
      <c r="I26" s="684"/>
      <c r="J26" s="684"/>
      <c r="K26" s="684"/>
    </row>
    <row r="27" spans="1:13" ht="12.75" customHeight="1" x14ac:dyDescent="0.25">
      <c r="A27" s="31">
        <f t="shared" si="2"/>
        <v>44442.927083333328</v>
      </c>
      <c r="B27" s="37">
        <f t="shared" si="3"/>
        <v>44442.927083333328</v>
      </c>
      <c r="C27" s="36">
        <v>1.0416666666666666E-2</v>
      </c>
      <c r="D27" s="327" t="str">
        <f t="shared" si="0"/>
        <v/>
      </c>
      <c r="E27" s="114">
        <f t="shared" si="1"/>
        <v>44442.937499999993</v>
      </c>
      <c r="F27" s="167" t="s">
        <v>573</v>
      </c>
      <c r="G27" s="167"/>
      <c r="H27" s="459"/>
      <c r="I27" s="459"/>
      <c r="J27" s="459"/>
      <c r="K27" s="459">
        <f>SUM(H27:I27)</f>
        <v>0</v>
      </c>
    </row>
    <row r="28" spans="1:13" ht="12.75" customHeight="1" x14ac:dyDescent="0.25">
      <c r="A28" s="31">
        <f t="shared" si="2"/>
        <v>44442.937499999993</v>
      </c>
      <c r="B28" s="37">
        <f t="shared" si="3"/>
        <v>44442.937499999993</v>
      </c>
      <c r="C28" s="36">
        <v>0.22916666666666666</v>
      </c>
      <c r="D28" s="327" t="str">
        <f t="shared" si="0"/>
        <v/>
      </c>
      <c r="E28" s="114">
        <f t="shared" si="1"/>
        <v>44443.166666666657</v>
      </c>
      <c r="F28" s="167" t="s">
        <v>574</v>
      </c>
      <c r="G28" s="167"/>
      <c r="H28" s="459"/>
      <c r="I28" s="459"/>
      <c r="J28" s="459"/>
      <c r="K28" s="459">
        <f>SUM(H28:I28)</f>
        <v>0</v>
      </c>
    </row>
    <row r="29" spans="1:13" ht="12.75" customHeight="1" x14ac:dyDescent="0.25">
      <c r="A29" s="31">
        <f t="shared" si="2"/>
        <v>44443.166666666657</v>
      </c>
      <c r="B29" s="37">
        <f t="shared" si="3"/>
        <v>44443.166666666657</v>
      </c>
      <c r="C29" s="36">
        <v>1.0416666666666666E-2</v>
      </c>
      <c r="D29" s="327" t="str">
        <f t="shared" si="0"/>
        <v/>
      </c>
      <c r="E29" s="114">
        <f t="shared" si="1"/>
        <v>44443.177083333321</v>
      </c>
      <c r="F29" s="167" t="s">
        <v>575</v>
      </c>
      <c r="G29" s="167"/>
      <c r="H29" s="459"/>
      <c r="I29" s="459"/>
      <c r="J29" s="459"/>
      <c r="K29" s="459"/>
    </row>
    <row r="30" spans="1:13" x14ac:dyDescent="0.25">
      <c r="B30" s="112" t="s">
        <v>534</v>
      </c>
      <c r="C30" s="36">
        <f>SUM(C11:C29)</f>
        <v>4.8020833333333339</v>
      </c>
      <c r="D30" s="32">
        <f>SUM(D11:D26)</f>
        <v>1.6458333333333335</v>
      </c>
      <c r="G30" s="26"/>
      <c r="H30" s="460">
        <f>SUM(H11:H29)</f>
        <v>1156.5631929046563</v>
      </c>
      <c r="I30" s="460">
        <f>SUM(I11:I29)</f>
        <v>147.07602339181284</v>
      </c>
      <c r="J30" s="460">
        <f>SUM(J11:J29)</f>
        <v>877.33199598796386</v>
      </c>
      <c r="K30" s="460">
        <f>SUM(K11:K29)</f>
        <v>1303.6392162964692</v>
      </c>
    </row>
    <row r="31" spans="1:13" x14ac:dyDescent="0.25">
      <c r="B31" s="31" t="s">
        <v>536</v>
      </c>
      <c r="C31" s="36">
        <f>C30/24</f>
        <v>0.20008680555555558</v>
      </c>
      <c r="D31" s="112">
        <f>D30/24</f>
        <v>6.8576388888888895E-2</v>
      </c>
      <c r="G31" s="26"/>
    </row>
    <row r="32" spans="1:13" ht="21" x14ac:dyDescent="0.55000000000000004">
      <c r="A32" s="34"/>
      <c r="D32" s="113"/>
      <c r="G32" s="26"/>
    </row>
    <row r="33" spans="7:7" x14ac:dyDescent="0.25">
      <c r="G33" s="26"/>
    </row>
    <row r="34" spans="7:7" x14ac:dyDescent="0.25">
      <c r="G34" s="26"/>
    </row>
    <row r="35" spans="7:7" x14ac:dyDescent="0.25">
      <c r="G35" s="26"/>
    </row>
    <row r="36" spans="7:7" x14ac:dyDescent="0.25">
      <c r="G36" s="26"/>
    </row>
    <row r="37" spans="7:7" x14ac:dyDescent="0.25">
      <c r="G37" s="26"/>
    </row>
    <row r="38" spans="7:7" x14ac:dyDescent="0.25">
      <c r="G38" s="26"/>
    </row>
    <row r="39" spans="7:7" x14ac:dyDescent="0.25">
      <c r="G39" s="26"/>
    </row>
    <row r="40" spans="7:7" x14ac:dyDescent="0.25">
      <c r="G40" s="26"/>
    </row>
    <row r="41" spans="7:7" x14ac:dyDescent="0.25">
      <c r="G41" s="26"/>
    </row>
    <row r="42" spans="7:7" x14ac:dyDescent="0.25">
      <c r="G42" s="26"/>
    </row>
    <row r="43" spans="7:7" x14ac:dyDescent="0.25">
      <c r="G43" s="26"/>
    </row>
    <row r="44" spans="7:7" x14ac:dyDescent="0.25">
      <c r="G44" s="26"/>
    </row>
    <row r="45" spans="7:7" x14ac:dyDescent="0.25">
      <c r="G45" s="26"/>
    </row>
    <row r="46" spans="7:7" x14ac:dyDescent="0.25">
      <c r="G46" s="26"/>
    </row>
    <row r="47" spans="7:7" x14ac:dyDescent="0.25">
      <c r="G47" s="26"/>
    </row>
    <row r="48" spans="7:7" x14ac:dyDescent="0.25">
      <c r="G48" s="26"/>
    </row>
    <row r="49" spans="6:11" x14ac:dyDescent="0.25">
      <c r="G49" s="26"/>
    </row>
    <row r="50" spans="6:11" x14ac:dyDescent="0.25">
      <c r="G50" s="26"/>
    </row>
    <row r="51" spans="6:11" x14ac:dyDescent="0.25">
      <c r="G51" s="26"/>
    </row>
    <row r="52" spans="6:11" x14ac:dyDescent="0.25">
      <c r="G52" s="26"/>
    </row>
    <row r="53" spans="6:11" x14ac:dyDescent="0.25">
      <c r="G53" s="26"/>
    </row>
    <row r="54" spans="6:11" x14ac:dyDescent="0.25">
      <c r="F54" s="26"/>
      <c r="H54" s="26"/>
      <c r="I54" s="26"/>
      <c r="J54" s="26"/>
      <c r="K54" s="26"/>
    </row>
    <row r="55" spans="6:11" x14ac:dyDescent="0.25">
      <c r="F55" s="26"/>
      <c r="H55" s="26"/>
      <c r="I55" s="26"/>
      <c r="J55" s="26"/>
      <c r="K55" s="26"/>
    </row>
  </sheetData>
  <mergeCells count="11">
    <mergeCell ref="L15:M15"/>
    <mergeCell ref="A1:B1"/>
    <mergeCell ref="A5:D5"/>
    <mergeCell ref="L11:M11"/>
    <mergeCell ref="L12:M12"/>
    <mergeCell ref="L14:M14"/>
    <mergeCell ref="L21:M21"/>
    <mergeCell ref="L22:M22"/>
    <mergeCell ref="H23:H24"/>
    <mergeCell ref="I23:I24"/>
    <mergeCell ref="K23:K24"/>
  </mergeCells>
  <pageMargins left="0.75" right="0.75" top="1" bottom="1" header="0.5" footer="0.5"/>
  <pageSetup orientation="portrait" r:id="rId1"/>
  <headerFooter alignWithMargins="0">
    <oddFooter>&amp;R&amp;"Arial,Regular"&amp;08&amp;K7F7F7FAmgen Proprietary - Confidential   &amp;C&amp;"Arial,Regular"&amp;08&amp;K7F7F7FAmgen Proprietary - For Internal Use Only</oddFooter>
    <evenFooter>&amp;R&amp;"Arial,Regular"&amp;08&amp;K7F7F7FAmgen Proprietary - Confidential   &amp;C&amp;"Arial,Regular"&amp;08&amp;K7F7F7FAmgen Proprietary - For Internal Use Only</evenFooter>
    <firstFooter>&amp;R&amp;"Arial,Regular"&amp;08&amp;K7F7F7FAmgen Proprietary - Confidential   &amp;C&amp;"Arial,Regular"&amp;08&amp;K7F7F7FAmgen Proprietary - For Internal Use Only</firstFooter>
  </headerFooter>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38E6FF-C926-4778-83DF-3114DD965DD3}">
  <sheetPr codeName="Sheet97">
    <pageSetUpPr autoPageBreaks="0"/>
  </sheetPr>
  <dimension ref="A1:M55"/>
  <sheetViews>
    <sheetView zoomScale="130" zoomScaleNormal="130" workbookViewId="0">
      <selection activeCell="F52" sqref="F52"/>
    </sheetView>
  </sheetViews>
  <sheetFormatPr defaultColWidth="9.453125" defaultRowHeight="11.5" x14ac:dyDescent="0.25"/>
  <cols>
    <col min="1" max="1" width="26.54296875" style="25" bestFit="1" customWidth="1"/>
    <col min="2" max="3" width="23.453125" style="25" customWidth="1"/>
    <col min="4" max="4" width="20.54296875" style="25" hidden="1" customWidth="1"/>
    <col min="5" max="5" width="21.54296875" style="25" customWidth="1"/>
    <col min="6" max="6" width="50.54296875" style="25" customWidth="1"/>
    <col min="7" max="7" width="43.453125" style="25" bestFit="1" customWidth="1"/>
    <col min="8" max="11" width="14.453125" style="25" customWidth="1"/>
    <col min="12" max="16384" width="9.453125" style="25"/>
  </cols>
  <sheetData>
    <row r="1" spans="1:13" ht="12" thickBot="1" x14ac:dyDescent="0.3">
      <c r="A1" s="1053" t="s">
        <v>479</v>
      </c>
      <c r="B1" s="1054"/>
    </row>
    <row r="2" spans="1:13" ht="12" thickBot="1" x14ac:dyDescent="0.3">
      <c r="A2" s="772" t="s">
        <v>480</v>
      </c>
      <c r="B2" s="115">
        <f>A11</f>
        <v>44445.395833333336</v>
      </c>
    </row>
    <row r="3" spans="1:13" x14ac:dyDescent="0.25">
      <c r="A3" s="772" t="s">
        <v>482</v>
      </c>
      <c r="B3" s="454">
        <f>A11</f>
        <v>44445.395833333336</v>
      </c>
    </row>
    <row r="5" spans="1:13" x14ac:dyDescent="0.25">
      <c r="A5" s="1049" t="s">
        <v>484</v>
      </c>
      <c r="B5" s="1050"/>
      <c r="C5" s="1050"/>
      <c r="D5" s="1051"/>
    </row>
    <row r="6" spans="1:13" x14ac:dyDescent="0.25">
      <c r="A6" s="781" t="s">
        <v>485</v>
      </c>
      <c r="B6" s="781" t="s">
        <v>486</v>
      </c>
      <c r="C6" s="781" t="s">
        <v>487</v>
      </c>
      <c r="D6" s="781" t="s">
        <v>488</v>
      </c>
    </row>
    <row r="7" spans="1:13" x14ac:dyDescent="0.25">
      <c r="A7" s="41" t="str">
        <f>F16</f>
        <v>IPC: Reaction Conversion</v>
      </c>
      <c r="B7" s="455">
        <f>INDEX($A$11:$A$62,MATCH(A7,$F$11:$F$59,0))</f>
        <v>44446.375</v>
      </c>
      <c r="C7" s="37">
        <f>INDEX($A$11:$A$62,MATCH(A7,$F$11:$F$59,0))</f>
        <v>44446.375</v>
      </c>
      <c r="D7" s="475"/>
    </row>
    <row r="8" spans="1:13" x14ac:dyDescent="0.25">
      <c r="A8" s="35" t="s">
        <v>2445</v>
      </c>
      <c r="B8" s="455">
        <f>INDEX($A$11:$A$62,MATCH(A8,$F$11:$F$59,0))</f>
        <v>44449.71875</v>
      </c>
      <c r="C8" s="37">
        <f>INDEX($A$11:$A$62,MATCH(A8,$F$11:$F$59,0))</f>
        <v>44449.71875</v>
      </c>
      <c r="D8" s="110"/>
    </row>
    <row r="9" spans="1:13" x14ac:dyDescent="0.25">
      <c r="B9" s="453"/>
    </row>
    <row r="10" spans="1:13" ht="23" x14ac:dyDescent="0.25">
      <c r="A10" s="749" t="s">
        <v>492</v>
      </c>
      <c r="B10" s="749" t="s">
        <v>493</v>
      </c>
      <c r="C10" s="749" t="s">
        <v>494</v>
      </c>
      <c r="D10" s="86" t="s">
        <v>495</v>
      </c>
      <c r="E10" s="749" t="s">
        <v>560</v>
      </c>
      <c r="F10" s="749" t="s">
        <v>541</v>
      </c>
      <c r="G10" s="749" t="s">
        <v>498</v>
      </c>
      <c r="H10" s="749" t="s">
        <v>561</v>
      </c>
      <c r="I10" s="749" t="s">
        <v>126</v>
      </c>
      <c r="J10" s="749" t="s">
        <v>92</v>
      </c>
      <c r="K10" s="749" t="s">
        <v>501</v>
      </c>
    </row>
    <row r="11" spans="1:13" x14ac:dyDescent="0.25">
      <c r="A11" s="31">
        <v>44445.395833333336</v>
      </c>
      <c r="B11" s="38">
        <f>A11</f>
        <v>44445.395833333336</v>
      </c>
      <c r="C11" s="36">
        <v>6.25E-2</v>
      </c>
      <c r="D11" s="327" t="str">
        <f t="shared" ref="D11:D29" si="0">IF(_xlfn.ISFORMULA(E11)=TRUE,"",E11-B11)</f>
        <v/>
      </c>
      <c r="E11" s="114">
        <f t="shared" ref="E11:E29" si="1">B11+C11</f>
        <v>44445.458333333336</v>
      </c>
      <c r="F11" s="35" t="s">
        <v>562</v>
      </c>
      <c r="G11" s="35"/>
      <c r="H11" s="684"/>
      <c r="I11" s="684"/>
      <c r="J11" s="684"/>
      <c r="K11" s="684"/>
      <c r="L11" s="1057"/>
      <c r="M11" s="1056"/>
    </row>
    <row r="12" spans="1:13" ht="12.75" customHeight="1" x14ac:dyDescent="0.25">
      <c r="A12" s="31">
        <f t="shared" ref="A12:A29" si="2">IF(D11 = "",A11+C11,A11+D11)</f>
        <v>44445.458333333336</v>
      </c>
      <c r="B12" s="685">
        <f>IF(D11 = "",B11+C11,B11+D11)</f>
        <v>44445.458333333336</v>
      </c>
      <c r="C12" s="36">
        <v>0.375</v>
      </c>
      <c r="D12" s="327"/>
      <c r="E12" s="114">
        <f t="shared" si="1"/>
        <v>44445.833333333336</v>
      </c>
      <c r="F12" s="35" t="s">
        <v>563</v>
      </c>
      <c r="G12" s="35"/>
      <c r="H12" s="684"/>
      <c r="I12" s="684"/>
      <c r="J12" s="684"/>
      <c r="K12" s="684"/>
      <c r="L12" s="1055"/>
      <c r="M12" s="1056"/>
    </row>
    <row r="13" spans="1:13" ht="12" customHeight="1" x14ac:dyDescent="0.25">
      <c r="A13" s="31">
        <f t="shared" si="2"/>
        <v>44445.833333333336</v>
      </c>
      <c r="B13" s="37">
        <f t="shared" ref="B13:B29" si="3">IF(D12 = "",B12+C12,B12+D12)</f>
        <v>44445.833333333336</v>
      </c>
      <c r="C13" s="36">
        <v>0.22916666666666666</v>
      </c>
      <c r="D13" s="327"/>
      <c r="E13" s="114">
        <f t="shared" si="1"/>
        <v>44446.0625</v>
      </c>
      <c r="F13" s="35" t="s">
        <v>564</v>
      </c>
      <c r="G13" s="39"/>
      <c r="H13" s="684"/>
      <c r="I13" s="684"/>
      <c r="J13" s="684">
        <f>(199.6 + 36 + 81 + 81 + 81) / 0.997</f>
        <v>480.04012036108327</v>
      </c>
      <c r="K13" s="684"/>
    </row>
    <row r="14" spans="1:13" ht="12" customHeight="1" x14ac:dyDescent="0.25">
      <c r="A14" s="31">
        <f t="shared" si="2"/>
        <v>44446.0625</v>
      </c>
      <c r="B14" s="37">
        <f t="shared" si="3"/>
        <v>44446.0625</v>
      </c>
      <c r="C14" s="36">
        <v>0.10416666666666667</v>
      </c>
      <c r="D14" s="327"/>
      <c r="E14" s="114">
        <f t="shared" si="1"/>
        <v>44446.166666666664</v>
      </c>
      <c r="F14" s="35" t="s">
        <v>565</v>
      </c>
      <c r="G14" s="39"/>
      <c r="H14" s="684"/>
      <c r="I14" s="684"/>
      <c r="J14" s="684"/>
      <c r="K14" s="684"/>
      <c r="L14" s="1057"/>
      <c r="M14" s="1056"/>
    </row>
    <row r="15" spans="1:13" ht="12.75" customHeight="1" x14ac:dyDescent="0.25">
      <c r="A15" s="31">
        <f t="shared" si="2"/>
        <v>44446.166666666664</v>
      </c>
      <c r="B15" s="37">
        <f t="shared" si="3"/>
        <v>44446.166666666664</v>
      </c>
      <c r="C15" s="36">
        <v>0.20833333333333334</v>
      </c>
      <c r="D15" s="327"/>
      <c r="E15" s="114">
        <f t="shared" si="1"/>
        <v>44446.375</v>
      </c>
      <c r="F15" s="35" t="s">
        <v>566</v>
      </c>
      <c r="G15" s="35"/>
      <c r="H15" s="684"/>
      <c r="I15" s="684"/>
      <c r="J15" s="684"/>
      <c r="K15" s="684"/>
      <c r="L15" s="1055"/>
      <c r="M15" s="1056"/>
    </row>
    <row r="16" spans="1:13" ht="13.4" customHeight="1" x14ac:dyDescent="0.25">
      <c r="A16" s="31">
        <f t="shared" si="2"/>
        <v>44446.375</v>
      </c>
      <c r="B16" s="37">
        <f t="shared" si="3"/>
        <v>44446.375</v>
      </c>
      <c r="C16" s="111">
        <v>0.14583333333333334</v>
      </c>
      <c r="D16" s="327"/>
      <c r="E16" s="114">
        <f t="shared" si="1"/>
        <v>44446.520833333336</v>
      </c>
      <c r="F16" s="39" t="s">
        <v>567</v>
      </c>
      <c r="G16" s="35" t="s">
        <v>568</v>
      </c>
      <c r="H16" s="458"/>
      <c r="I16" s="458"/>
      <c r="J16" s="458"/>
      <c r="K16" s="458"/>
    </row>
    <row r="17" spans="1:13" x14ac:dyDescent="0.25">
      <c r="A17" s="31">
        <f t="shared" si="2"/>
        <v>44446.520833333336</v>
      </c>
      <c r="B17" s="37">
        <f t="shared" si="3"/>
        <v>44446.520833333336</v>
      </c>
      <c r="C17" s="111">
        <v>0.375</v>
      </c>
      <c r="D17" s="327"/>
      <c r="E17" s="114">
        <f t="shared" si="1"/>
        <v>44446.895833333336</v>
      </c>
      <c r="F17" s="35" t="s">
        <v>569</v>
      </c>
      <c r="G17" s="35"/>
      <c r="H17" s="684"/>
      <c r="I17" s="684"/>
      <c r="J17" s="684"/>
      <c r="K17" s="684"/>
    </row>
    <row r="18" spans="1:13" x14ac:dyDescent="0.25">
      <c r="A18" s="31">
        <f t="shared" si="2"/>
        <v>44446.895833333336</v>
      </c>
      <c r="B18" s="37">
        <f t="shared" si="3"/>
        <v>44446.895833333336</v>
      </c>
      <c r="C18" s="111">
        <v>0.5</v>
      </c>
      <c r="D18" s="327" t="str">
        <f t="shared" si="0"/>
        <v/>
      </c>
      <c r="E18" s="114">
        <f t="shared" si="1"/>
        <v>44447.395833333336</v>
      </c>
      <c r="F18" s="35" t="s">
        <v>570</v>
      </c>
      <c r="G18" s="35"/>
      <c r="H18" s="684"/>
      <c r="I18" s="684"/>
      <c r="J18" s="684">
        <f>(69.5 + 36 + 48 + 62.6 + 36 + 48 + 48 + 48)/0.997</f>
        <v>397.29187562688065</v>
      </c>
      <c r="K18" s="684"/>
    </row>
    <row r="19" spans="1:13" x14ac:dyDescent="0.25">
      <c r="A19" s="31">
        <f t="shared" si="2"/>
        <v>44447.395833333336</v>
      </c>
      <c r="B19" s="37">
        <f t="shared" si="3"/>
        <v>44447.395833333336</v>
      </c>
      <c r="C19" s="111">
        <v>4.1666666666666664E-2</v>
      </c>
      <c r="D19" s="327"/>
      <c r="E19" s="114">
        <f t="shared" si="1"/>
        <v>44447.4375</v>
      </c>
      <c r="F19" s="35" t="s">
        <v>2446</v>
      </c>
      <c r="G19" s="35"/>
      <c r="H19" s="684">
        <f>40+120</f>
        <v>160</v>
      </c>
      <c r="I19" s="684"/>
      <c r="J19" s="684"/>
      <c r="K19" s="684">
        <f>H19</f>
        <v>160</v>
      </c>
    </row>
    <row r="20" spans="1:13" ht="13.5" customHeight="1" x14ac:dyDescent="0.25">
      <c r="A20" s="31">
        <f t="shared" si="2"/>
        <v>44447.4375</v>
      </c>
      <c r="B20" s="37">
        <f t="shared" si="3"/>
        <v>44447.4375</v>
      </c>
      <c r="C20" s="111">
        <v>0.52083333333333337</v>
      </c>
      <c r="D20" s="327" t="str">
        <f t="shared" si="0"/>
        <v/>
      </c>
      <c r="E20" s="114">
        <f t="shared" si="1"/>
        <v>44447.958333333336</v>
      </c>
      <c r="F20" s="35" t="s">
        <v>571</v>
      </c>
      <c r="G20" s="35"/>
      <c r="H20" s="684"/>
      <c r="I20" s="684"/>
      <c r="J20" s="684"/>
      <c r="K20" s="684"/>
    </row>
    <row r="21" spans="1:13" ht="12" customHeight="1" x14ac:dyDescent="0.25">
      <c r="A21" s="31">
        <f t="shared" si="2"/>
        <v>44447.958333333336</v>
      </c>
      <c r="B21" s="37">
        <f t="shared" si="3"/>
        <v>44447.958333333336</v>
      </c>
      <c r="C21" s="36">
        <v>0.57291666666666663</v>
      </c>
      <c r="D21" s="327" t="str">
        <f t="shared" si="0"/>
        <v/>
      </c>
      <c r="E21" s="114">
        <f t="shared" si="1"/>
        <v>44448.53125</v>
      </c>
      <c r="F21" s="35" t="s">
        <v>548</v>
      </c>
      <c r="G21" s="39"/>
      <c r="H21" s="684"/>
      <c r="I21" s="684"/>
      <c r="J21" s="684"/>
      <c r="K21" s="684"/>
      <c r="L21" s="1058"/>
      <c r="M21" s="1059"/>
    </row>
    <row r="22" spans="1:13" ht="12.75" customHeight="1" x14ac:dyDescent="0.25">
      <c r="A22" s="31">
        <f t="shared" si="2"/>
        <v>44448.53125</v>
      </c>
      <c r="B22" s="37">
        <f t="shared" si="3"/>
        <v>44448.53125</v>
      </c>
      <c r="C22" s="36">
        <v>0.125</v>
      </c>
      <c r="D22" s="327" t="str">
        <f t="shared" si="0"/>
        <v/>
      </c>
      <c r="E22" s="114">
        <f t="shared" si="1"/>
        <v>44448.65625</v>
      </c>
      <c r="F22" s="35" t="s">
        <v>549</v>
      </c>
      <c r="G22" s="35"/>
      <c r="H22" s="684">
        <f>(252.2 + 36 + 78.4 + 174.3 + 70.4 + 70.4 + 70.4 + 66 + 54.7)/0.902</f>
        <v>967.62749445676275</v>
      </c>
      <c r="I22" s="684">
        <f>54.7/0.684</f>
        <v>79.970760233918128</v>
      </c>
      <c r="J22" s="684"/>
      <c r="K22" s="684">
        <f>SUM(H22:I22)</f>
        <v>1047.598254690681</v>
      </c>
      <c r="L22" s="1060"/>
      <c r="M22" s="1059"/>
    </row>
    <row r="23" spans="1:13" ht="12.75" customHeight="1" x14ac:dyDescent="0.25">
      <c r="A23" s="31">
        <f t="shared" si="2"/>
        <v>44448.65625</v>
      </c>
      <c r="B23" s="37">
        <f t="shared" si="3"/>
        <v>44448.65625</v>
      </c>
      <c r="C23" s="36">
        <v>0.4375</v>
      </c>
      <c r="D23" s="327" t="str">
        <f t="shared" si="0"/>
        <v/>
      </c>
      <c r="E23" s="114">
        <f t="shared" si="1"/>
        <v>44449.09375</v>
      </c>
      <c r="F23" s="35" t="s">
        <v>572</v>
      </c>
      <c r="G23" s="35"/>
      <c r="H23" s="1061">
        <f>26.1/0.902</f>
        <v>28.935698447893571</v>
      </c>
      <c r="I23" s="1063">
        <f>(13.1 + 32.8)/0.684</f>
        <v>67.105263157894726</v>
      </c>
      <c r="J23" s="684"/>
      <c r="K23" s="1061">
        <f t="shared" ref="K23" si="4">SUM(H23:I23)</f>
        <v>96.040961605788297</v>
      </c>
    </row>
    <row r="24" spans="1:13" ht="12.75" customHeight="1" x14ac:dyDescent="0.25">
      <c r="A24" s="31">
        <f t="shared" si="2"/>
        <v>44449.09375</v>
      </c>
      <c r="B24" s="37">
        <f t="shared" si="3"/>
        <v>44449.09375</v>
      </c>
      <c r="C24" s="36">
        <v>0.625</v>
      </c>
      <c r="D24" s="327" t="str">
        <f t="shared" si="0"/>
        <v/>
      </c>
      <c r="E24" s="114">
        <f t="shared" si="1"/>
        <v>44449.71875</v>
      </c>
      <c r="F24" s="35" t="s">
        <v>551</v>
      </c>
      <c r="G24" s="35"/>
      <c r="H24" s="1062"/>
      <c r="I24" s="1063"/>
      <c r="J24" s="684"/>
      <c r="K24" s="1062"/>
    </row>
    <row r="25" spans="1:13" ht="12.75" customHeight="1" x14ac:dyDescent="0.25">
      <c r="A25" s="31">
        <f t="shared" si="2"/>
        <v>44449.71875</v>
      </c>
      <c r="B25" s="37">
        <f t="shared" si="3"/>
        <v>44449.71875</v>
      </c>
      <c r="C25" s="36">
        <v>6.25E-2</v>
      </c>
      <c r="D25" s="327" t="str">
        <f t="shared" si="0"/>
        <v/>
      </c>
      <c r="E25" s="114">
        <f t="shared" si="1"/>
        <v>44449.78125</v>
      </c>
      <c r="F25" s="35" t="s">
        <v>2445</v>
      </c>
      <c r="G25" s="35"/>
      <c r="H25" s="684"/>
      <c r="I25" s="684"/>
      <c r="J25" s="684"/>
      <c r="K25" s="684"/>
    </row>
    <row r="26" spans="1:13" ht="12.75" customHeight="1" x14ac:dyDescent="0.25">
      <c r="A26" s="31">
        <f t="shared" si="2"/>
        <v>44449.78125</v>
      </c>
      <c r="B26" s="37">
        <f t="shared" si="3"/>
        <v>44449.78125</v>
      </c>
      <c r="C26" s="36">
        <v>0.16666666666666666</v>
      </c>
      <c r="D26" s="327" t="str">
        <f t="shared" si="0"/>
        <v/>
      </c>
      <c r="E26" s="114">
        <f t="shared" si="1"/>
        <v>44449.947916666664</v>
      </c>
      <c r="F26" s="35" t="s">
        <v>2447</v>
      </c>
      <c r="G26" s="35"/>
      <c r="H26" s="684"/>
      <c r="I26" s="684"/>
      <c r="J26" s="684"/>
      <c r="K26" s="684"/>
    </row>
    <row r="27" spans="1:13" ht="12.75" customHeight="1" x14ac:dyDescent="0.25">
      <c r="A27" s="31">
        <f t="shared" si="2"/>
        <v>44449.947916666664</v>
      </c>
      <c r="B27" s="37">
        <f t="shared" si="3"/>
        <v>44449.947916666664</v>
      </c>
      <c r="C27" s="36">
        <v>1.0416666666666666E-2</v>
      </c>
      <c r="D27" s="327" t="str">
        <f t="shared" si="0"/>
        <v/>
      </c>
      <c r="E27" s="114">
        <f t="shared" si="1"/>
        <v>44449.958333333328</v>
      </c>
      <c r="F27" s="167" t="s">
        <v>573</v>
      </c>
      <c r="G27" s="167"/>
      <c r="H27" s="459"/>
      <c r="I27" s="459"/>
      <c r="J27" s="459"/>
      <c r="K27" s="459">
        <f>SUM(H27:I27)</f>
        <v>0</v>
      </c>
    </row>
    <row r="28" spans="1:13" ht="12.75" customHeight="1" x14ac:dyDescent="0.25">
      <c r="A28" s="31">
        <f t="shared" si="2"/>
        <v>44449.958333333328</v>
      </c>
      <c r="B28" s="37">
        <f t="shared" si="3"/>
        <v>44449.958333333328</v>
      </c>
      <c r="C28" s="36">
        <v>0.22916666666666666</v>
      </c>
      <c r="D28" s="327" t="str">
        <f t="shared" si="0"/>
        <v/>
      </c>
      <c r="E28" s="114">
        <f t="shared" si="1"/>
        <v>44450.187499999993</v>
      </c>
      <c r="F28" s="167" t="s">
        <v>574</v>
      </c>
      <c r="G28" s="167"/>
      <c r="H28" s="459"/>
      <c r="I28" s="459"/>
      <c r="J28" s="459"/>
      <c r="K28" s="459">
        <f>SUM(H28:I28)</f>
        <v>0</v>
      </c>
    </row>
    <row r="29" spans="1:13" ht="12.75" customHeight="1" x14ac:dyDescent="0.25">
      <c r="A29" s="31">
        <f t="shared" si="2"/>
        <v>44450.187499999993</v>
      </c>
      <c r="B29" s="37">
        <f t="shared" si="3"/>
        <v>44450.187499999993</v>
      </c>
      <c r="C29" s="36">
        <v>1.0416666666666666E-2</v>
      </c>
      <c r="D29" s="327" t="str">
        <f t="shared" si="0"/>
        <v/>
      </c>
      <c r="E29" s="114">
        <f t="shared" si="1"/>
        <v>44450.197916666657</v>
      </c>
      <c r="F29" s="167" t="s">
        <v>575</v>
      </c>
      <c r="G29" s="167"/>
      <c r="H29" s="459"/>
      <c r="I29" s="459"/>
      <c r="J29" s="459"/>
      <c r="K29" s="459"/>
    </row>
    <row r="30" spans="1:13" x14ac:dyDescent="0.25">
      <c r="B30" s="112" t="s">
        <v>534</v>
      </c>
      <c r="C30" s="36">
        <f>SUM(C11:C29)</f>
        <v>4.8020833333333339</v>
      </c>
      <c r="D30" s="32">
        <f>SUM(D11:D26)</f>
        <v>0</v>
      </c>
      <c r="G30" s="26"/>
      <c r="H30" s="460">
        <f>SUM(H11:H29)</f>
        <v>1156.5631929046563</v>
      </c>
      <c r="I30" s="460">
        <f>SUM(I11:I29)</f>
        <v>147.07602339181284</v>
      </c>
      <c r="J30" s="460">
        <f>SUM(J11:J29)</f>
        <v>877.33199598796386</v>
      </c>
      <c r="K30" s="460">
        <f>SUM(K11:K29)</f>
        <v>1303.6392162964692</v>
      </c>
    </row>
    <row r="31" spans="1:13" x14ac:dyDescent="0.25">
      <c r="B31" s="31" t="s">
        <v>536</v>
      </c>
      <c r="C31" s="36">
        <f>C30/24</f>
        <v>0.20008680555555558</v>
      </c>
      <c r="D31" s="112">
        <f>D30/24</f>
        <v>0</v>
      </c>
      <c r="G31" s="26"/>
    </row>
    <row r="32" spans="1:13" ht="21" x14ac:dyDescent="0.55000000000000004">
      <c r="A32" s="34"/>
      <c r="D32" s="113"/>
      <c r="G32" s="26"/>
    </row>
    <row r="33" spans="7:7" x14ac:dyDescent="0.25">
      <c r="G33" s="26"/>
    </row>
    <row r="34" spans="7:7" x14ac:dyDescent="0.25">
      <c r="G34" s="26"/>
    </row>
    <row r="35" spans="7:7" x14ac:dyDescent="0.25">
      <c r="G35" s="26"/>
    </row>
    <row r="36" spans="7:7" x14ac:dyDescent="0.25">
      <c r="G36" s="26"/>
    </row>
    <row r="37" spans="7:7" x14ac:dyDescent="0.25">
      <c r="G37" s="26"/>
    </row>
    <row r="38" spans="7:7" x14ac:dyDescent="0.25">
      <c r="G38" s="26"/>
    </row>
    <row r="39" spans="7:7" x14ac:dyDescent="0.25">
      <c r="G39" s="26"/>
    </row>
    <row r="40" spans="7:7" x14ac:dyDescent="0.25">
      <c r="G40" s="26"/>
    </row>
    <row r="41" spans="7:7" x14ac:dyDescent="0.25">
      <c r="G41" s="26"/>
    </row>
    <row r="42" spans="7:7" x14ac:dyDescent="0.25">
      <c r="G42" s="26"/>
    </row>
    <row r="43" spans="7:7" x14ac:dyDescent="0.25">
      <c r="G43" s="26"/>
    </row>
    <row r="44" spans="7:7" x14ac:dyDescent="0.25">
      <c r="G44" s="26"/>
    </row>
    <row r="45" spans="7:7" x14ac:dyDescent="0.25">
      <c r="G45" s="26"/>
    </row>
    <row r="46" spans="7:7" x14ac:dyDescent="0.25">
      <c r="G46" s="26"/>
    </row>
    <row r="47" spans="7:7" x14ac:dyDescent="0.25">
      <c r="G47" s="26"/>
    </row>
    <row r="48" spans="7:7" x14ac:dyDescent="0.25">
      <c r="G48" s="26"/>
    </row>
    <row r="49" spans="6:11" x14ac:dyDescent="0.25">
      <c r="G49" s="26"/>
    </row>
    <row r="50" spans="6:11" x14ac:dyDescent="0.25">
      <c r="G50" s="26"/>
    </row>
    <row r="51" spans="6:11" x14ac:dyDescent="0.25">
      <c r="G51" s="26"/>
    </row>
    <row r="52" spans="6:11" x14ac:dyDescent="0.25">
      <c r="G52" s="26"/>
    </row>
    <row r="53" spans="6:11" x14ac:dyDescent="0.25">
      <c r="G53" s="26"/>
    </row>
    <row r="54" spans="6:11" x14ac:dyDescent="0.25">
      <c r="F54" s="26"/>
      <c r="H54" s="26"/>
      <c r="I54" s="26"/>
      <c r="J54" s="26"/>
      <c r="K54" s="26"/>
    </row>
    <row r="55" spans="6:11" x14ac:dyDescent="0.25">
      <c r="F55" s="26"/>
      <c r="H55" s="26"/>
      <c r="I55" s="26"/>
      <c r="J55" s="26"/>
      <c r="K55" s="26"/>
    </row>
  </sheetData>
  <mergeCells count="11">
    <mergeCell ref="L21:M21"/>
    <mergeCell ref="L22:M22"/>
    <mergeCell ref="H23:H24"/>
    <mergeCell ref="I23:I24"/>
    <mergeCell ref="K23:K24"/>
    <mergeCell ref="L15:M15"/>
    <mergeCell ref="A1:B1"/>
    <mergeCell ref="A5:D5"/>
    <mergeCell ref="L11:M11"/>
    <mergeCell ref="L12:M12"/>
    <mergeCell ref="L14:M14"/>
  </mergeCells>
  <pageMargins left="0.75" right="0.75" top="1" bottom="1" header="0.5" footer="0.5"/>
  <pageSetup orientation="portrait" r:id="rId1"/>
  <headerFooter alignWithMargins="0">
    <oddFooter>&amp;R&amp;"Arial,Regular"&amp;08&amp;K7F7F7FAmgen Proprietary - Confidential   &amp;C&amp;"Arial,Regular"&amp;08&amp;K7F7F7FAmgen Proprietary - For Internal Use Only</oddFooter>
    <evenFooter>&amp;R&amp;"Arial,Regular"&amp;08&amp;K7F7F7FAmgen Proprietary - Confidential   &amp;C&amp;"Arial,Regular"&amp;08&amp;K7F7F7FAmgen Proprietary - For Internal Use Only</evenFooter>
    <firstFooter>&amp;R&amp;"Arial,Regular"&amp;08&amp;K7F7F7FAmgen Proprietary - Confidential   &amp;C&amp;"Arial,Regular"&amp;08&amp;K7F7F7FAmgen Proprietary - For Internal Use Only</firstFooter>
  </headerFooter>
  <legacyDrawing r:id="rId2"/>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A63FE7-122A-4AF3-BD54-49B37819F78B}">
  <sheetPr codeName="Sheet98">
    <pageSetUpPr autoPageBreaks="0"/>
  </sheetPr>
  <dimension ref="A1:M55"/>
  <sheetViews>
    <sheetView zoomScale="140" zoomScaleNormal="140" workbookViewId="0">
      <selection activeCell="D1" sqref="D1:D1048576"/>
    </sheetView>
  </sheetViews>
  <sheetFormatPr defaultColWidth="9.453125" defaultRowHeight="11.5" x14ac:dyDescent="0.25"/>
  <cols>
    <col min="1" max="1" width="28.453125" style="25" customWidth="1"/>
    <col min="2" max="2" width="25.54296875" style="25" customWidth="1"/>
    <col min="3" max="3" width="23.453125" style="25" customWidth="1"/>
    <col min="4" max="4" width="20.54296875" style="25" hidden="1" customWidth="1"/>
    <col min="5" max="5" width="21.54296875" style="25" customWidth="1"/>
    <col min="6" max="6" width="50.54296875" style="25" customWidth="1"/>
    <col min="7" max="7" width="43.453125" style="25" bestFit="1" customWidth="1"/>
    <col min="8" max="11" width="14.453125" style="25" customWidth="1"/>
    <col min="12" max="16384" width="9.453125" style="25"/>
  </cols>
  <sheetData>
    <row r="1" spans="1:13" ht="12" thickBot="1" x14ac:dyDescent="0.3">
      <c r="A1" s="1053" t="s">
        <v>479</v>
      </c>
      <c r="B1" s="1054"/>
    </row>
    <row r="2" spans="1:13" ht="12" thickBot="1" x14ac:dyDescent="0.3">
      <c r="A2" s="772" t="s">
        <v>480</v>
      </c>
      <c r="B2" s="115">
        <f>A11</f>
        <v>44452.395833333336</v>
      </c>
    </row>
    <row r="3" spans="1:13" x14ac:dyDescent="0.25">
      <c r="A3" s="772" t="s">
        <v>482</v>
      </c>
      <c r="B3" s="454">
        <f>A11</f>
        <v>44452.395833333336</v>
      </c>
    </row>
    <row r="5" spans="1:13" x14ac:dyDescent="0.25">
      <c r="A5" s="1049" t="s">
        <v>484</v>
      </c>
      <c r="B5" s="1050"/>
      <c r="C5" s="1050"/>
      <c r="D5" s="1051"/>
    </row>
    <row r="6" spans="1:13" x14ac:dyDescent="0.25">
      <c r="A6" s="781" t="s">
        <v>485</v>
      </c>
      <c r="B6" s="781" t="s">
        <v>486</v>
      </c>
      <c r="C6" s="781" t="s">
        <v>487</v>
      </c>
      <c r="D6" s="781" t="s">
        <v>488</v>
      </c>
    </row>
    <row r="7" spans="1:13" x14ac:dyDescent="0.25">
      <c r="A7" s="41" t="str">
        <f>F16</f>
        <v>IPC: Reaction Conversion</v>
      </c>
      <c r="B7" s="455">
        <f>INDEX($A$11:$A$62,MATCH(A7,$F$11:$F$59,0))</f>
        <v>44453.375</v>
      </c>
      <c r="C7" s="37">
        <f>INDEX($A$11:$A$62,MATCH(A7,$F$11:$F$59,0))</f>
        <v>44453.375</v>
      </c>
      <c r="D7" s="475"/>
    </row>
    <row r="8" spans="1:13" x14ac:dyDescent="0.25">
      <c r="A8" s="35" t="s">
        <v>2445</v>
      </c>
      <c r="B8" s="455">
        <f>INDEX($A$11:$A$62,MATCH(A8,$F$11:$F$59,0))</f>
        <v>44456.71875</v>
      </c>
      <c r="C8" s="37">
        <f>INDEX($A$11:$A$62,MATCH(A8,$F$11:$F$59,0))</f>
        <v>44456.71875</v>
      </c>
      <c r="D8" s="110"/>
    </row>
    <row r="9" spans="1:13" x14ac:dyDescent="0.25">
      <c r="B9" s="453"/>
    </row>
    <row r="10" spans="1:13" ht="23" x14ac:dyDescent="0.25">
      <c r="A10" s="749" t="s">
        <v>492</v>
      </c>
      <c r="B10" s="749" t="s">
        <v>493</v>
      </c>
      <c r="C10" s="749" t="s">
        <v>494</v>
      </c>
      <c r="D10" s="86" t="s">
        <v>495</v>
      </c>
      <c r="E10" s="749" t="s">
        <v>560</v>
      </c>
      <c r="F10" s="749" t="s">
        <v>541</v>
      </c>
      <c r="G10" s="749" t="s">
        <v>498</v>
      </c>
      <c r="H10" s="749" t="s">
        <v>561</v>
      </c>
      <c r="I10" s="749" t="s">
        <v>126</v>
      </c>
      <c r="J10" s="749" t="s">
        <v>92</v>
      </c>
      <c r="K10" s="749" t="s">
        <v>501</v>
      </c>
    </row>
    <row r="11" spans="1:13" x14ac:dyDescent="0.25">
      <c r="A11" s="31">
        <v>44452.395833333336</v>
      </c>
      <c r="B11" s="38">
        <f>A11</f>
        <v>44452.395833333336</v>
      </c>
      <c r="C11" s="36">
        <v>6.25E-2</v>
      </c>
      <c r="D11" s="327" t="str">
        <f t="shared" ref="D11:D29" si="0">IF(_xlfn.ISFORMULA(E11)=TRUE,"",E11-B11)</f>
        <v/>
      </c>
      <c r="E11" s="114">
        <f t="shared" ref="E11:E29" si="1">B11+C11</f>
        <v>44452.458333333336</v>
      </c>
      <c r="F11" s="35" t="s">
        <v>562</v>
      </c>
      <c r="G11" s="35"/>
      <c r="H11" s="684"/>
      <c r="I11" s="684"/>
      <c r="J11" s="684"/>
      <c r="K11" s="684"/>
      <c r="L11" s="1057"/>
      <c r="M11" s="1056"/>
    </row>
    <row r="12" spans="1:13" ht="12.75" customHeight="1" x14ac:dyDescent="0.25">
      <c r="A12" s="31">
        <f t="shared" ref="A12:A29" si="2">IF(D11 = "",A11+C11,A11+D11)</f>
        <v>44452.458333333336</v>
      </c>
      <c r="B12" s="685">
        <f>IF(D11 = "",B11+C11,B11+D11)</f>
        <v>44452.458333333336</v>
      </c>
      <c r="C12" s="36">
        <v>0.375</v>
      </c>
      <c r="D12" s="327"/>
      <c r="E12" s="114">
        <f t="shared" si="1"/>
        <v>44452.833333333336</v>
      </c>
      <c r="F12" s="35" t="s">
        <v>563</v>
      </c>
      <c r="G12" s="35"/>
      <c r="H12" s="684"/>
      <c r="I12" s="684"/>
      <c r="J12" s="684"/>
      <c r="K12" s="684"/>
      <c r="L12" s="1055"/>
      <c r="M12" s="1056"/>
    </row>
    <row r="13" spans="1:13" ht="12" customHeight="1" x14ac:dyDescent="0.25">
      <c r="A13" s="31">
        <f t="shared" si="2"/>
        <v>44452.833333333336</v>
      </c>
      <c r="B13" s="37">
        <f t="shared" ref="B13:B29" si="3">IF(D12 = "",B12+C12,B12+D12)</f>
        <v>44452.833333333336</v>
      </c>
      <c r="C13" s="36">
        <v>0.22916666666666666</v>
      </c>
      <c r="D13" s="327"/>
      <c r="E13" s="114">
        <f t="shared" si="1"/>
        <v>44453.0625</v>
      </c>
      <c r="F13" s="35" t="s">
        <v>564</v>
      </c>
      <c r="G13" s="39"/>
      <c r="H13" s="684"/>
      <c r="I13" s="684"/>
      <c r="J13" s="684">
        <f>(199.6 + 36 + 81 + 81 + 81) / 0.997</f>
        <v>480.04012036108327</v>
      </c>
      <c r="K13" s="684"/>
    </row>
    <row r="14" spans="1:13" ht="12" customHeight="1" x14ac:dyDescent="0.25">
      <c r="A14" s="31">
        <f t="shared" si="2"/>
        <v>44453.0625</v>
      </c>
      <c r="B14" s="37">
        <f t="shared" si="3"/>
        <v>44453.0625</v>
      </c>
      <c r="C14" s="36">
        <v>0.10416666666666667</v>
      </c>
      <c r="D14" s="327"/>
      <c r="E14" s="114">
        <f t="shared" si="1"/>
        <v>44453.166666666664</v>
      </c>
      <c r="F14" s="35" t="s">
        <v>565</v>
      </c>
      <c r="G14" s="39"/>
      <c r="H14" s="684"/>
      <c r="I14" s="684"/>
      <c r="J14" s="684"/>
      <c r="K14" s="684"/>
      <c r="L14" s="1057"/>
      <c r="M14" s="1056"/>
    </row>
    <row r="15" spans="1:13" ht="12.75" customHeight="1" x14ac:dyDescent="0.25">
      <c r="A15" s="31">
        <f t="shared" si="2"/>
        <v>44453.166666666664</v>
      </c>
      <c r="B15" s="37">
        <f t="shared" si="3"/>
        <v>44453.166666666664</v>
      </c>
      <c r="C15" s="36">
        <v>0.20833333333333334</v>
      </c>
      <c r="D15" s="327"/>
      <c r="E15" s="114">
        <f t="shared" si="1"/>
        <v>44453.375</v>
      </c>
      <c r="F15" s="35" t="s">
        <v>566</v>
      </c>
      <c r="G15" s="35"/>
      <c r="H15" s="684"/>
      <c r="I15" s="684"/>
      <c r="J15" s="684"/>
      <c r="K15" s="684"/>
      <c r="L15" s="1055"/>
      <c r="M15" s="1056"/>
    </row>
    <row r="16" spans="1:13" ht="13.4" customHeight="1" x14ac:dyDescent="0.25">
      <c r="A16" s="31">
        <f t="shared" si="2"/>
        <v>44453.375</v>
      </c>
      <c r="B16" s="37">
        <f t="shared" si="3"/>
        <v>44453.375</v>
      </c>
      <c r="C16" s="111">
        <v>0.14583333333333334</v>
      </c>
      <c r="D16" s="327"/>
      <c r="E16" s="114">
        <f t="shared" si="1"/>
        <v>44453.520833333336</v>
      </c>
      <c r="F16" s="39" t="s">
        <v>567</v>
      </c>
      <c r="G16" s="35" t="s">
        <v>568</v>
      </c>
      <c r="H16" s="458"/>
      <c r="I16" s="458"/>
      <c r="J16" s="458"/>
      <c r="K16" s="458"/>
    </row>
    <row r="17" spans="1:13" x14ac:dyDescent="0.25">
      <c r="A17" s="31">
        <f t="shared" si="2"/>
        <v>44453.520833333336</v>
      </c>
      <c r="B17" s="37">
        <f t="shared" si="3"/>
        <v>44453.520833333336</v>
      </c>
      <c r="C17" s="111">
        <v>0.375</v>
      </c>
      <c r="D17" s="327"/>
      <c r="E17" s="114">
        <f t="shared" si="1"/>
        <v>44453.895833333336</v>
      </c>
      <c r="F17" s="35" t="s">
        <v>569</v>
      </c>
      <c r="G17" s="35"/>
      <c r="H17" s="684"/>
      <c r="I17" s="684"/>
      <c r="J17" s="684"/>
      <c r="K17" s="684"/>
    </row>
    <row r="18" spans="1:13" x14ac:dyDescent="0.25">
      <c r="A18" s="31">
        <f t="shared" si="2"/>
        <v>44453.895833333336</v>
      </c>
      <c r="B18" s="37">
        <f t="shared" si="3"/>
        <v>44453.895833333336</v>
      </c>
      <c r="C18" s="111">
        <v>0.5</v>
      </c>
      <c r="D18" s="327" t="str">
        <f t="shared" si="0"/>
        <v/>
      </c>
      <c r="E18" s="114">
        <f t="shared" si="1"/>
        <v>44454.395833333336</v>
      </c>
      <c r="F18" s="35" t="s">
        <v>570</v>
      </c>
      <c r="G18" s="35"/>
      <c r="H18" s="684"/>
      <c r="I18" s="684"/>
      <c r="J18" s="684">
        <f>(69.5 + 36 + 48 + 62.6 + 36 + 48 + 48 + 48)/0.997</f>
        <v>397.29187562688065</v>
      </c>
      <c r="K18" s="684"/>
    </row>
    <row r="19" spans="1:13" x14ac:dyDescent="0.25">
      <c r="A19" s="31">
        <f t="shared" si="2"/>
        <v>44454.395833333336</v>
      </c>
      <c r="B19" s="37">
        <f t="shared" si="3"/>
        <v>44454.395833333336</v>
      </c>
      <c r="C19" s="111">
        <v>4.1666666666666664E-2</v>
      </c>
      <c r="D19" s="327"/>
      <c r="E19" s="114">
        <f t="shared" si="1"/>
        <v>44454.4375</v>
      </c>
      <c r="F19" s="35" t="s">
        <v>2446</v>
      </c>
      <c r="G19" s="35"/>
      <c r="H19" s="684">
        <f>40+120</f>
        <v>160</v>
      </c>
      <c r="I19" s="684"/>
      <c r="J19" s="684"/>
      <c r="K19" s="684">
        <f>H19</f>
        <v>160</v>
      </c>
    </row>
    <row r="20" spans="1:13" ht="13.5" customHeight="1" x14ac:dyDescent="0.25">
      <c r="A20" s="31">
        <f t="shared" si="2"/>
        <v>44454.4375</v>
      </c>
      <c r="B20" s="37">
        <f t="shared" si="3"/>
        <v>44454.4375</v>
      </c>
      <c r="C20" s="111">
        <v>0.52083333333333337</v>
      </c>
      <c r="D20" s="327" t="str">
        <f t="shared" si="0"/>
        <v/>
      </c>
      <c r="E20" s="114">
        <f t="shared" si="1"/>
        <v>44454.958333333336</v>
      </c>
      <c r="F20" s="35" t="s">
        <v>571</v>
      </c>
      <c r="G20" s="35"/>
      <c r="H20" s="684"/>
      <c r="I20" s="684"/>
      <c r="J20" s="684"/>
      <c r="K20" s="684"/>
    </row>
    <row r="21" spans="1:13" ht="12" customHeight="1" x14ac:dyDescent="0.25">
      <c r="A21" s="31">
        <f t="shared" si="2"/>
        <v>44454.958333333336</v>
      </c>
      <c r="B21" s="37">
        <f t="shared" si="3"/>
        <v>44454.958333333336</v>
      </c>
      <c r="C21" s="36">
        <v>0.57291666666666663</v>
      </c>
      <c r="D21" s="327" t="str">
        <f t="shared" si="0"/>
        <v/>
      </c>
      <c r="E21" s="114">
        <f t="shared" si="1"/>
        <v>44455.53125</v>
      </c>
      <c r="F21" s="35" t="s">
        <v>548</v>
      </c>
      <c r="G21" s="39"/>
      <c r="H21" s="684"/>
      <c r="I21" s="684"/>
      <c r="J21" s="684"/>
      <c r="K21" s="684"/>
      <c r="L21" s="1058"/>
      <c r="M21" s="1059"/>
    </row>
    <row r="22" spans="1:13" ht="12.75" customHeight="1" x14ac:dyDescent="0.25">
      <c r="A22" s="31">
        <f t="shared" si="2"/>
        <v>44455.53125</v>
      </c>
      <c r="B22" s="37">
        <f t="shared" si="3"/>
        <v>44455.53125</v>
      </c>
      <c r="C22" s="36">
        <v>0.125</v>
      </c>
      <c r="D22" s="327" t="str">
        <f t="shared" si="0"/>
        <v/>
      </c>
      <c r="E22" s="114">
        <f t="shared" si="1"/>
        <v>44455.65625</v>
      </c>
      <c r="F22" s="35" t="s">
        <v>549</v>
      </c>
      <c r="G22" s="35"/>
      <c r="H22" s="684">
        <f>(252.2 + 36 + 78.4 + 174.3 + 70.4 + 70.4 + 70.4 + 66 + 54.7)/0.902</f>
        <v>967.62749445676275</v>
      </c>
      <c r="I22" s="684">
        <f>54.7/0.684</f>
        <v>79.970760233918128</v>
      </c>
      <c r="J22" s="684"/>
      <c r="K22" s="684">
        <f>SUM(H22:I22)</f>
        <v>1047.598254690681</v>
      </c>
      <c r="L22" s="1060"/>
      <c r="M22" s="1059"/>
    </row>
    <row r="23" spans="1:13" ht="12.75" customHeight="1" x14ac:dyDescent="0.25">
      <c r="A23" s="31">
        <f t="shared" si="2"/>
        <v>44455.65625</v>
      </c>
      <c r="B23" s="37">
        <f t="shared" si="3"/>
        <v>44455.65625</v>
      </c>
      <c r="C23" s="36">
        <v>0.4375</v>
      </c>
      <c r="D23" s="327" t="str">
        <f t="shared" si="0"/>
        <v/>
      </c>
      <c r="E23" s="114">
        <f t="shared" si="1"/>
        <v>44456.09375</v>
      </c>
      <c r="F23" s="35" t="s">
        <v>572</v>
      </c>
      <c r="G23" s="35"/>
      <c r="H23" s="1061">
        <f>26.1/0.902</f>
        <v>28.935698447893571</v>
      </c>
      <c r="I23" s="1063">
        <f>(13.1 + 32.8)/0.684</f>
        <v>67.105263157894726</v>
      </c>
      <c r="J23" s="684"/>
      <c r="K23" s="1061">
        <f t="shared" ref="K23" si="4">SUM(H23:I23)</f>
        <v>96.040961605788297</v>
      </c>
    </row>
    <row r="24" spans="1:13" ht="12.75" customHeight="1" x14ac:dyDescent="0.25">
      <c r="A24" s="31">
        <f t="shared" si="2"/>
        <v>44456.09375</v>
      </c>
      <c r="B24" s="37">
        <f t="shared" si="3"/>
        <v>44456.09375</v>
      </c>
      <c r="C24" s="36">
        <v>0.625</v>
      </c>
      <c r="D24" s="327" t="str">
        <f t="shared" si="0"/>
        <v/>
      </c>
      <c r="E24" s="114">
        <f t="shared" si="1"/>
        <v>44456.71875</v>
      </c>
      <c r="F24" s="35" t="s">
        <v>551</v>
      </c>
      <c r="G24" s="35"/>
      <c r="H24" s="1062"/>
      <c r="I24" s="1063"/>
      <c r="J24" s="684"/>
      <c r="K24" s="1062"/>
    </row>
    <row r="25" spans="1:13" ht="12.75" customHeight="1" x14ac:dyDescent="0.25">
      <c r="A25" s="31">
        <f t="shared" si="2"/>
        <v>44456.71875</v>
      </c>
      <c r="B25" s="37">
        <f t="shared" si="3"/>
        <v>44456.71875</v>
      </c>
      <c r="C25" s="36">
        <v>6.25E-2</v>
      </c>
      <c r="D25" s="327" t="str">
        <f t="shared" si="0"/>
        <v/>
      </c>
      <c r="E25" s="114">
        <f t="shared" si="1"/>
        <v>44456.78125</v>
      </c>
      <c r="F25" s="35" t="s">
        <v>2445</v>
      </c>
      <c r="G25" s="35"/>
      <c r="H25" s="684"/>
      <c r="I25" s="684"/>
      <c r="J25" s="684"/>
      <c r="K25" s="684"/>
    </row>
    <row r="26" spans="1:13" ht="12.75" customHeight="1" x14ac:dyDescent="0.25">
      <c r="A26" s="31">
        <f t="shared" si="2"/>
        <v>44456.78125</v>
      </c>
      <c r="B26" s="37">
        <f t="shared" si="3"/>
        <v>44456.78125</v>
      </c>
      <c r="C26" s="36">
        <v>0.16666666666666666</v>
      </c>
      <c r="D26" s="327" t="str">
        <f t="shared" si="0"/>
        <v/>
      </c>
      <c r="E26" s="114">
        <f t="shared" si="1"/>
        <v>44456.947916666664</v>
      </c>
      <c r="F26" s="35" t="s">
        <v>2447</v>
      </c>
      <c r="G26" s="35"/>
      <c r="H26" s="684"/>
      <c r="I26" s="684"/>
      <c r="J26" s="684"/>
      <c r="K26" s="684"/>
    </row>
    <row r="27" spans="1:13" ht="12.75" customHeight="1" x14ac:dyDescent="0.25">
      <c r="A27" s="31">
        <f t="shared" si="2"/>
        <v>44456.947916666664</v>
      </c>
      <c r="B27" s="37">
        <f t="shared" si="3"/>
        <v>44456.947916666664</v>
      </c>
      <c r="C27" s="36">
        <v>1.0416666666666666E-2</v>
      </c>
      <c r="D27" s="327" t="str">
        <f t="shared" si="0"/>
        <v/>
      </c>
      <c r="E27" s="114">
        <f t="shared" si="1"/>
        <v>44456.958333333328</v>
      </c>
      <c r="F27" s="167" t="s">
        <v>573</v>
      </c>
      <c r="G27" s="167"/>
      <c r="H27" s="459"/>
      <c r="I27" s="459"/>
      <c r="J27" s="459"/>
      <c r="K27" s="459">
        <f>SUM(H27:I27)</f>
        <v>0</v>
      </c>
    </row>
    <row r="28" spans="1:13" ht="12.75" customHeight="1" x14ac:dyDescent="0.25">
      <c r="A28" s="31">
        <f t="shared" si="2"/>
        <v>44456.958333333328</v>
      </c>
      <c r="B28" s="37">
        <f t="shared" si="3"/>
        <v>44456.958333333328</v>
      </c>
      <c r="C28" s="36">
        <v>0.22916666666666666</v>
      </c>
      <c r="D28" s="327" t="str">
        <f t="shared" si="0"/>
        <v/>
      </c>
      <c r="E28" s="114">
        <f t="shared" si="1"/>
        <v>44457.187499999993</v>
      </c>
      <c r="F28" s="167" t="s">
        <v>574</v>
      </c>
      <c r="G28" s="167"/>
      <c r="H28" s="459"/>
      <c r="I28" s="459"/>
      <c r="J28" s="459"/>
      <c r="K28" s="459">
        <f>SUM(H28:I28)</f>
        <v>0</v>
      </c>
    </row>
    <row r="29" spans="1:13" ht="12.75" customHeight="1" x14ac:dyDescent="0.25">
      <c r="A29" s="31">
        <f t="shared" si="2"/>
        <v>44457.187499999993</v>
      </c>
      <c r="B29" s="37">
        <f t="shared" si="3"/>
        <v>44457.187499999993</v>
      </c>
      <c r="C29" s="36">
        <v>1.0416666666666666E-2</v>
      </c>
      <c r="D29" s="327" t="str">
        <f t="shared" si="0"/>
        <v/>
      </c>
      <c r="E29" s="114">
        <f t="shared" si="1"/>
        <v>44457.197916666657</v>
      </c>
      <c r="F29" s="167" t="s">
        <v>575</v>
      </c>
      <c r="G29" s="167"/>
      <c r="H29" s="459"/>
      <c r="I29" s="459"/>
      <c r="J29" s="459"/>
      <c r="K29" s="459"/>
    </row>
    <row r="30" spans="1:13" x14ac:dyDescent="0.25">
      <c r="B30" s="112" t="s">
        <v>534</v>
      </c>
      <c r="C30" s="36">
        <f>SUM(C11:C29)</f>
        <v>4.8020833333333339</v>
      </c>
      <c r="D30" s="32">
        <f>SUM(D11:D26)</f>
        <v>0</v>
      </c>
      <c r="G30" s="26"/>
      <c r="H30" s="460">
        <f>SUM(H11:H29)</f>
        <v>1156.5631929046563</v>
      </c>
      <c r="I30" s="460">
        <f>SUM(I11:I29)</f>
        <v>147.07602339181284</v>
      </c>
      <c r="J30" s="460">
        <f>SUM(J11:J29)</f>
        <v>877.33199598796386</v>
      </c>
      <c r="K30" s="460">
        <f>SUM(K11:K29)</f>
        <v>1303.6392162964692</v>
      </c>
    </row>
    <row r="31" spans="1:13" x14ac:dyDescent="0.25">
      <c r="B31" s="31" t="s">
        <v>536</v>
      </c>
      <c r="C31" s="36">
        <f>C30/24</f>
        <v>0.20008680555555558</v>
      </c>
      <c r="D31" s="112">
        <f>D30/24</f>
        <v>0</v>
      </c>
      <c r="G31" s="26"/>
    </row>
    <row r="32" spans="1:13" ht="21" x14ac:dyDescent="0.55000000000000004">
      <c r="A32" s="34"/>
      <c r="D32" s="113"/>
      <c r="G32" s="26"/>
    </row>
    <row r="33" spans="7:7" x14ac:dyDescent="0.25">
      <c r="G33" s="26"/>
    </row>
    <row r="34" spans="7:7" x14ac:dyDescent="0.25">
      <c r="G34" s="26"/>
    </row>
    <row r="35" spans="7:7" x14ac:dyDescent="0.25">
      <c r="G35" s="26"/>
    </row>
    <row r="36" spans="7:7" x14ac:dyDescent="0.25">
      <c r="G36" s="26"/>
    </row>
    <row r="37" spans="7:7" x14ac:dyDescent="0.25">
      <c r="G37" s="26"/>
    </row>
    <row r="38" spans="7:7" x14ac:dyDescent="0.25">
      <c r="G38" s="26"/>
    </row>
    <row r="39" spans="7:7" x14ac:dyDescent="0.25">
      <c r="G39" s="26"/>
    </row>
    <row r="40" spans="7:7" x14ac:dyDescent="0.25">
      <c r="G40" s="26"/>
    </row>
    <row r="41" spans="7:7" x14ac:dyDescent="0.25">
      <c r="G41" s="26"/>
    </row>
    <row r="42" spans="7:7" x14ac:dyDescent="0.25">
      <c r="G42" s="26"/>
    </row>
    <row r="43" spans="7:7" x14ac:dyDescent="0.25">
      <c r="G43" s="26"/>
    </row>
    <row r="44" spans="7:7" x14ac:dyDescent="0.25">
      <c r="G44" s="26"/>
    </row>
    <row r="45" spans="7:7" x14ac:dyDescent="0.25">
      <c r="G45" s="26"/>
    </row>
    <row r="46" spans="7:7" x14ac:dyDescent="0.25">
      <c r="G46" s="26"/>
    </row>
    <row r="47" spans="7:7" x14ac:dyDescent="0.25">
      <c r="G47" s="26"/>
    </row>
    <row r="48" spans="7:7" x14ac:dyDescent="0.25">
      <c r="G48" s="26"/>
    </row>
    <row r="49" spans="6:11" x14ac:dyDescent="0.25">
      <c r="G49" s="26"/>
    </row>
    <row r="50" spans="6:11" x14ac:dyDescent="0.25">
      <c r="G50" s="26"/>
    </row>
    <row r="51" spans="6:11" x14ac:dyDescent="0.25">
      <c r="G51" s="26"/>
    </row>
    <row r="52" spans="6:11" x14ac:dyDescent="0.25">
      <c r="G52" s="26"/>
    </row>
    <row r="53" spans="6:11" x14ac:dyDescent="0.25">
      <c r="G53" s="26"/>
    </row>
    <row r="54" spans="6:11" x14ac:dyDescent="0.25">
      <c r="F54" s="26"/>
      <c r="H54" s="26"/>
      <c r="I54" s="26"/>
      <c r="J54" s="26"/>
      <c r="K54" s="26"/>
    </row>
    <row r="55" spans="6:11" x14ac:dyDescent="0.25">
      <c r="F55" s="26"/>
      <c r="H55" s="26"/>
      <c r="I55" s="26"/>
      <c r="J55" s="26"/>
      <c r="K55" s="26"/>
    </row>
  </sheetData>
  <mergeCells count="11">
    <mergeCell ref="L15:M15"/>
    <mergeCell ref="A1:B1"/>
    <mergeCell ref="A5:D5"/>
    <mergeCell ref="L11:M11"/>
    <mergeCell ref="L12:M12"/>
    <mergeCell ref="L14:M14"/>
    <mergeCell ref="L21:M21"/>
    <mergeCell ref="L22:M22"/>
    <mergeCell ref="H23:H24"/>
    <mergeCell ref="I23:I24"/>
    <mergeCell ref="K23:K24"/>
  </mergeCells>
  <pageMargins left="0.75" right="0.75" top="1" bottom="1" header="0.5" footer="0.5"/>
  <pageSetup orientation="portrait" r:id="rId1"/>
  <headerFooter alignWithMargins="0">
    <oddFooter>&amp;R&amp;"Arial,Regular"&amp;08&amp;K7F7F7FAmgen Proprietary - Confidential   &amp;C&amp;"Arial,Regular"&amp;08&amp;K7F7F7FAmgen Proprietary - For Internal Use Only</oddFooter>
    <evenFooter>&amp;R&amp;"Arial,Regular"&amp;08&amp;K7F7F7FAmgen Proprietary - Confidential   &amp;C&amp;"Arial,Regular"&amp;08&amp;K7F7F7FAmgen Proprietary - For Internal Use Only</evenFooter>
    <firstFooter>&amp;R&amp;"Arial,Regular"&amp;08&amp;K7F7F7FAmgen Proprietary - Confidential   &amp;C&amp;"Arial,Regular"&amp;08&amp;K7F7F7FAmgen Proprietary - For Internal Use Only</firstFooter>
  </headerFooter>
  <legacyDrawing r:id="rId2"/>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87DF51-B867-4C2D-B5D8-06598EECD392}">
  <sheetPr codeName="Sheet99">
    <pageSetUpPr autoPageBreaks="0"/>
  </sheetPr>
  <dimension ref="A1:M55"/>
  <sheetViews>
    <sheetView zoomScale="140" zoomScaleNormal="140" workbookViewId="0">
      <selection activeCell="C20" sqref="C20"/>
    </sheetView>
  </sheetViews>
  <sheetFormatPr defaultColWidth="9.453125" defaultRowHeight="11.5" x14ac:dyDescent="0.25"/>
  <cols>
    <col min="1" max="1" width="28.453125" style="25" customWidth="1"/>
    <col min="2" max="2" width="25.54296875" style="25" customWidth="1"/>
    <col min="3" max="3" width="23.453125" style="25" customWidth="1"/>
    <col min="4" max="4" width="20.54296875" style="25" customWidth="1"/>
    <col min="5" max="5" width="21.54296875" style="25" customWidth="1"/>
    <col min="6" max="6" width="50.54296875" style="25" customWidth="1"/>
    <col min="7" max="7" width="43.453125" style="25" bestFit="1" customWidth="1"/>
    <col min="8" max="11" width="14.453125" style="25" customWidth="1"/>
    <col min="12" max="16384" width="9.453125" style="25"/>
  </cols>
  <sheetData>
    <row r="1" spans="1:13" ht="12" thickBot="1" x14ac:dyDescent="0.3">
      <c r="A1" s="1053" t="s">
        <v>479</v>
      </c>
      <c r="B1" s="1054"/>
    </row>
    <row r="2" spans="1:13" ht="12" thickBot="1" x14ac:dyDescent="0.3">
      <c r="A2" s="772" t="s">
        <v>480</v>
      </c>
      <c r="B2" s="115">
        <f>A11</f>
        <v>44459.395833333336</v>
      </c>
    </row>
    <row r="3" spans="1:13" x14ac:dyDescent="0.25">
      <c r="A3" s="772" t="s">
        <v>482</v>
      </c>
      <c r="B3" s="454">
        <f>A11</f>
        <v>44459.395833333336</v>
      </c>
    </row>
    <row r="5" spans="1:13" x14ac:dyDescent="0.25">
      <c r="A5" s="1049" t="s">
        <v>484</v>
      </c>
      <c r="B5" s="1050"/>
      <c r="C5" s="1050"/>
      <c r="D5" s="1051"/>
    </row>
    <row r="6" spans="1:13" x14ac:dyDescent="0.25">
      <c r="A6" s="781" t="s">
        <v>485</v>
      </c>
      <c r="B6" s="781" t="s">
        <v>486</v>
      </c>
      <c r="C6" s="781" t="s">
        <v>487</v>
      </c>
      <c r="D6" s="781" t="s">
        <v>488</v>
      </c>
    </row>
    <row r="7" spans="1:13" x14ac:dyDescent="0.25">
      <c r="A7" s="41" t="str">
        <f>F16</f>
        <v>IPC: Reaction Conversion</v>
      </c>
      <c r="B7" s="455">
        <f>INDEX($A$11:$A$62,MATCH(A7,$F$11:$F$59,0))</f>
        <v>44460.333333333336</v>
      </c>
      <c r="C7" s="37">
        <f>INDEX($A$11:$A$62,MATCH(A7,$F$11:$F$59,0))</f>
        <v>44460.333333333336</v>
      </c>
      <c r="D7" s="475"/>
    </row>
    <row r="8" spans="1:13" x14ac:dyDescent="0.25">
      <c r="A8" s="35" t="s">
        <v>2445</v>
      </c>
      <c r="B8" s="455">
        <f>INDEX($A$11:$A$62,MATCH(A8,$F$11:$F$59,0))</f>
        <v>44463.677083333336</v>
      </c>
      <c r="C8" s="37">
        <f>INDEX($A$11:$A$62,MATCH(A8,$F$11:$F$59,0))</f>
        <v>44463.677083333336</v>
      </c>
      <c r="D8" s="110"/>
    </row>
    <row r="9" spans="1:13" x14ac:dyDescent="0.25">
      <c r="B9" s="453"/>
    </row>
    <row r="10" spans="1:13" ht="23" x14ac:dyDescent="0.25">
      <c r="A10" s="749" t="s">
        <v>492</v>
      </c>
      <c r="B10" s="749" t="s">
        <v>493</v>
      </c>
      <c r="C10" s="749" t="s">
        <v>494</v>
      </c>
      <c r="D10" s="86" t="s">
        <v>495</v>
      </c>
      <c r="E10" s="749" t="s">
        <v>560</v>
      </c>
      <c r="F10" s="749" t="s">
        <v>541</v>
      </c>
      <c r="G10" s="749" t="s">
        <v>498</v>
      </c>
      <c r="H10" s="749" t="s">
        <v>561</v>
      </c>
      <c r="I10" s="749" t="s">
        <v>126</v>
      </c>
      <c r="J10" s="749" t="s">
        <v>92</v>
      </c>
      <c r="K10" s="749" t="s">
        <v>501</v>
      </c>
    </row>
    <row r="11" spans="1:13" x14ac:dyDescent="0.25">
      <c r="A11" s="31">
        <v>44459.395833333336</v>
      </c>
      <c r="B11" s="38">
        <f>A11</f>
        <v>44459.395833333336</v>
      </c>
      <c r="C11" s="36">
        <v>6.25E-2</v>
      </c>
      <c r="D11" s="327" t="str">
        <f t="shared" ref="D11:D29" si="0">IF(_xlfn.ISFORMULA(E11)=TRUE,"",E11-B11)</f>
        <v/>
      </c>
      <c r="E11" s="114">
        <f t="shared" ref="E11:E29" si="1">B11+C11</f>
        <v>44459.458333333336</v>
      </c>
      <c r="F11" s="35" t="s">
        <v>562</v>
      </c>
      <c r="G11" s="35"/>
      <c r="H11" s="684"/>
      <c r="I11" s="684"/>
      <c r="J11" s="684"/>
      <c r="K11" s="684"/>
      <c r="L11" s="1057"/>
      <c r="M11" s="1056"/>
    </row>
    <row r="12" spans="1:13" ht="12.75" customHeight="1" x14ac:dyDescent="0.25">
      <c r="A12" s="31">
        <f t="shared" ref="A12:A29" si="2">IF(D11 = "",A11+C11,A11+D11)</f>
        <v>44459.458333333336</v>
      </c>
      <c r="B12" s="685">
        <f>IF(D11 = "",B11+C11,B11+D11)</f>
        <v>44459.458333333336</v>
      </c>
      <c r="C12" s="36">
        <v>0.375</v>
      </c>
      <c r="D12" s="327">
        <v>0.39583333333333331</v>
      </c>
      <c r="E12" s="114">
        <f t="shared" si="1"/>
        <v>44459.833333333336</v>
      </c>
      <c r="F12" s="35" t="s">
        <v>563</v>
      </c>
      <c r="G12" s="35"/>
      <c r="H12" s="684"/>
      <c r="I12" s="684"/>
      <c r="J12" s="684"/>
      <c r="K12" s="684"/>
      <c r="L12" s="1055"/>
      <c r="M12" s="1056"/>
    </row>
    <row r="13" spans="1:13" ht="12" customHeight="1" x14ac:dyDescent="0.25">
      <c r="A13" s="31">
        <f t="shared" si="2"/>
        <v>44459.854166666672</v>
      </c>
      <c r="B13" s="37">
        <f t="shared" ref="B13:B29" si="3">IF(D12 = "",B12+C12,B12+D12)</f>
        <v>44459.854166666672</v>
      </c>
      <c r="C13" s="36">
        <v>0.22916666666666666</v>
      </c>
      <c r="D13" s="327">
        <v>0.16666666666666666</v>
      </c>
      <c r="E13" s="114">
        <f t="shared" si="1"/>
        <v>44460.083333333336</v>
      </c>
      <c r="F13" s="35" t="s">
        <v>564</v>
      </c>
      <c r="G13" s="39"/>
      <c r="H13" s="684"/>
      <c r="I13" s="684"/>
      <c r="J13" s="684">
        <f>(199.6 + 36 + 81 + 81 + 81) / 0.997</f>
        <v>480.04012036108327</v>
      </c>
      <c r="K13" s="684"/>
    </row>
    <row r="14" spans="1:13" ht="12" customHeight="1" x14ac:dyDescent="0.25">
      <c r="A14" s="31">
        <f t="shared" si="2"/>
        <v>44460.020833333336</v>
      </c>
      <c r="B14" s="37">
        <f t="shared" si="3"/>
        <v>44460.020833333336</v>
      </c>
      <c r="C14" s="36">
        <v>0.10416666666666667</v>
      </c>
      <c r="D14" s="327"/>
      <c r="E14" s="114">
        <f t="shared" si="1"/>
        <v>44460.125</v>
      </c>
      <c r="F14" s="35" t="s">
        <v>565</v>
      </c>
      <c r="G14" s="39"/>
      <c r="H14" s="684"/>
      <c r="I14" s="684"/>
      <c r="J14" s="684"/>
      <c r="K14" s="684"/>
      <c r="L14" s="1057"/>
      <c r="M14" s="1056"/>
    </row>
    <row r="15" spans="1:13" ht="12.75" customHeight="1" x14ac:dyDescent="0.25">
      <c r="A15" s="31">
        <f t="shared" si="2"/>
        <v>44460.125</v>
      </c>
      <c r="B15" s="37">
        <f t="shared" si="3"/>
        <v>44460.125</v>
      </c>
      <c r="C15" s="36">
        <v>0.20833333333333334</v>
      </c>
      <c r="D15" s="327"/>
      <c r="E15" s="114">
        <f t="shared" si="1"/>
        <v>44460.333333333336</v>
      </c>
      <c r="F15" s="35" t="s">
        <v>566</v>
      </c>
      <c r="G15" s="35"/>
      <c r="H15" s="684"/>
      <c r="I15" s="684"/>
      <c r="J15" s="684"/>
      <c r="K15" s="684"/>
      <c r="L15" s="1055"/>
      <c r="M15" s="1056"/>
    </row>
    <row r="16" spans="1:13" ht="13.4" customHeight="1" x14ac:dyDescent="0.25">
      <c r="A16" s="31">
        <f t="shared" si="2"/>
        <v>44460.333333333336</v>
      </c>
      <c r="B16" s="37">
        <f t="shared" si="3"/>
        <v>44460.333333333336</v>
      </c>
      <c r="C16" s="111">
        <v>0.14583333333333334</v>
      </c>
      <c r="D16" s="327"/>
      <c r="E16" s="114">
        <f t="shared" si="1"/>
        <v>44460.479166666672</v>
      </c>
      <c r="F16" s="39" t="s">
        <v>567</v>
      </c>
      <c r="G16" s="35" t="s">
        <v>568</v>
      </c>
      <c r="H16" s="458"/>
      <c r="I16" s="458"/>
      <c r="J16" s="458"/>
      <c r="K16" s="458"/>
    </row>
    <row r="17" spans="1:13" x14ac:dyDescent="0.25">
      <c r="A17" s="31">
        <f t="shared" si="2"/>
        <v>44460.479166666672</v>
      </c>
      <c r="B17" s="37">
        <f t="shared" si="3"/>
        <v>44460.479166666672</v>
      </c>
      <c r="C17" s="111">
        <v>0.375</v>
      </c>
      <c r="D17" s="327"/>
      <c r="E17" s="114">
        <f t="shared" si="1"/>
        <v>44460.854166666672</v>
      </c>
      <c r="F17" s="35" t="s">
        <v>569</v>
      </c>
      <c r="G17" s="35"/>
      <c r="H17" s="684"/>
      <c r="I17" s="684"/>
      <c r="J17" s="684"/>
      <c r="K17" s="684"/>
    </row>
    <row r="18" spans="1:13" x14ac:dyDescent="0.25">
      <c r="A18" s="31">
        <f t="shared" si="2"/>
        <v>44460.854166666672</v>
      </c>
      <c r="B18" s="37">
        <f t="shared" si="3"/>
        <v>44460.854166666672</v>
      </c>
      <c r="C18" s="111">
        <v>0.5</v>
      </c>
      <c r="D18" s="327" t="str">
        <f t="shared" si="0"/>
        <v/>
      </c>
      <c r="E18" s="114">
        <f t="shared" si="1"/>
        <v>44461.354166666672</v>
      </c>
      <c r="F18" s="35" t="s">
        <v>570</v>
      </c>
      <c r="G18" s="35"/>
      <c r="H18" s="684"/>
      <c r="I18" s="684"/>
      <c r="J18" s="684">
        <f>(69.5 + 36 + 48 + 62.6 + 36 + 48 + 48 + 48)/0.997</f>
        <v>397.29187562688065</v>
      </c>
      <c r="K18" s="684"/>
    </row>
    <row r="19" spans="1:13" x14ac:dyDescent="0.25">
      <c r="A19" s="31">
        <f t="shared" si="2"/>
        <v>44461.354166666672</v>
      </c>
      <c r="B19" s="37">
        <f t="shared" si="3"/>
        <v>44461.354166666672</v>
      </c>
      <c r="C19" s="111">
        <v>4.1666666666666664E-2</v>
      </c>
      <c r="D19" s="327"/>
      <c r="E19" s="114">
        <f t="shared" si="1"/>
        <v>44461.395833333336</v>
      </c>
      <c r="F19" s="35" t="s">
        <v>2446</v>
      </c>
      <c r="G19" s="35"/>
      <c r="H19" s="684">
        <f>40+120</f>
        <v>160</v>
      </c>
      <c r="I19" s="684"/>
      <c r="J19" s="684"/>
      <c r="K19" s="684">
        <f>H19</f>
        <v>160</v>
      </c>
    </row>
    <row r="20" spans="1:13" ht="13.5" customHeight="1" x14ac:dyDescent="0.25">
      <c r="A20" s="31">
        <f t="shared" si="2"/>
        <v>44461.395833333336</v>
      </c>
      <c r="B20" s="37">
        <f t="shared" si="3"/>
        <v>44461.395833333336</v>
      </c>
      <c r="C20" s="111">
        <v>0.52083333333333337</v>
      </c>
      <c r="D20" s="327" t="str">
        <f t="shared" si="0"/>
        <v/>
      </c>
      <c r="E20" s="114">
        <f t="shared" si="1"/>
        <v>44461.916666666672</v>
      </c>
      <c r="F20" s="35" t="s">
        <v>571</v>
      </c>
      <c r="G20" s="35"/>
      <c r="H20" s="684"/>
      <c r="I20" s="684"/>
      <c r="J20" s="684"/>
      <c r="K20" s="684"/>
    </row>
    <row r="21" spans="1:13" ht="12" customHeight="1" x14ac:dyDescent="0.25">
      <c r="A21" s="31">
        <f t="shared" si="2"/>
        <v>44461.916666666672</v>
      </c>
      <c r="B21" s="37">
        <f t="shared" si="3"/>
        <v>44461.916666666672</v>
      </c>
      <c r="C21" s="36">
        <v>0.57291666666666663</v>
      </c>
      <c r="D21" s="327" t="str">
        <f t="shared" si="0"/>
        <v/>
      </c>
      <c r="E21" s="114">
        <f t="shared" si="1"/>
        <v>44462.489583333336</v>
      </c>
      <c r="F21" s="35" t="s">
        <v>548</v>
      </c>
      <c r="G21" s="39"/>
      <c r="H21" s="684"/>
      <c r="I21" s="684"/>
      <c r="J21" s="684"/>
      <c r="K21" s="684"/>
      <c r="L21" s="1058"/>
      <c r="M21" s="1059"/>
    </row>
    <row r="22" spans="1:13" ht="12.75" customHeight="1" x14ac:dyDescent="0.25">
      <c r="A22" s="31">
        <f t="shared" si="2"/>
        <v>44462.489583333336</v>
      </c>
      <c r="B22" s="37">
        <f t="shared" si="3"/>
        <v>44462.489583333336</v>
      </c>
      <c r="C22" s="36">
        <v>0.125</v>
      </c>
      <c r="D22" s="327" t="str">
        <f t="shared" si="0"/>
        <v/>
      </c>
      <c r="E22" s="114">
        <f t="shared" si="1"/>
        <v>44462.614583333336</v>
      </c>
      <c r="F22" s="35" t="s">
        <v>549</v>
      </c>
      <c r="G22" s="35"/>
      <c r="H22" s="684">
        <f>(252.2 + 36 + 78.4 + 174.3 + 70.4 + 70.4 + 70.4 + 66 + 54.7)/0.902</f>
        <v>967.62749445676275</v>
      </c>
      <c r="I22" s="684">
        <f>54.7/0.684</f>
        <v>79.970760233918128</v>
      </c>
      <c r="J22" s="684"/>
      <c r="K22" s="684">
        <f>SUM(H22:I22)</f>
        <v>1047.598254690681</v>
      </c>
      <c r="L22" s="1060"/>
      <c r="M22" s="1059"/>
    </row>
    <row r="23" spans="1:13" ht="12.75" customHeight="1" x14ac:dyDescent="0.25">
      <c r="A23" s="31">
        <f t="shared" si="2"/>
        <v>44462.614583333336</v>
      </c>
      <c r="B23" s="37">
        <f t="shared" si="3"/>
        <v>44462.614583333336</v>
      </c>
      <c r="C23" s="36">
        <v>0.4375</v>
      </c>
      <c r="D23" s="327" t="str">
        <f t="shared" si="0"/>
        <v/>
      </c>
      <c r="E23" s="114">
        <f t="shared" si="1"/>
        <v>44463.052083333336</v>
      </c>
      <c r="F23" s="35" t="s">
        <v>572</v>
      </c>
      <c r="G23" s="35"/>
      <c r="H23" s="1061">
        <f>26.1/0.902</f>
        <v>28.935698447893571</v>
      </c>
      <c r="I23" s="1063">
        <f>(13.1 + 32.8)/0.684</f>
        <v>67.105263157894726</v>
      </c>
      <c r="J23" s="684"/>
      <c r="K23" s="1061">
        <f t="shared" ref="K23" si="4">SUM(H23:I23)</f>
        <v>96.040961605788297</v>
      </c>
    </row>
    <row r="24" spans="1:13" ht="12.75" customHeight="1" x14ac:dyDescent="0.25">
      <c r="A24" s="31">
        <f t="shared" si="2"/>
        <v>44463.052083333336</v>
      </c>
      <c r="B24" s="37">
        <f t="shared" si="3"/>
        <v>44463.052083333336</v>
      </c>
      <c r="C24" s="36">
        <v>0.625</v>
      </c>
      <c r="D24" s="327" t="str">
        <f t="shared" si="0"/>
        <v/>
      </c>
      <c r="E24" s="114">
        <f t="shared" si="1"/>
        <v>44463.677083333336</v>
      </c>
      <c r="F24" s="35" t="s">
        <v>551</v>
      </c>
      <c r="G24" s="35"/>
      <c r="H24" s="1062"/>
      <c r="I24" s="1063"/>
      <c r="J24" s="684"/>
      <c r="K24" s="1062"/>
    </row>
    <row r="25" spans="1:13" ht="12.75" customHeight="1" x14ac:dyDescent="0.25">
      <c r="A25" s="31">
        <f t="shared" si="2"/>
        <v>44463.677083333336</v>
      </c>
      <c r="B25" s="37">
        <f t="shared" si="3"/>
        <v>44463.677083333336</v>
      </c>
      <c r="C25" s="36">
        <v>6.25E-2</v>
      </c>
      <c r="D25" s="327" t="str">
        <f t="shared" si="0"/>
        <v/>
      </c>
      <c r="E25" s="114">
        <f t="shared" si="1"/>
        <v>44463.739583333336</v>
      </c>
      <c r="F25" s="35" t="s">
        <v>2445</v>
      </c>
      <c r="G25" s="35"/>
      <c r="H25" s="684"/>
      <c r="I25" s="684"/>
      <c r="J25" s="684"/>
      <c r="K25" s="684"/>
    </row>
    <row r="26" spans="1:13" ht="12.75" customHeight="1" x14ac:dyDescent="0.25">
      <c r="A26" s="31">
        <f t="shared" si="2"/>
        <v>44463.739583333336</v>
      </c>
      <c r="B26" s="37">
        <f t="shared" si="3"/>
        <v>44463.739583333336</v>
      </c>
      <c r="C26" s="36">
        <v>0.16666666666666666</v>
      </c>
      <c r="D26" s="327" t="str">
        <f t="shared" si="0"/>
        <v/>
      </c>
      <c r="E26" s="114">
        <f t="shared" si="1"/>
        <v>44463.90625</v>
      </c>
      <c r="F26" s="35" t="s">
        <v>2447</v>
      </c>
      <c r="G26" s="35"/>
      <c r="H26" s="684"/>
      <c r="I26" s="684"/>
      <c r="J26" s="684"/>
      <c r="K26" s="684"/>
    </row>
    <row r="27" spans="1:13" ht="12.75" customHeight="1" x14ac:dyDescent="0.25">
      <c r="A27" s="31">
        <f t="shared" si="2"/>
        <v>44463.90625</v>
      </c>
      <c r="B27" s="37">
        <f t="shared" si="3"/>
        <v>44463.90625</v>
      </c>
      <c r="C27" s="36">
        <v>1.0416666666666666E-2</v>
      </c>
      <c r="D27" s="327" t="str">
        <f t="shared" si="0"/>
        <v/>
      </c>
      <c r="E27" s="114">
        <f t="shared" si="1"/>
        <v>44463.916666666664</v>
      </c>
      <c r="F27" s="167" t="s">
        <v>573</v>
      </c>
      <c r="G27" s="167"/>
      <c r="H27" s="459"/>
      <c r="I27" s="459"/>
      <c r="J27" s="459"/>
      <c r="K27" s="459">
        <f>SUM(H27:I27)</f>
        <v>0</v>
      </c>
    </row>
    <row r="28" spans="1:13" ht="12.75" customHeight="1" x14ac:dyDescent="0.25">
      <c r="A28" s="31">
        <f t="shared" si="2"/>
        <v>44463.916666666664</v>
      </c>
      <c r="B28" s="37">
        <f t="shared" si="3"/>
        <v>44463.916666666664</v>
      </c>
      <c r="C28" s="36">
        <v>0.22916666666666666</v>
      </c>
      <c r="D28" s="327" t="str">
        <f t="shared" si="0"/>
        <v/>
      </c>
      <c r="E28" s="114">
        <f t="shared" si="1"/>
        <v>44464.145833333328</v>
      </c>
      <c r="F28" s="167" t="s">
        <v>574</v>
      </c>
      <c r="G28" s="167"/>
      <c r="H28" s="459"/>
      <c r="I28" s="459"/>
      <c r="J28" s="459"/>
      <c r="K28" s="459">
        <f>SUM(H28:I28)</f>
        <v>0</v>
      </c>
    </row>
    <row r="29" spans="1:13" ht="12.75" customHeight="1" x14ac:dyDescent="0.25">
      <c r="A29" s="31">
        <f t="shared" si="2"/>
        <v>44464.145833333328</v>
      </c>
      <c r="B29" s="37">
        <f t="shared" si="3"/>
        <v>44464.145833333328</v>
      </c>
      <c r="C29" s="36">
        <v>1.0416666666666666E-2</v>
      </c>
      <c r="D29" s="327" t="str">
        <f t="shared" si="0"/>
        <v/>
      </c>
      <c r="E29" s="114">
        <f t="shared" si="1"/>
        <v>44464.156249999993</v>
      </c>
      <c r="F29" s="167" t="s">
        <v>575</v>
      </c>
      <c r="G29" s="167"/>
      <c r="H29" s="459"/>
      <c r="I29" s="459"/>
      <c r="J29" s="459"/>
      <c r="K29" s="459"/>
    </row>
    <row r="30" spans="1:13" x14ac:dyDescent="0.25">
      <c r="B30" s="112" t="s">
        <v>534</v>
      </c>
      <c r="C30" s="36">
        <f>SUM(C11:C29)</f>
        <v>4.8020833333333339</v>
      </c>
      <c r="D30" s="32">
        <f>SUM(D11:D26)</f>
        <v>0.5625</v>
      </c>
      <c r="G30" s="26"/>
      <c r="H30" s="460">
        <f>SUM(H11:H29)</f>
        <v>1156.5631929046563</v>
      </c>
      <c r="I30" s="460">
        <f>SUM(I11:I29)</f>
        <v>147.07602339181284</v>
      </c>
      <c r="J30" s="460">
        <f>SUM(J11:J29)</f>
        <v>877.33199598796386</v>
      </c>
      <c r="K30" s="460">
        <f>SUM(K11:K29)</f>
        <v>1303.6392162964692</v>
      </c>
    </row>
    <row r="31" spans="1:13" x14ac:dyDescent="0.25">
      <c r="B31" s="31" t="s">
        <v>536</v>
      </c>
      <c r="C31" s="36">
        <f>C30/24</f>
        <v>0.20008680555555558</v>
      </c>
      <c r="D31" s="112">
        <f>D30/24</f>
        <v>2.34375E-2</v>
      </c>
      <c r="G31" s="26"/>
    </row>
    <row r="32" spans="1:13" ht="21" x14ac:dyDescent="0.55000000000000004">
      <c r="A32" s="34"/>
      <c r="D32" s="113"/>
      <c r="G32" s="26"/>
    </row>
    <row r="33" spans="7:7" x14ac:dyDescent="0.25">
      <c r="G33" s="26"/>
    </row>
    <row r="34" spans="7:7" x14ac:dyDescent="0.25">
      <c r="G34" s="26"/>
    </row>
    <row r="35" spans="7:7" x14ac:dyDescent="0.25">
      <c r="G35" s="26"/>
    </row>
    <row r="36" spans="7:7" x14ac:dyDescent="0.25">
      <c r="G36" s="26"/>
    </row>
    <row r="37" spans="7:7" x14ac:dyDescent="0.25">
      <c r="G37" s="26"/>
    </row>
    <row r="38" spans="7:7" x14ac:dyDescent="0.25">
      <c r="G38" s="26"/>
    </row>
    <row r="39" spans="7:7" x14ac:dyDescent="0.25">
      <c r="G39" s="26"/>
    </row>
    <row r="40" spans="7:7" x14ac:dyDescent="0.25">
      <c r="G40" s="26"/>
    </row>
    <row r="41" spans="7:7" x14ac:dyDescent="0.25">
      <c r="G41" s="26"/>
    </row>
    <row r="42" spans="7:7" x14ac:dyDescent="0.25">
      <c r="G42" s="26"/>
    </row>
    <row r="43" spans="7:7" x14ac:dyDescent="0.25">
      <c r="G43" s="26"/>
    </row>
    <row r="44" spans="7:7" x14ac:dyDescent="0.25">
      <c r="G44" s="26"/>
    </row>
    <row r="45" spans="7:7" x14ac:dyDescent="0.25">
      <c r="G45" s="26"/>
    </row>
    <row r="46" spans="7:7" x14ac:dyDescent="0.25">
      <c r="G46" s="26"/>
    </row>
    <row r="47" spans="7:7" x14ac:dyDescent="0.25">
      <c r="G47" s="26"/>
    </row>
    <row r="48" spans="7:7" x14ac:dyDescent="0.25">
      <c r="G48" s="26"/>
    </row>
    <row r="49" spans="6:11" x14ac:dyDescent="0.25">
      <c r="G49" s="26"/>
    </row>
    <row r="50" spans="6:11" x14ac:dyDescent="0.25">
      <c r="G50" s="26"/>
    </row>
    <row r="51" spans="6:11" x14ac:dyDescent="0.25">
      <c r="G51" s="26"/>
    </row>
    <row r="52" spans="6:11" x14ac:dyDescent="0.25">
      <c r="G52" s="26"/>
    </row>
    <row r="53" spans="6:11" x14ac:dyDescent="0.25">
      <c r="G53" s="26"/>
    </row>
    <row r="54" spans="6:11" x14ac:dyDescent="0.25">
      <c r="F54" s="26"/>
      <c r="H54" s="26"/>
      <c r="I54" s="26"/>
      <c r="J54" s="26"/>
      <c r="K54" s="26"/>
    </row>
    <row r="55" spans="6:11" x14ac:dyDescent="0.25">
      <c r="F55" s="26"/>
      <c r="H55" s="26"/>
      <c r="I55" s="26"/>
      <c r="J55" s="26"/>
      <c r="K55" s="26"/>
    </row>
  </sheetData>
  <mergeCells count="11">
    <mergeCell ref="L21:M21"/>
    <mergeCell ref="L22:M22"/>
    <mergeCell ref="H23:H24"/>
    <mergeCell ref="I23:I24"/>
    <mergeCell ref="K23:K24"/>
    <mergeCell ref="L15:M15"/>
    <mergeCell ref="A1:B1"/>
    <mergeCell ref="A5:D5"/>
    <mergeCell ref="L11:M11"/>
    <mergeCell ref="L12:M12"/>
    <mergeCell ref="L14:M14"/>
  </mergeCells>
  <pageMargins left="0.75" right="0.75" top="1" bottom="1" header="0.5" footer="0.5"/>
  <pageSetup orientation="portrait" r:id="rId1"/>
  <headerFooter alignWithMargins="0">
    <oddFooter>&amp;R&amp;"Arial,Regular"&amp;08&amp;K7F7F7FAmgen Proprietary - Confidential   &amp;C&amp;"Arial,Regular"&amp;08&amp;K7F7F7FAmgen Proprietary - For Internal Use Only</oddFooter>
    <evenFooter>&amp;R&amp;"Arial,Regular"&amp;08&amp;K7F7F7FAmgen Proprietary - Confidential   &amp;C&amp;"Arial,Regular"&amp;08&amp;K7F7F7FAmgen Proprietary - For Internal Use Only</evenFooter>
    <firstFooter>&amp;R&amp;"Arial,Regular"&amp;08&amp;K7F7F7FAmgen Proprietary - Confidential   &amp;C&amp;"Arial,Regular"&amp;08&amp;K7F7F7FAmgen Proprietary - For Internal Use Only</firstFooter>
  </headerFooter>
  <legacyDrawing r:id="rId2"/>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DF2522-00E9-4B68-BC01-6D056CBF4CD2}">
  <sheetPr codeName="Sheet100">
    <pageSetUpPr autoPageBreaks="0"/>
  </sheetPr>
  <dimension ref="A1:M55"/>
  <sheetViews>
    <sheetView zoomScale="130" zoomScaleNormal="130" workbookViewId="0">
      <selection activeCell="A6" sqref="A6:B7"/>
    </sheetView>
  </sheetViews>
  <sheetFormatPr defaultColWidth="9.453125" defaultRowHeight="11.5" x14ac:dyDescent="0.25"/>
  <cols>
    <col min="1" max="1" width="28.453125" style="25" customWidth="1"/>
    <col min="2" max="2" width="25.54296875" style="25" customWidth="1"/>
    <col min="3" max="3" width="23.453125" style="25" customWidth="1"/>
    <col min="4" max="4" width="20.54296875" style="25" customWidth="1"/>
    <col min="5" max="5" width="21.54296875" style="25" customWidth="1"/>
    <col min="6" max="6" width="50.54296875" style="25" customWidth="1"/>
    <col min="7" max="7" width="43.453125" style="25" bestFit="1" customWidth="1"/>
    <col min="8" max="11" width="14.453125" style="25" customWidth="1"/>
    <col min="12" max="16384" width="9.453125" style="25"/>
  </cols>
  <sheetData>
    <row r="1" spans="1:13" ht="12" thickBot="1" x14ac:dyDescent="0.3">
      <c r="A1" s="1053" t="s">
        <v>479</v>
      </c>
      <c r="B1" s="1054"/>
    </row>
    <row r="2" spans="1:13" ht="12" thickBot="1" x14ac:dyDescent="0.3">
      <c r="A2" s="772" t="s">
        <v>480</v>
      </c>
      <c r="B2" s="115">
        <f>A11</f>
        <v>44466.395833333336</v>
      </c>
    </row>
    <row r="3" spans="1:13" x14ac:dyDescent="0.25">
      <c r="A3" s="772" t="s">
        <v>482</v>
      </c>
      <c r="B3" s="454">
        <f>A11</f>
        <v>44466.395833333336</v>
      </c>
    </row>
    <row r="5" spans="1:13" x14ac:dyDescent="0.25">
      <c r="A5" s="1049" t="s">
        <v>484</v>
      </c>
      <c r="B5" s="1050"/>
      <c r="C5" s="1050"/>
      <c r="D5" s="1051"/>
    </row>
    <row r="6" spans="1:13" x14ac:dyDescent="0.25">
      <c r="A6" s="781" t="s">
        <v>485</v>
      </c>
      <c r="B6" s="781" t="s">
        <v>486</v>
      </c>
      <c r="C6" s="781" t="s">
        <v>487</v>
      </c>
      <c r="D6" s="781" t="s">
        <v>488</v>
      </c>
    </row>
    <row r="7" spans="1:13" x14ac:dyDescent="0.25">
      <c r="A7" s="41" t="str">
        <f>F16</f>
        <v>IPC: Reaction Conversion</v>
      </c>
      <c r="B7" s="455">
        <f>INDEX($A$11:$A$62,MATCH(A7,$F$11:$F$59,0))</f>
        <v>44467.375</v>
      </c>
      <c r="C7" s="37">
        <f>INDEX($A$11:$A$62,MATCH(A7,$F$11:$F$59,0))</f>
        <v>44467.375</v>
      </c>
      <c r="D7" s="475"/>
    </row>
    <row r="8" spans="1:13" x14ac:dyDescent="0.25">
      <c r="A8" s="35" t="s">
        <v>2445</v>
      </c>
      <c r="B8" s="455">
        <f>INDEX($A$11:$A$62,MATCH(A8,$F$11:$F$59,0))</f>
        <v>44470.71875</v>
      </c>
      <c r="C8" s="37">
        <f>INDEX($A$11:$A$62,MATCH(A8,$F$11:$F$59,0))</f>
        <v>44470.71875</v>
      </c>
      <c r="D8" s="110"/>
    </row>
    <row r="9" spans="1:13" x14ac:dyDescent="0.25">
      <c r="B9" s="453"/>
    </row>
    <row r="10" spans="1:13" ht="23" x14ac:dyDescent="0.25">
      <c r="A10" s="749" t="s">
        <v>492</v>
      </c>
      <c r="B10" s="749" t="s">
        <v>493</v>
      </c>
      <c r="C10" s="749" t="s">
        <v>494</v>
      </c>
      <c r="D10" s="86" t="s">
        <v>495</v>
      </c>
      <c r="E10" s="749" t="s">
        <v>560</v>
      </c>
      <c r="F10" s="749" t="s">
        <v>541</v>
      </c>
      <c r="G10" s="749" t="s">
        <v>498</v>
      </c>
      <c r="H10" s="749" t="s">
        <v>561</v>
      </c>
      <c r="I10" s="749" t="s">
        <v>126</v>
      </c>
      <c r="J10" s="749" t="s">
        <v>92</v>
      </c>
      <c r="K10" s="749" t="s">
        <v>501</v>
      </c>
    </row>
    <row r="11" spans="1:13" x14ac:dyDescent="0.25">
      <c r="A11" s="31">
        <v>44466.395833333336</v>
      </c>
      <c r="B11" s="38">
        <f>A11</f>
        <v>44466.395833333336</v>
      </c>
      <c r="C11" s="36">
        <v>6.25E-2</v>
      </c>
      <c r="D11" s="327" t="str">
        <f t="shared" ref="D11:D29" si="0">IF(_xlfn.ISFORMULA(E11)=TRUE,"",E11-B11)</f>
        <v/>
      </c>
      <c r="E11" s="114">
        <f t="shared" ref="E11:E29" si="1">B11+C11</f>
        <v>44466.458333333336</v>
      </c>
      <c r="F11" s="35" t="s">
        <v>562</v>
      </c>
      <c r="G11" s="35"/>
      <c r="H11" s="684"/>
      <c r="I11" s="684"/>
      <c r="J11" s="684"/>
      <c r="K11" s="684"/>
      <c r="L11" s="1057"/>
      <c r="M11" s="1056"/>
    </row>
    <row r="12" spans="1:13" ht="12.75" customHeight="1" x14ac:dyDescent="0.25">
      <c r="A12" s="31">
        <f t="shared" ref="A12:A29" si="2">IF(D11 = "",A11+C11,A11+D11)</f>
        <v>44466.458333333336</v>
      </c>
      <c r="B12" s="685">
        <f>IF(D11 = "",B11+C11,B11+D11)</f>
        <v>44466.458333333336</v>
      </c>
      <c r="C12" s="36">
        <v>0.375</v>
      </c>
      <c r="D12" s="327"/>
      <c r="E12" s="114">
        <f t="shared" si="1"/>
        <v>44466.833333333336</v>
      </c>
      <c r="F12" s="35" t="s">
        <v>563</v>
      </c>
      <c r="G12" s="35"/>
      <c r="H12" s="684"/>
      <c r="I12" s="684"/>
      <c r="J12" s="684"/>
      <c r="K12" s="684"/>
      <c r="L12" s="1055"/>
      <c r="M12" s="1056"/>
    </row>
    <row r="13" spans="1:13" ht="12" customHeight="1" x14ac:dyDescent="0.25">
      <c r="A13" s="31">
        <f t="shared" si="2"/>
        <v>44466.833333333336</v>
      </c>
      <c r="B13" s="37">
        <f t="shared" ref="B13:B29" si="3">IF(D12 = "",B12+C12,B12+D12)</f>
        <v>44466.833333333336</v>
      </c>
      <c r="C13" s="36">
        <v>0.22916666666666666</v>
      </c>
      <c r="D13" s="327"/>
      <c r="E13" s="114">
        <f t="shared" si="1"/>
        <v>44467.0625</v>
      </c>
      <c r="F13" s="35" t="s">
        <v>564</v>
      </c>
      <c r="G13" s="39"/>
      <c r="H13" s="684"/>
      <c r="I13" s="684"/>
      <c r="J13" s="684">
        <f>(199.6 + 36 + 81 + 81 + 81) / 0.997</f>
        <v>480.04012036108327</v>
      </c>
      <c r="K13" s="684"/>
    </row>
    <row r="14" spans="1:13" ht="12" customHeight="1" x14ac:dyDescent="0.25">
      <c r="A14" s="31">
        <f t="shared" si="2"/>
        <v>44467.0625</v>
      </c>
      <c r="B14" s="37">
        <f t="shared" si="3"/>
        <v>44467.0625</v>
      </c>
      <c r="C14" s="36">
        <v>0.10416666666666667</v>
      </c>
      <c r="D14" s="327"/>
      <c r="E14" s="114">
        <f t="shared" si="1"/>
        <v>44467.166666666664</v>
      </c>
      <c r="F14" s="35" t="s">
        <v>565</v>
      </c>
      <c r="G14" s="39"/>
      <c r="H14" s="684"/>
      <c r="I14" s="684"/>
      <c r="J14" s="684"/>
      <c r="K14" s="684"/>
      <c r="L14" s="1057"/>
      <c r="M14" s="1056"/>
    </row>
    <row r="15" spans="1:13" ht="12.75" customHeight="1" x14ac:dyDescent="0.25">
      <c r="A15" s="31">
        <f t="shared" si="2"/>
        <v>44467.166666666664</v>
      </c>
      <c r="B15" s="37">
        <f t="shared" si="3"/>
        <v>44467.166666666664</v>
      </c>
      <c r="C15" s="36">
        <v>0.20833333333333334</v>
      </c>
      <c r="D15" s="327"/>
      <c r="E15" s="114">
        <f t="shared" si="1"/>
        <v>44467.375</v>
      </c>
      <c r="F15" s="35" t="s">
        <v>566</v>
      </c>
      <c r="G15" s="35"/>
      <c r="H15" s="684"/>
      <c r="I15" s="684"/>
      <c r="J15" s="684"/>
      <c r="K15" s="684"/>
      <c r="L15" s="1055"/>
      <c r="M15" s="1056"/>
    </row>
    <row r="16" spans="1:13" ht="13.4" customHeight="1" x14ac:dyDescent="0.25">
      <c r="A16" s="31">
        <f t="shared" si="2"/>
        <v>44467.375</v>
      </c>
      <c r="B16" s="37">
        <f t="shared" si="3"/>
        <v>44467.375</v>
      </c>
      <c r="C16" s="111">
        <v>0.14583333333333334</v>
      </c>
      <c r="D16" s="327"/>
      <c r="E16" s="114">
        <f t="shared" si="1"/>
        <v>44467.520833333336</v>
      </c>
      <c r="F16" s="39" t="s">
        <v>567</v>
      </c>
      <c r="G16" s="35" t="s">
        <v>568</v>
      </c>
      <c r="H16" s="458"/>
      <c r="I16" s="458"/>
      <c r="J16" s="458"/>
      <c r="K16" s="458"/>
    </row>
    <row r="17" spans="1:13" x14ac:dyDescent="0.25">
      <c r="A17" s="31">
        <f t="shared" si="2"/>
        <v>44467.520833333336</v>
      </c>
      <c r="B17" s="37">
        <f t="shared" si="3"/>
        <v>44467.520833333336</v>
      </c>
      <c r="C17" s="111">
        <v>0.375</v>
      </c>
      <c r="D17" s="327"/>
      <c r="E17" s="114">
        <f t="shared" si="1"/>
        <v>44467.895833333336</v>
      </c>
      <c r="F17" s="35" t="s">
        <v>569</v>
      </c>
      <c r="G17" s="35"/>
      <c r="H17" s="684"/>
      <c r="I17" s="684"/>
      <c r="J17" s="684"/>
      <c r="K17" s="684"/>
    </row>
    <row r="18" spans="1:13" x14ac:dyDescent="0.25">
      <c r="A18" s="31">
        <f t="shared" si="2"/>
        <v>44467.895833333336</v>
      </c>
      <c r="B18" s="37">
        <f t="shared" si="3"/>
        <v>44467.895833333336</v>
      </c>
      <c r="C18" s="111">
        <v>0.5</v>
      </c>
      <c r="D18" s="327" t="str">
        <f t="shared" si="0"/>
        <v/>
      </c>
      <c r="E18" s="114">
        <f t="shared" si="1"/>
        <v>44468.395833333336</v>
      </c>
      <c r="F18" s="35" t="s">
        <v>570</v>
      </c>
      <c r="G18" s="35"/>
      <c r="H18" s="684"/>
      <c r="I18" s="684"/>
      <c r="J18" s="684">
        <f>(69.5 + 36 + 48 + 62.6 + 36 + 48 + 48 + 48)/0.997</f>
        <v>397.29187562688065</v>
      </c>
      <c r="K18" s="684"/>
    </row>
    <row r="19" spans="1:13" x14ac:dyDescent="0.25">
      <c r="A19" s="31">
        <f t="shared" si="2"/>
        <v>44468.395833333336</v>
      </c>
      <c r="B19" s="37">
        <f t="shared" si="3"/>
        <v>44468.395833333336</v>
      </c>
      <c r="C19" s="111">
        <v>4.1666666666666664E-2</v>
      </c>
      <c r="D19" s="327"/>
      <c r="E19" s="114">
        <f t="shared" si="1"/>
        <v>44468.4375</v>
      </c>
      <c r="F19" s="35" t="s">
        <v>2446</v>
      </c>
      <c r="G19" s="35"/>
      <c r="H19" s="684">
        <f>40+120</f>
        <v>160</v>
      </c>
      <c r="I19" s="684"/>
      <c r="J19" s="684"/>
      <c r="K19" s="684">
        <f>H19</f>
        <v>160</v>
      </c>
    </row>
    <row r="20" spans="1:13" ht="13.5" customHeight="1" x14ac:dyDescent="0.25">
      <c r="A20" s="31">
        <f t="shared" si="2"/>
        <v>44468.4375</v>
      </c>
      <c r="B20" s="37">
        <f t="shared" si="3"/>
        <v>44468.4375</v>
      </c>
      <c r="C20" s="111">
        <v>0.52083333333333337</v>
      </c>
      <c r="D20" s="327" t="str">
        <f t="shared" si="0"/>
        <v/>
      </c>
      <c r="E20" s="114">
        <f t="shared" si="1"/>
        <v>44468.958333333336</v>
      </c>
      <c r="F20" s="35" t="s">
        <v>571</v>
      </c>
      <c r="G20" s="35"/>
      <c r="H20" s="684"/>
      <c r="I20" s="684"/>
      <c r="J20" s="684"/>
      <c r="K20" s="684"/>
    </row>
    <row r="21" spans="1:13" ht="12" customHeight="1" x14ac:dyDescent="0.25">
      <c r="A21" s="31">
        <f t="shared" si="2"/>
        <v>44468.958333333336</v>
      </c>
      <c r="B21" s="37">
        <f t="shared" si="3"/>
        <v>44468.958333333336</v>
      </c>
      <c r="C21" s="36">
        <v>0.57291666666666663</v>
      </c>
      <c r="D21" s="327" t="str">
        <f t="shared" si="0"/>
        <v/>
      </c>
      <c r="E21" s="114">
        <f t="shared" si="1"/>
        <v>44469.53125</v>
      </c>
      <c r="F21" s="35" t="s">
        <v>548</v>
      </c>
      <c r="G21" s="39"/>
      <c r="H21" s="684"/>
      <c r="I21" s="684"/>
      <c r="J21" s="684"/>
      <c r="K21" s="684"/>
      <c r="L21" s="1058"/>
      <c r="M21" s="1059"/>
    </row>
    <row r="22" spans="1:13" ht="12.75" customHeight="1" x14ac:dyDescent="0.25">
      <c r="A22" s="31">
        <f t="shared" si="2"/>
        <v>44469.53125</v>
      </c>
      <c r="B22" s="37">
        <f t="shared" si="3"/>
        <v>44469.53125</v>
      </c>
      <c r="C22" s="36">
        <v>0.125</v>
      </c>
      <c r="D22" s="327" t="str">
        <f t="shared" si="0"/>
        <v/>
      </c>
      <c r="E22" s="114">
        <f t="shared" si="1"/>
        <v>44469.65625</v>
      </c>
      <c r="F22" s="35" t="s">
        <v>549</v>
      </c>
      <c r="G22" s="35"/>
      <c r="H22" s="684">
        <f>(252.2 + 36 + 78.4 + 174.3 + 70.4 + 70.4 + 70.4 + 66 + 54.7)/0.902</f>
        <v>967.62749445676275</v>
      </c>
      <c r="I22" s="684">
        <f>54.7/0.684</f>
        <v>79.970760233918128</v>
      </c>
      <c r="J22" s="684"/>
      <c r="K22" s="684">
        <f>SUM(H22:I22)</f>
        <v>1047.598254690681</v>
      </c>
      <c r="L22" s="1060"/>
      <c r="M22" s="1059"/>
    </row>
    <row r="23" spans="1:13" ht="12.75" customHeight="1" x14ac:dyDescent="0.25">
      <c r="A23" s="31">
        <f t="shared" si="2"/>
        <v>44469.65625</v>
      </c>
      <c r="B23" s="37">
        <f t="shared" si="3"/>
        <v>44469.65625</v>
      </c>
      <c r="C23" s="36">
        <v>0.4375</v>
      </c>
      <c r="D23" s="327" t="str">
        <f t="shared" si="0"/>
        <v/>
      </c>
      <c r="E23" s="114">
        <f t="shared" si="1"/>
        <v>44470.09375</v>
      </c>
      <c r="F23" s="35" t="s">
        <v>572</v>
      </c>
      <c r="G23" s="35"/>
      <c r="H23" s="1061">
        <f>26.1/0.902</f>
        <v>28.935698447893571</v>
      </c>
      <c r="I23" s="1063">
        <f>(13.1 + 32.8)/0.684</f>
        <v>67.105263157894726</v>
      </c>
      <c r="J23" s="684"/>
      <c r="K23" s="1061">
        <f t="shared" ref="K23" si="4">SUM(H23:I23)</f>
        <v>96.040961605788297</v>
      </c>
    </row>
    <row r="24" spans="1:13" ht="12.75" customHeight="1" x14ac:dyDescent="0.25">
      <c r="A24" s="31">
        <f t="shared" si="2"/>
        <v>44470.09375</v>
      </c>
      <c r="B24" s="37">
        <f t="shared" si="3"/>
        <v>44470.09375</v>
      </c>
      <c r="C24" s="36">
        <v>0.625</v>
      </c>
      <c r="D24" s="327" t="str">
        <f t="shared" si="0"/>
        <v/>
      </c>
      <c r="E24" s="114">
        <f t="shared" si="1"/>
        <v>44470.71875</v>
      </c>
      <c r="F24" s="35" t="s">
        <v>551</v>
      </c>
      <c r="G24" s="35"/>
      <c r="H24" s="1062"/>
      <c r="I24" s="1063"/>
      <c r="J24" s="684"/>
      <c r="K24" s="1062"/>
    </row>
    <row r="25" spans="1:13" ht="12.75" customHeight="1" x14ac:dyDescent="0.25">
      <c r="A25" s="31">
        <f t="shared" si="2"/>
        <v>44470.71875</v>
      </c>
      <c r="B25" s="37">
        <f t="shared" si="3"/>
        <v>44470.71875</v>
      </c>
      <c r="C25" s="36">
        <v>6.25E-2</v>
      </c>
      <c r="D25" s="327" t="str">
        <f t="shared" si="0"/>
        <v/>
      </c>
      <c r="E25" s="114">
        <f t="shared" si="1"/>
        <v>44470.78125</v>
      </c>
      <c r="F25" s="35" t="s">
        <v>2445</v>
      </c>
      <c r="G25" s="35"/>
      <c r="H25" s="684"/>
      <c r="I25" s="684"/>
      <c r="J25" s="684"/>
      <c r="K25" s="684"/>
    </row>
    <row r="26" spans="1:13" ht="12.75" customHeight="1" x14ac:dyDescent="0.25">
      <c r="A26" s="31">
        <f t="shared" si="2"/>
        <v>44470.78125</v>
      </c>
      <c r="B26" s="37">
        <f t="shared" si="3"/>
        <v>44470.78125</v>
      </c>
      <c r="C26" s="36">
        <v>0.16666666666666666</v>
      </c>
      <c r="D26" s="327" t="str">
        <f t="shared" si="0"/>
        <v/>
      </c>
      <c r="E26" s="114">
        <f t="shared" si="1"/>
        <v>44470.947916666664</v>
      </c>
      <c r="F26" s="35" t="s">
        <v>2447</v>
      </c>
      <c r="G26" s="35"/>
      <c r="H26" s="684"/>
      <c r="I26" s="684"/>
      <c r="J26" s="684"/>
      <c r="K26" s="684"/>
    </row>
    <row r="27" spans="1:13" ht="12.75" customHeight="1" x14ac:dyDescent="0.25">
      <c r="A27" s="31">
        <f t="shared" si="2"/>
        <v>44470.947916666664</v>
      </c>
      <c r="B27" s="37">
        <f t="shared" si="3"/>
        <v>44470.947916666664</v>
      </c>
      <c r="C27" s="36">
        <v>1.0416666666666666E-2</v>
      </c>
      <c r="D27" s="327" t="str">
        <f t="shared" si="0"/>
        <v/>
      </c>
      <c r="E27" s="114">
        <f t="shared" si="1"/>
        <v>44470.958333333328</v>
      </c>
      <c r="F27" s="167" t="s">
        <v>573</v>
      </c>
      <c r="G27" s="167"/>
      <c r="H27" s="459"/>
      <c r="I27" s="459"/>
      <c r="J27" s="459"/>
      <c r="K27" s="459">
        <f>SUM(H27:I27)</f>
        <v>0</v>
      </c>
    </row>
    <row r="28" spans="1:13" ht="12.75" customHeight="1" x14ac:dyDescent="0.25">
      <c r="A28" s="31">
        <f t="shared" si="2"/>
        <v>44470.958333333328</v>
      </c>
      <c r="B28" s="37">
        <f t="shared" si="3"/>
        <v>44470.958333333328</v>
      </c>
      <c r="C28" s="36">
        <v>0.22916666666666666</v>
      </c>
      <c r="D28" s="327" t="str">
        <f t="shared" si="0"/>
        <v/>
      </c>
      <c r="E28" s="114">
        <f t="shared" si="1"/>
        <v>44471.187499999993</v>
      </c>
      <c r="F28" s="167" t="s">
        <v>574</v>
      </c>
      <c r="G28" s="167"/>
      <c r="H28" s="459"/>
      <c r="I28" s="459"/>
      <c r="J28" s="459"/>
      <c r="K28" s="459">
        <f>SUM(H28:I28)</f>
        <v>0</v>
      </c>
    </row>
    <row r="29" spans="1:13" ht="12.75" customHeight="1" x14ac:dyDescent="0.25">
      <c r="A29" s="31">
        <f t="shared" si="2"/>
        <v>44471.187499999993</v>
      </c>
      <c r="B29" s="37">
        <f t="shared" si="3"/>
        <v>44471.187499999993</v>
      </c>
      <c r="C29" s="36">
        <v>1.0416666666666666E-2</v>
      </c>
      <c r="D29" s="327" t="str">
        <f t="shared" si="0"/>
        <v/>
      </c>
      <c r="E29" s="114">
        <f t="shared" si="1"/>
        <v>44471.197916666657</v>
      </c>
      <c r="F29" s="167" t="s">
        <v>575</v>
      </c>
      <c r="G29" s="167"/>
      <c r="H29" s="459"/>
      <c r="I29" s="459"/>
      <c r="J29" s="459"/>
      <c r="K29" s="459"/>
    </row>
    <row r="30" spans="1:13" x14ac:dyDescent="0.25">
      <c r="B30" s="112" t="s">
        <v>534</v>
      </c>
      <c r="C30" s="36">
        <f>SUM(C11:C29)</f>
        <v>4.8020833333333339</v>
      </c>
      <c r="D30" s="32">
        <f>SUM(D11:D26)</f>
        <v>0</v>
      </c>
      <c r="G30" s="26"/>
      <c r="H30" s="460">
        <f>SUM(H11:H29)</f>
        <v>1156.5631929046563</v>
      </c>
      <c r="I30" s="460">
        <f>SUM(I11:I29)</f>
        <v>147.07602339181284</v>
      </c>
      <c r="J30" s="460">
        <f>SUM(J11:J29)</f>
        <v>877.33199598796386</v>
      </c>
      <c r="K30" s="460">
        <f>SUM(K11:K29)</f>
        <v>1303.6392162964692</v>
      </c>
    </row>
    <row r="31" spans="1:13" x14ac:dyDescent="0.25">
      <c r="B31" s="31" t="s">
        <v>536</v>
      </c>
      <c r="C31" s="36">
        <f>C30/24</f>
        <v>0.20008680555555558</v>
      </c>
      <c r="D31" s="112">
        <f>D30/24</f>
        <v>0</v>
      </c>
      <c r="G31" s="26"/>
    </row>
    <row r="32" spans="1:13" ht="21" x14ac:dyDescent="0.55000000000000004">
      <c r="A32" s="34"/>
      <c r="D32" s="113"/>
      <c r="G32" s="26"/>
    </row>
    <row r="33" spans="7:7" x14ac:dyDescent="0.25">
      <c r="G33" s="26"/>
    </row>
    <row r="34" spans="7:7" x14ac:dyDescent="0.25">
      <c r="G34" s="26"/>
    </row>
    <row r="35" spans="7:7" x14ac:dyDescent="0.25">
      <c r="G35" s="26"/>
    </row>
    <row r="36" spans="7:7" x14ac:dyDescent="0.25">
      <c r="G36" s="26"/>
    </row>
    <row r="37" spans="7:7" x14ac:dyDescent="0.25">
      <c r="G37" s="26"/>
    </row>
    <row r="38" spans="7:7" x14ac:dyDescent="0.25">
      <c r="G38" s="26"/>
    </row>
    <row r="39" spans="7:7" x14ac:dyDescent="0.25">
      <c r="G39" s="26"/>
    </row>
    <row r="40" spans="7:7" x14ac:dyDescent="0.25">
      <c r="G40" s="26"/>
    </row>
    <row r="41" spans="7:7" x14ac:dyDescent="0.25">
      <c r="G41" s="26"/>
    </row>
    <row r="42" spans="7:7" x14ac:dyDescent="0.25">
      <c r="G42" s="26"/>
    </row>
    <row r="43" spans="7:7" x14ac:dyDescent="0.25">
      <c r="G43" s="26"/>
    </row>
    <row r="44" spans="7:7" x14ac:dyDescent="0.25">
      <c r="G44" s="26"/>
    </row>
    <row r="45" spans="7:7" x14ac:dyDescent="0.25">
      <c r="G45" s="26"/>
    </row>
    <row r="46" spans="7:7" x14ac:dyDescent="0.25">
      <c r="G46" s="26"/>
    </row>
    <row r="47" spans="7:7" x14ac:dyDescent="0.25">
      <c r="G47" s="26"/>
    </row>
    <row r="48" spans="7:7" x14ac:dyDescent="0.25">
      <c r="G48" s="26"/>
    </row>
    <row r="49" spans="6:11" x14ac:dyDescent="0.25">
      <c r="G49" s="26"/>
    </row>
    <row r="50" spans="6:11" x14ac:dyDescent="0.25">
      <c r="G50" s="26"/>
    </row>
    <row r="51" spans="6:11" x14ac:dyDescent="0.25">
      <c r="G51" s="26"/>
    </row>
    <row r="52" spans="6:11" x14ac:dyDescent="0.25">
      <c r="G52" s="26"/>
    </row>
    <row r="53" spans="6:11" x14ac:dyDescent="0.25">
      <c r="G53" s="26"/>
    </row>
    <row r="54" spans="6:11" x14ac:dyDescent="0.25">
      <c r="F54" s="26"/>
      <c r="H54" s="26"/>
      <c r="I54" s="26"/>
      <c r="J54" s="26"/>
      <c r="K54" s="26"/>
    </row>
    <row r="55" spans="6:11" x14ac:dyDescent="0.25">
      <c r="F55" s="26"/>
      <c r="H55" s="26"/>
      <c r="I55" s="26"/>
      <c r="J55" s="26"/>
      <c r="K55" s="26"/>
    </row>
  </sheetData>
  <mergeCells count="11">
    <mergeCell ref="L15:M15"/>
    <mergeCell ref="A1:B1"/>
    <mergeCell ref="A5:D5"/>
    <mergeCell ref="L11:M11"/>
    <mergeCell ref="L12:M12"/>
    <mergeCell ref="L14:M14"/>
    <mergeCell ref="L21:M21"/>
    <mergeCell ref="L22:M22"/>
    <mergeCell ref="H23:H24"/>
    <mergeCell ref="I23:I24"/>
    <mergeCell ref="K23:K24"/>
  </mergeCells>
  <pageMargins left="0.75" right="0.75" top="1" bottom="1" header="0.5" footer="0.5"/>
  <pageSetup orientation="portrait" r:id="rId1"/>
  <headerFooter alignWithMargins="0">
    <oddFooter>&amp;R&amp;"Arial,Regular"&amp;08&amp;K7F7F7FAmgen Proprietary - Confidential   &amp;C&amp;"Arial,Regular"&amp;08&amp;K7F7F7FAmgen Proprietary - For Internal Use Only</oddFooter>
    <evenFooter>&amp;R&amp;"Arial,Regular"&amp;08&amp;K7F7F7FAmgen Proprietary - Confidential   &amp;C&amp;"Arial,Regular"&amp;08&amp;K7F7F7FAmgen Proprietary - For Internal Use Only</evenFooter>
    <firstFooter>&amp;R&amp;"Arial,Regular"&amp;08&amp;K7F7F7FAmgen Proprietary - Confidential   &amp;C&amp;"Arial,Regular"&amp;08&amp;K7F7F7FAmgen Proprietary - For Internal Use Only</firstFooter>
  </headerFooter>
  <legacyDrawing r:id="rId2"/>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A1FC8F-D4F4-4657-A616-2BA56BA35BCB}">
  <sheetPr codeName="Sheet101">
    <pageSetUpPr autoPageBreaks="0"/>
  </sheetPr>
  <dimension ref="A1:M55"/>
  <sheetViews>
    <sheetView topLeftCell="A9" zoomScale="130" zoomScaleNormal="130" workbookViewId="0">
      <selection activeCell="E30" sqref="E30"/>
    </sheetView>
  </sheetViews>
  <sheetFormatPr defaultColWidth="9.453125" defaultRowHeight="11.5" x14ac:dyDescent="0.25"/>
  <cols>
    <col min="1" max="1" width="28.453125" style="25" customWidth="1"/>
    <col min="2" max="2" width="25.54296875" style="25" customWidth="1"/>
    <col min="3" max="3" width="23.453125" style="25" customWidth="1"/>
    <col min="4" max="4" width="20.54296875" style="25" hidden="1" customWidth="1"/>
    <col min="5" max="5" width="21.54296875" style="25" customWidth="1"/>
    <col min="6" max="6" width="50.54296875" style="25" customWidth="1"/>
    <col min="7" max="7" width="43.453125" style="25" bestFit="1" customWidth="1"/>
    <col min="8" max="11" width="14.453125" style="25" customWidth="1"/>
    <col min="12" max="16384" width="9.453125" style="25"/>
  </cols>
  <sheetData>
    <row r="1" spans="1:13" ht="12" thickBot="1" x14ac:dyDescent="0.3">
      <c r="A1" s="1053" t="s">
        <v>479</v>
      </c>
      <c r="B1" s="1054"/>
    </row>
    <row r="2" spans="1:13" ht="12" thickBot="1" x14ac:dyDescent="0.3">
      <c r="A2" s="772" t="s">
        <v>480</v>
      </c>
      <c r="B2" s="115">
        <f>A11</f>
        <v>44473.395833333336</v>
      </c>
    </row>
    <row r="3" spans="1:13" x14ac:dyDescent="0.25">
      <c r="A3" s="772" t="s">
        <v>482</v>
      </c>
      <c r="B3" s="454">
        <f>A11</f>
        <v>44473.395833333336</v>
      </c>
    </row>
    <row r="5" spans="1:13" x14ac:dyDescent="0.25">
      <c r="A5" s="1049" t="s">
        <v>484</v>
      </c>
      <c r="B5" s="1050"/>
      <c r="C5" s="1050"/>
      <c r="D5" s="1051"/>
    </row>
    <row r="6" spans="1:13" x14ac:dyDescent="0.25">
      <c r="A6" s="781" t="s">
        <v>485</v>
      </c>
      <c r="B6" s="781" t="s">
        <v>486</v>
      </c>
      <c r="C6" s="781" t="s">
        <v>487</v>
      </c>
      <c r="D6" s="781" t="s">
        <v>488</v>
      </c>
    </row>
    <row r="7" spans="1:13" x14ac:dyDescent="0.25">
      <c r="A7" s="41" t="str">
        <f>F16</f>
        <v>IPC: Reaction Conversion</v>
      </c>
      <c r="B7" s="455">
        <f>INDEX($A$11:$A$62,MATCH(A7,$F$11:$F$59,0))</f>
        <v>44474.375</v>
      </c>
      <c r="C7" s="37">
        <f>INDEX($A$11:$A$62,MATCH(A7,$F$11:$F$59,0))</f>
        <v>44474.375</v>
      </c>
      <c r="D7" s="475"/>
    </row>
    <row r="8" spans="1:13" x14ac:dyDescent="0.25">
      <c r="A8" s="35" t="s">
        <v>2445</v>
      </c>
      <c r="B8" s="455">
        <f>INDEX($A$11:$A$62,MATCH(A8,$F$11:$F$59,0))</f>
        <v>44477.71875</v>
      </c>
      <c r="C8" s="37">
        <f>INDEX($A$11:$A$62,MATCH(A8,$F$11:$F$59,0))</f>
        <v>44477.71875</v>
      </c>
      <c r="D8" s="110"/>
    </row>
    <row r="9" spans="1:13" x14ac:dyDescent="0.25">
      <c r="B9" s="453"/>
    </row>
    <row r="10" spans="1:13" ht="23" x14ac:dyDescent="0.25">
      <c r="A10" s="749" t="s">
        <v>492</v>
      </c>
      <c r="B10" s="749" t="s">
        <v>493</v>
      </c>
      <c r="C10" s="749" t="s">
        <v>494</v>
      </c>
      <c r="D10" s="86" t="s">
        <v>495</v>
      </c>
      <c r="E10" s="749" t="s">
        <v>560</v>
      </c>
      <c r="F10" s="749" t="s">
        <v>541</v>
      </c>
      <c r="G10" s="749" t="s">
        <v>498</v>
      </c>
      <c r="H10" s="749" t="s">
        <v>561</v>
      </c>
      <c r="I10" s="749" t="s">
        <v>126</v>
      </c>
      <c r="J10" s="749" t="s">
        <v>92</v>
      </c>
      <c r="K10" s="749" t="s">
        <v>501</v>
      </c>
    </row>
    <row r="11" spans="1:13" x14ac:dyDescent="0.25">
      <c r="A11" s="31">
        <v>44473.395833333336</v>
      </c>
      <c r="B11" s="38">
        <f>A11</f>
        <v>44473.395833333336</v>
      </c>
      <c r="C11" s="36">
        <v>6.25E-2</v>
      </c>
      <c r="D11" s="327" t="str">
        <f t="shared" ref="D11:D29" si="0">IF(_xlfn.ISFORMULA(E11)=TRUE,"",E11-B11)</f>
        <v/>
      </c>
      <c r="E11" s="114">
        <f t="shared" ref="E11:E29" si="1">B11+C11</f>
        <v>44473.458333333336</v>
      </c>
      <c r="F11" s="35" t="s">
        <v>562</v>
      </c>
      <c r="G11" s="35"/>
      <c r="H11" s="684"/>
      <c r="I11" s="684"/>
      <c r="J11" s="684"/>
      <c r="K11" s="684"/>
      <c r="L11" s="1057"/>
      <c r="M11" s="1056"/>
    </row>
    <row r="12" spans="1:13" ht="12.75" customHeight="1" x14ac:dyDescent="0.25">
      <c r="A12" s="31">
        <f t="shared" ref="A12:A29" si="2">IF(D11 = "",A11+C11,A11+D11)</f>
        <v>44473.458333333336</v>
      </c>
      <c r="B12" s="685">
        <f>IF(D11 = "",B11+C11,B11+D11)</f>
        <v>44473.458333333336</v>
      </c>
      <c r="C12" s="36">
        <v>0.375</v>
      </c>
      <c r="D12" s="327"/>
      <c r="E12" s="114">
        <f t="shared" si="1"/>
        <v>44473.833333333336</v>
      </c>
      <c r="F12" s="35" t="s">
        <v>563</v>
      </c>
      <c r="G12" s="35"/>
      <c r="H12" s="684"/>
      <c r="I12" s="684"/>
      <c r="J12" s="684"/>
      <c r="K12" s="684"/>
      <c r="L12" s="1055"/>
      <c r="M12" s="1056"/>
    </row>
    <row r="13" spans="1:13" ht="12" customHeight="1" x14ac:dyDescent="0.25">
      <c r="A13" s="31">
        <f t="shared" si="2"/>
        <v>44473.833333333336</v>
      </c>
      <c r="B13" s="37">
        <f t="shared" ref="B13:B29" si="3">IF(D12 = "",B12+C12,B12+D12)</f>
        <v>44473.833333333336</v>
      </c>
      <c r="C13" s="36">
        <v>0.22916666666666666</v>
      </c>
      <c r="D13" s="327"/>
      <c r="E13" s="114">
        <f t="shared" si="1"/>
        <v>44474.0625</v>
      </c>
      <c r="F13" s="35" t="s">
        <v>564</v>
      </c>
      <c r="G13" s="39"/>
      <c r="H13" s="684"/>
      <c r="I13" s="684"/>
      <c r="J13" s="684">
        <f>(199.6 + 36 + 81 + 81 + 81) / 0.997</f>
        <v>480.04012036108327</v>
      </c>
      <c r="K13" s="684"/>
    </row>
    <row r="14" spans="1:13" ht="12" customHeight="1" x14ac:dyDescent="0.25">
      <c r="A14" s="31">
        <f t="shared" si="2"/>
        <v>44474.0625</v>
      </c>
      <c r="B14" s="37">
        <f t="shared" si="3"/>
        <v>44474.0625</v>
      </c>
      <c r="C14" s="36">
        <v>0.10416666666666667</v>
      </c>
      <c r="D14" s="327"/>
      <c r="E14" s="114">
        <f t="shared" si="1"/>
        <v>44474.166666666664</v>
      </c>
      <c r="F14" s="35" t="s">
        <v>565</v>
      </c>
      <c r="G14" s="39"/>
      <c r="H14" s="684"/>
      <c r="I14" s="684"/>
      <c r="J14" s="684"/>
      <c r="K14" s="684"/>
      <c r="L14" s="1057"/>
      <c r="M14" s="1056"/>
    </row>
    <row r="15" spans="1:13" ht="12.75" customHeight="1" x14ac:dyDescent="0.25">
      <c r="A15" s="31">
        <f t="shared" si="2"/>
        <v>44474.166666666664</v>
      </c>
      <c r="B15" s="37">
        <f t="shared" si="3"/>
        <v>44474.166666666664</v>
      </c>
      <c r="C15" s="36">
        <v>0.20833333333333334</v>
      </c>
      <c r="D15" s="327"/>
      <c r="E15" s="114">
        <f t="shared" si="1"/>
        <v>44474.375</v>
      </c>
      <c r="F15" s="35" t="s">
        <v>566</v>
      </c>
      <c r="G15" s="35"/>
      <c r="H15" s="684"/>
      <c r="I15" s="684"/>
      <c r="J15" s="684"/>
      <c r="K15" s="684"/>
      <c r="L15" s="1055"/>
      <c r="M15" s="1056"/>
    </row>
    <row r="16" spans="1:13" ht="13.4" customHeight="1" x14ac:dyDescent="0.25">
      <c r="A16" s="31">
        <f t="shared" si="2"/>
        <v>44474.375</v>
      </c>
      <c r="B16" s="37">
        <f t="shared" si="3"/>
        <v>44474.375</v>
      </c>
      <c r="C16" s="111">
        <v>0.14583333333333334</v>
      </c>
      <c r="D16" s="327"/>
      <c r="E16" s="114">
        <f t="shared" si="1"/>
        <v>44474.520833333336</v>
      </c>
      <c r="F16" s="39" t="s">
        <v>567</v>
      </c>
      <c r="G16" s="35" t="s">
        <v>568</v>
      </c>
      <c r="H16" s="458"/>
      <c r="I16" s="458"/>
      <c r="J16" s="458"/>
      <c r="K16" s="458"/>
    </row>
    <row r="17" spans="1:13" x14ac:dyDescent="0.25">
      <c r="A17" s="31">
        <f t="shared" si="2"/>
        <v>44474.520833333336</v>
      </c>
      <c r="B17" s="37">
        <f t="shared" si="3"/>
        <v>44474.520833333336</v>
      </c>
      <c r="C17" s="111">
        <v>0.375</v>
      </c>
      <c r="D17" s="327"/>
      <c r="E17" s="114">
        <f t="shared" si="1"/>
        <v>44474.895833333336</v>
      </c>
      <c r="F17" s="35" t="s">
        <v>569</v>
      </c>
      <c r="G17" s="35"/>
      <c r="H17" s="684"/>
      <c r="I17" s="684"/>
      <c r="J17" s="684"/>
      <c r="K17" s="684"/>
    </row>
    <row r="18" spans="1:13" x14ac:dyDescent="0.25">
      <c r="A18" s="31">
        <f t="shared" si="2"/>
        <v>44474.895833333336</v>
      </c>
      <c r="B18" s="37">
        <f t="shared" si="3"/>
        <v>44474.895833333336</v>
      </c>
      <c r="C18" s="111">
        <v>0.5</v>
      </c>
      <c r="D18" s="327" t="str">
        <f t="shared" si="0"/>
        <v/>
      </c>
      <c r="E18" s="114">
        <f t="shared" si="1"/>
        <v>44475.395833333336</v>
      </c>
      <c r="F18" s="35" t="s">
        <v>570</v>
      </c>
      <c r="G18" s="35"/>
      <c r="H18" s="684"/>
      <c r="I18" s="684"/>
      <c r="J18" s="684">
        <f>(69.5 + 36 + 48 + 62.6 + 36 + 48 + 48 + 48)/0.997</f>
        <v>397.29187562688065</v>
      </c>
      <c r="K18" s="684"/>
    </row>
    <row r="19" spans="1:13" x14ac:dyDescent="0.25">
      <c r="A19" s="31">
        <f t="shared" si="2"/>
        <v>44475.395833333336</v>
      </c>
      <c r="B19" s="37">
        <f t="shared" si="3"/>
        <v>44475.395833333336</v>
      </c>
      <c r="C19" s="111">
        <v>4.1666666666666664E-2</v>
      </c>
      <c r="D19" s="327"/>
      <c r="E19" s="114">
        <f t="shared" si="1"/>
        <v>44475.4375</v>
      </c>
      <c r="F19" s="35" t="s">
        <v>2446</v>
      </c>
      <c r="G19" s="35"/>
      <c r="H19" s="684">
        <f>40+120</f>
        <v>160</v>
      </c>
      <c r="I19" s="684"/>
      <c r="J19" s="684"/>
      <c r="K19" s="684">
        <f>H19</f>
        <v>160</v>
      </c>
    </row>
    <row r="20" spans="1:13" ht="13.5" customHeight="1" x14ac:dyDescent="0.25">
      <c r="A20" s="31">
        <f t="shared" si="2"/>
        <v>44475.4375</v>
      </c>
      <c r="B20" s="37">
        <f t="shared" si="3"/>
        <v>44475.4375</v>
      </c>
      <c r="C20" s="111">
        <v>0.52083333333333337</v>
      </c>
      <c r="D20" s="327" t="str">
        <f t="shared" si="0"/>
        <v/>
      </c>
      <c r="E20" s="114">
        <f t="shared" si="1"/>
        <v>44475.958333333336</v>
      </c>
      <c r="F20" s="35" t="s">
        <v>571</v>
      </c>
      <c r="G20" s="35"/>
      <c r="H20" s="684"/>
      <c r="I20" s="684"/>
      <c r="J20" s="684"/>
      <c r="K20" s="684"/>
    </row>
    <row r="21" spans="1:13" ht="12" customHeight="1" x14ac:dyDescent="0.25">
      <c r="A21" s="31">
        <f t="shared" si="2"/>
        <v>44475.958333333336</v>
      </c>
      <c r="B21" s="37">
        <f t="shared" si="3"/>
        <v>44475.958333333336</v>
      </c>
      <c r="C21" s="36">
        <v>0.57291666666666663</v>
      </c>
      <c r="D21" s="327" t="str">
        <f t="shared" si="0"/>
        <v/>
      </c>
      <c r="E21" s="114">
        <f t="shared" si="1"/>
        <v>44476.53125</v>
      </c>
      <c r="F21" s="35" t="s">
        <v>548</v>
      </c>
      <c r="G21" s="39"/>
      <c r="H21" s="684"/>
      <c r="I21" s="684"/>
      <c r="J21" s="684"/>
      <c r="K21" s="684"/>
      <c r="L21" s="1058"/>
      <c r="M21" s="1059"/>
    </row>
    <row r="22" spans="1:13" ht="12.75" customHeight="1" x14ac:dyDescent="0.25">
      <c r="A22" s="31">
        <f t="shared" si="2"/>
        <v>44476.53125</v>
      </c>
      <c r="B22" s="37">
        <f t="shared" si="3"/>
        <v>44476.53125</v>
      </c>
      <c r="C22" s="36">
        <v>0.125</v>
      </c>
      <c r="D22" s="327" t="str">
        <f t="shared" si="0"/>
        <v/>
      </c>
      <c r="E22" s="114">
        <f t="shared" si="1"/>
        <v>44476.65625</v>
      </c>
      <c r="F22" s="35" t="s">
        <v>549</v>
      </c>
      <c r="G22" s="35"/>
      <c r="H22" s="684">
        <f>(252.2 + 36 + 78.4 + 174.3 + 70.4 + 70.4 + 70.4 + 66 + 54.7)/0.902</f>
        <v>967.62749445676275</v>
      </c>
      <c r="I22" s="684">
        <f>54.7/0.684</f>
        <v>79.970760233918128</v>
      </c>
      <c r="J22" s="684"/>
      <c r="K22" s="684">
        <f>SUM(H22:I22)</f>
        <v>1047.598254690681</v>
      </c>
      <c r="L22" s="1060"/>
      <c r="M22" s="1059"/>
    </row>
    <row r="23" spans="1:13" ht="12.75" customHeight="1" x14ac:dyDescent="0.25">
      <c r="A23" s="31">
        <f t="shared" si="2"/>
        <v>44476.65625</v>
      </c>
      <c r="B23" s="37">
        <f t="shared" si="3"/>
        <v>44476.65625</v>
      </c>
      <c r="C23" s="36">
        <v>0.4375</v>
      </c>
      <c r="D23" s="327" t="str">
        <f t="shared" si="0"/>
        <v/>
      </c>
      <c r="E23" s="114">
        <f t="shared" si="1"/>
        <v>44477.09375</v>
      </c>
      <c r="F23" s="35" t="s">
        <v>572</v>
      </c>
      <c r="G23" s="35"/>
      <c r="H23" s="1061">
        <f>26.1/0.902</f>
        <v>28.935698447893571</v>
      </c>
      <c r="I23" s="1063">
        <f>(13.1 + 32.8)/0.684</f>
        <v>67.105263157894726</v>
      </c>
      <c r="J23" s="684"/>
      <c r="K23" s="1061">
        <f t="shared" ref="K23" si="4">SUM(H23:I23)</f>
        <v>96.040961605788297</v>
      </c>
    </row>
    <row r="24" spans="1:13" ht="12.75" customHeight="1" x14ac:dyDescent="0.25">
      <c r="A24" s="31">
        <f t="shared" si="2"/>
        <v>44477.09375</v>
      </c>
      <c r="B24" s="37">
        <f t="shared" si="3"/>
        <v>44477.09375</v>
      </c>
      <c r="C24" s="36">
        <v>0.625</v>
      </c>
      <c r="D24" s="327" t="str">
        <f t="shared" si="0"/>
        <v/>
      </c>
      <c r="E24" s="114">
        <f t="shared" si="1"/>
        <v>44477.71875</v>
      </c>
      <c r="F24" s="35" t="s">
        <v>551</v>
      </c>
      <c r="G24" s="35"/>
      <c r="H24" s="1062"/>
      <c r="I24" s="1063"/>
      <c r="J24" s="684"/>
      <c r="K24" s="1062"/>
    </row>
    <row r="25" spans="1:13" ht="12.75" customHeight="1" x14ac:dyDescent="0.25">
      <c r="A25" s="31">
        <f t="shared" si="2"/>
        <v>44477.71875</v>
      </c>
      <c r="B25" s="37">
        <f t="shared" si="3"/>
        <v>44477.71875</v>
      </c>
      <c r="C25" s="36">
        <v>6.25E-2</v>
      </c>
      <c r="D25" s="327" t="str">
        <f t="shared" si="0"/>
        <v/>
      </c>
      <c r="E25" s="114">
        <f t="shared" si="1"/>
        <v>44477.78125</v>
      </c>
      <c r="F25" s="35" t="s">
        <v>2445</v>
      </c>
      <c r="G25" s="35"/>
      <c r="H25" s="684"/>
      <c r="I25" s="684"/>
      <c r="J25" s="684"/>
      <c r="K25" s="684"/>
    </row>
    <row r="26" spans="1:13" ht="12.75" customHeight="1" x14ac:dyDescent="0.25">
      <c r="A26" s="31">
        <f t="shared" si="2"/>
        <v>44477.78125</v>
      </c>
      <c r="B26" s="37">
        <f t="shared" si="3"/>
        <v>44477.78125</v>
      </c>
      <c r="C26" s="36">
        <v>0.16666666666666666</v>
      </c>
      <c r="D26" s="327" t="str">
        <f t="shared" si="0"/>
        <v/>
      </c>
      <c r="E26" s="114">
        <f t="shared" si="1"/>
        <v>44477.947916666664</v>
      </c>
      <c r="F26" s="35" t="s">
        <v>2447</v>
      </c>
      <c r="G26" s="35"/>
      <c r="H26" s="684"/>
      <c r="I26" s="684"/>
      <c r="J26" s="684"/>
      <c r="K26" s="684"/>
    </row>
    <row r="27" spans="1:13" ht="12.75" hidden="1" customHeight="1" x14ac:dyDescent="0.25">
      <c r="A27" s="31">
        <f t="shared" si="2"/>
        <v>44477.947916666664</v>
      </c>
      <c r="B27" s="37">
        <f t="shared" si="3"/>
        <v>44477.947916666664</v>
      </c>
      <c r="C27" s="36">
        <v>1.0416666666666666E-2</v>
      </c>
      <c r="D27" s="327" t="str">
        <f t="shared" si="0"/>
        <v/>
      </c>
      <c r="E27" s="114">
        <f t="shared" si="1"/>
        <v>44477.958333333328</v>
      </c>
      <c r="F27" s="167" t="s">
        <v>573</v>
      </c>
      <c r="G27" s="167"/>
      <c r="H27" s="459"/>
      <c r="I27" s="459"/>
      <c r="J27" s="459"/>
      <c r="K27" s="459">
        <f>SUM(H27:I27)</f>
        <v>0</v>
      </c>
    </row>
    <row r="28" spans="1:13" ht="12.75" hidden="1" customHeight="1" x14ac:dyDescent="0.25">
      <c r="A28" s="31">
        <f t="shared" si="2"/>
        <v>44477.958333333328</v>
      </c>
      <c r="B28" s="37">
        <f t="shared" si="3"/>
        <v>44477.958333333328</v>
      </c>
      <c r="C28" s="36">
        <v>0.22916666666666666</v>
      </c>
      <c r="D28" s="327" t="str">
        <f t="shared" si="0"/>
        <v/>
      </c>
      <c r="E28" s="114">
        <f t="shared" si="1"/>
        <v>44478.187499999993</v>
      </c>
      <c r="F28" s="167" t="s">
        <v>574</v>
      </c>
      <c r="G28" s="167"/>
      <c r="H28" s="459"/>
      <c r="I28" s="459"/>
      <c r="J28" s="459"/>
      <c r="K28" s="459">
        <f>SUM(H28:I28)</f>
        <v>0</v>
      </c>
    </row>
    <row r="29" spans="1:13" ht="12.75" hidden="1" customHeight="1" x14ac:dyDescent="0.25">
      <c r="A29" s="31">
        <f t="shared" si="2"/>
        <v>44478.187499999993</v>
      </c>
      <c r="B29" s="37">
        <f t="shared" si="3"/>
        <v>44478.187499999993</v>
      </c>
      <c r="C29" s="36">
        <v>1.0416666666666666E-2</v>
      </c>
      <c r="D29" s="327" t="str">
        <f t="shared" si="0"/>
        <v/>
      </c>
      <c r="E29" s="114">
        <f t="shared" si="1"/>
        <v>44478.197916666657</v>
      </c>
      <c r="F29" s="167" t="s">
        <v>575</v>
      </c>
      <c r="G29" s="167"/>
      <c r="H29" s="459"/>
      <c r="I29" s="459"/>
      <c r="J29" s="459"/>
      <c r="K29" s="459"/>
    </row>
    <row r="30" spans="1:13" x14ac:dyDescent="0.25">
      <c r="B30" s="112" t="s">
        <v>534</v>
      </c>
      <c r="C30" s="36">
        <f>SUM(C11:C29)</f>
        <v>4.8020833333333339</v>
      </c>
      <c r="D30" s="32">
        <f>SUM(D11:D26)</f>
        <v>0</v>
      </c>
      <c r="G30" s="26"/>
      <c r="H30" s="460">
        <f>SUM(H11:H29)</f>
        <v>1156.5631929046563</v>
      </c>
      <c r="I30" s="460">
        <f>SUM(I11:I29)</f>
        <v>147.07602339181284</v>
      </c>
      <c r="J30" s="460">
        <f>SUM(J11:J29)</f>
        <v>877.33199598796386</v>
      </c>
      <c r="K30" s="460">
        <f>SUM(K11:K29)</f>
        <v>1303.6392162964692</v>
      </c>
    </row>
    <row r="31" spans="1:13" x14ac:dyDescent="0.25">
      <c r="B31" s="31" t="s">
        <v>536</v>
      </c>
      <c r="C31" s="36">
        <f>C30/24</f>
        <v>0.20008680555555558</v>
      </c>
      <c r="D31" s="112">
        <f>D30/24</f>
        <v>0</v>
      </c>
      <c r="G31" s="26"/>
    </row>
    <row r="32" spans="1:13" ht="21" x14ac:dyDescent="0.55000000000000004">
      <c r="A32" s="34"/>
      <c r="D32" s="113"/>
      <c r="G32" s="26"/>
    </row>
    <row r="33" spans="7:7" x14ac:dyDescent="0.25">
      <c r="G33" s="26"/>
    </row>
    <row r="34" spans="7:7" x14ac:dyDescent="0.25">
      <c r="G34" s="26"/>
    </row>
    <row r="35" spans="7:7" x14ac:dyDescent="0.25">
      <c r="G35" s="26"/>
    </row>
    <row r="36" spans="7:7" x14ac:dyDescent="0.25">
      <c r="G36" s="26"/>
    </row>
    <row r="37" spans="7:7" x14ac:dyDescent="0.25">
      <c r="G37" s="26"/>
    </row>
    <row r="38" spans="7:7" x14ac:dyDescent="0.25">
      <c r="G38" s="26"/>
    </row>
    <row r="39" spans="7:7" x14ac:dyDescent="0.25">
      <c r="G39" s="26"/>
    </row>
    <row r="40" spans="7:7" x14ac:dyDescent="0.25">
      <c r="G40" s="26"/>
    </row>
    <row r="41" spans="7:7" x14ac:dyDescent="0.25">
      <c r="G41" s="26"/>
    </row>
    <row r="42" spans="7:7" x14ac:dyDescent="0.25">
      <c r="G42" s="26"/>
    </row>
    <row r="43" spans="7:7" x14ac:dyDescent="0.25">
      <c r="G43" s="26"/>
    </row>
    <row r="44" spans="7:7" x14ac:dyDescent="0.25">
      <c r="G44" s="26"/>
    </row>
    <row r="45" spans="7:7" x14ac:dyDescent="0.25">
      <c r="G45" s="26"/>
    </row>
    <row r="46" spans="7:7" x14ac:dyDescent="0.25">
      <c r="G46" s="26"/>
    </row>
    <row r="47" spans="7:7" x14ac:dyDescent="0.25">
      <c r="G47" s="26"/>
    </row>
    <row r="48" spans="7:7" x14ac:dyDescent="0.25">
      <c r="G48" s="26"/>
    </row>
    <row r="49" spans="6:11" x14ac:dyDescent="0.25">
      <c r="G49" s="26"/>
    </row>
    <row r="50" spans="6:11" x14ac:dyDescent="0.25">
      <c r="G50" s="26"/>
    </row>
    <row r="51" spans="6:11" x14ac:dyDescent="0.25">
      <c r="G51" s="26"/>
    </row>
    <row r="52" spans="6:11" x14ac:dyDescent="0.25">
      <c r="G52" s="26"/>
    </row>
    <row r="53" spans="6:11" x14ac:dyDescent="0.25">
      <c r="G53" s="26"/>
    </row>
    <row r="54" spans="6:11" x14ac:dyDescent="0.25">
      <c r="F54" s="26"/>
      <c r="H54" s="26"/>
      <c r="I54" s="26"/>
      <c r="J54" s="26"/>
      <c r="K54" s="26"/>
    </row>
    <row r="55" spans="6:11" x14ac:dyDescent="0.25">
      <c r="F55" s="26"/>
      <c r="H55" s="26"/>
      <c r="I55" s="26"/>
      <c r="J55" s="26"/>
      <c r="K55" s="26"/>
    </row>
  </sheetData>
  <mergeCells count="11">
    <mergeCell ref="L15:M15"/>
    <mergeCell ref="A1:B1"/>
    <mergeCell ref="A5:D5"/>
    <mergeCell ref="L11:M11"/>
    <mergeCell ref="L12:M12"/>
    <mergeCell ref="L14:M14"/>
    <mergeCell ref="L21:M21"/>
    <mergeCell ref="L22:M22"/>
    <mergeCell ref="H23:H24"/>
    <mergeCell ref="I23:I24"/>
    <mergeCell ref="K23:K24"/>
  </mergeCells>
  <pageMargins left="0.75" right="0.75" top="1" bottom="1" header="0.5" footer="0.5"/>
  <pageSetup orientation="portrait" r:id="rId1"/>
  <headerFooter alignWithMargins="0">
    <oddFooter>&amp;R&amp;"Arial,Regular"&amp;08&amp;K7F7F7FAmgen Proprietary - Confidential   &amp;C&amp;"Arial,Regular"&amp;08&amp;K7F7F7FAmgen Proprietary - For Internal Use Only</oddFooter>
    <evenFooter>&amp;R&amp;"Arial,Regular"&amp;08&amp;K7F7F7FAmgen Proprietary - Confidential   &amp;C&amp;"Arial,Regular"&amp;08&amp;K7F7F7FAmgen Proprietary - For Internal Use Only</evenFooter>
    <firstFooter>&amp;R&amp;"Arial,Regular"&amp;08&amp;K7F7F7FAmgen Proprietary - Confidential   &amp;C&amp;"Arial,Regular"&amp;08&amp;K7F7F7FAmgen Proprietary - For Internal Use Only</firstFooter>
  </headerFooter>
  <legacy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E642F6-B48A-4884-8E8A-D409CDF9204A}">
  <sheetPr codeName="Sheet64">
    <pageSetUpPr autoPageBreaks="0"/>
  </sheetPr>
  <dimension ref="A1:O121"/>
  <sheetViews>
    <sheetView topLeftCell="A31" zoomScale="99" zoomScaleNormal="130" workbookViewId="0">
      <selection activeCell="B63" sqref="B63"/>
    </sheetView>
  </sheetViews>
  <sheetFormatPr defaultColWidth="23.453125" defaultRowHeight="11.5" x14ac:dyDescent="0.25"/>
  <cols>
    <col min="1" max="1" width="55.54296875" style="25" customWidth="1"/>
    <col min="2" max="2" width="28" style="25" customWidth="1"/>
    <col min="3" max="3" width="23.453125" style="25" customWidth="1"/>
    <col min="4" max="4" width="23.453125" style="25" hidden="1" customWidth="1"/>
    <col min="5" max="5" width="23.453125" style="25" customWidth="1"/>
    <col min="6" max="6" width="79.54296875" style="25" bestFit="1" customWidth="1"/>
    <col min="7" max="7" width="40.54296875" style="25" customWidth="1"/>
    <col min="8" max="13" width="10.54296875" style="25" customWidth="1"/>
    <col min="14" max="14" width="11.453125" style="25" bestFit="1" customWidth="1"/>
    <col min="15" max="16384" width="23.453125" style="25"/>
  </cols>
  <sheetData>
    <row r="1" spans="1:13" ht="12" thickBot="1" x14ac:dyDescent="0.3">
      <c r="A1" s="1064" t="s">
        <v>479</v>
      </c>
      <c r="B1" s="1065"/>
    </row>
    <row r="2" spans="1:13" x14ac:dyDescent="0.25">
      <c r="A2" s="43" t="s">
        <v>480</v>
      </c>
      <c r="B2" s="289"/>
    </row>
    <row r="3" spans="1:13" ht="12" thickBot="1" x14ac:dyDescent="0.3">
      <c r="A3" s="42" t="s">
        <v>482</v>
      </c>
      <c r="B3" s="290">
        <v>44481.333333333336</v>
      </c>
    </row>
    <row r="5" spans="1:13" x14ac:dyDescent="0.25">
      <c r="A5" s="328" t="s">
        <v>484</v>
      </c>
      <c r="B5" s="328"/>
      <c r="C5" s="328"/>
      <c r="D5" s="328"/>
    </row>
    <row r="6" spans="1:13" x14ac:dyDescent="0.25">
      <c r="A6" s="781" t="s">
        <v>485</v>
      </c>
      <c r="B6" s="781" t="s">
        <v>486</v>
      </c>
      <c r="C6" s="781" t="s">
        <v>487</v>
      </c>
      <c r="D6" s="781" t="s">
        <v>488</v>
      </c>
    </row>
    <row r="7" spans="1:13" x14ac:dyDescent="0.25">
      <c r="A7" s="545" t="s">
        <v>2449</v>
      </c>
      <c r="B7" s="40">
        <f t="shared" ref="B7:B12" si="0">INDEX($A$17:$A$110,MATCH(A7,$F$17:$F$110,0))</f>
        <v>44482.45833333335</v>
      </c>
      <c r="C7" s="37">
        <f>INDEX($B$17:$B$110,MATCH(A7,$F$17:$F$110,0))</f>
        <v>44482.45833333335</v>
      </c>
      <c r="D7" s="371"/>
    </row>
    <row r="8" spans="1:13" x14ac:dyDescent="0.25">
      <c r="A8" s="545" t="s">
        <v>2637</v>
      </c>
      <c r="B8" s="40">
        <f t="shared" si="0"/>
        <v>44485.375000000022</v>
      </c>
      <c r="C8" s="37">
        <f>INDEX($B$17:$B$110,MATCH(A8,$F$17:$F$110,0))</f>
        <v>44485.375000000022</v>
      </c>
      <c r="D8" s="371"/>
    </row>
    <row r="9" spans="1:13" x14ac:dyDescent="0.25">
      <c r="A9" s="545" t="s">
        <v>2638</v>
      </c>
      <c r="B9" s="40">
        <f t="shared" si="0"/>
        <v>44486.312500000044</v>
      </c>
      <c r="C9" s="37">
        <f>INDEX($B$17:$B$110,MATCH(A9,$F$17:$F$110,0))</f>
        <v>44486.312500000044</v>
      </c>
      <c r="D9" s="371"/>
    </row>
    <row r="10" spans="1:13" x14ac:dyDescent="0.25">
      <c r="A10" s="545" t="s">
        <v>2639</v>
      </c>
      <c r="B10" s="40">
        <f t="shared" si="0"/>
        <v>44487.069444444503</v>
      </c>
      <c r="C10" s="37">
        <f>INDEX($B$17:$B$110,MATCH(A10,$F$17:$F$110,0))</f>
        <v>44487.069444444503</v>
      </c>
      <c r="D10" s="371"/>
    </row>
    <row r="11" spans="1:13" x14ac:dyDescent="0.25">
      <c r="A11" s="545" t="s">
        <v>2640</v>
      </c>
      <c r="B11" s="40">
        <f t="shared" si="0"/>
        <v>44488.111111111182</v>
      </c>
      <c r="C11" s="37">
        <f>INDEX($B$17:$B$110,MATCH(A11,$F$17:$F$110,0))</f>
        <v>44488.111111111182</v>
      </c>
      <c r="D11" s="371"/>
    </row>
    <row r="12" spans="1:13" x14ac:dyDescent="0.25">
      <c r="A12" s="545" t="s">
        <v>2451</v>
      </c>
      <c r="B12" s="40">
        <f t="shared" si="0"/>
        <v>44488.215277777846</v>
      </c>
      <c r="C12" s="37">
        <f>E96</f>
        <v>44488.048611111182</v>
      </c>
      <c r="D12" s="371"/>
    </row>
    <row r="14" spans="1:13" ht="30.65" customHeight="1" x14ac:dyDescent="0.25">
      <c r="A14" s="749" t="s">
        <v>492</v>
      </c>
      <c r="B14" s="749" t="s">
        <v>576</v>
      </c>
      <c r="C14" s="749" t="s">
        <v>494</v>
      </c>
      <c r="D14" s="749" t="s">
        <v>495</v>
      </c>
      <c r="E14" s="749" t="s">
        <v>560</v>
      </c>
      <c r="F14" s="749" t="s">
        <v>541</v>
      </c>
      <c r="G14" s="749" t="s">
        <v>498</v>
      </c>
      <c r="H14" s="781" t="s">
        <v>92</v>
      </c>
      <c r="I14" s="781" t="s">
        <v>96</v>
      </c>
      <c r="J14" s="781" t="s">
        <v>577</v>
      </c>
      <c r="K14" s="781" t="s">
        <v>500</v>
      </c>
      <c r="L14" s="278" t="s">
        <v>108</v>
      </c>
      <c r="M14" s="278" t="s">
        <v>114</v>
      </c>
    </row>
    <row r="15" spans="1:13" x14ac:dyDescent="0.25">
      <c r="A15" s="279" t="s">
        <v>2452</v>
      </c>
      <c r="B15" s="279"/>
      <c r="C15" s="279"/>
      <c r="D15" s="279"/>
      <c r="E15" s="279"/>
      <c r="F15" s="279"/>
      <c r="G15" s="279"/>
      <c r="H15" s="777"/>
      <c r="I15" s="777"/>
      <c r="J15" s="777"/>
      <c r="K15" s="777"/>
      <c r="L15" s="777"/>
      <c r="M15" s="777"/>
    </row>
    <row r="16" spans="1:13" x14ac:dyDescent="0.25">
      <c r="A16" s="31">
        <f>B3</f>
        <v>44481.333333333336</v>
      </c>
      <c r="B16" s="332">
        <f>B3</f>
        <v>44481.333333333336</v>
      </c>
      <c r="C16" s="398">
        <v>3.125E-2</v>
      </c>
      <c r="D16" s="327"/>
      <c r="E16" s="37">
        <f>B16+C16</f>
        <v>44481.364583333336</v>
      </c>
      <c r="F16" s="476" t="s">
        <v>2453</v>
      </c>
      <c r="G16" s="544"/>
      <c r="H16" s="486"/>
      <c r="I16" s="486"/>
      <c r="J16" s="551">
        <v>150</v>
      </c>
      <c r="K16" s="487"/>
      <c r="L16" s="487">
        <v>150</v>
      </c>
      <c r="M16" s="487"/>
    </row>
    <row r="17" spans="1:15" x14ac:dyDescent="0.25">
      <c r="A17" s="31">
        <f>IF(D16 = "",A16+C16,A16+D16)</f>
        <v>44481.364583333336</v>
      </c>
      <c r="B17" s="332">
        <f>IF(D16 = "",B16+C16,B16+D16)</f>
        <v>44481.364583333336</v>
      </c>
      <c r="C17" s="423">
        <v>2.7777777777777776E-2</v>
      </c>
      <c r="D17" s="327" t="str">
        <f t="shared" ref="D17:D53" si="1">IF(_xlfn.ISFORMULA(E17)=TRUE,"",E17-B17)</f>
        <v/>
      </c>
      <c r="E17" s="37">
        <f t="shared" ref="E17:E71" si="2">B17+C17</f>
        <v>44481.392361111117</v>
      </c>
      <c r="F17" s="476" t="s">
        <v>579</v>
      </c>
      <c r="G17" s="477"/>
      <c r="H17" s="551">
        <v>30</v>
      </c>
      <c r="I17" s="486"/>
      <c r="J17" s="486"/>
      <c r="K17" s="487"/>
      <c r="L17" s="488">
        <f>SUM(H17:K17)</f>
        <v>30</v>
      </c>
      <c r="M17" s="487"/>
    </row>
    <row r="18" spans="1:15" ht="12.75" customHeight="1" x14ac:dyDescent="0.25">
      <c r="A18" s="31">
        <f t="shared" ref="A18:A37" si="3">IF(D17 = "",A17+C17,A17+D17)</f>
        <v>44481.392361111117</v>
      </c>
      <c r="B18" s="332">
        <f t="shared" ref="B18:B37" si="4">IF(D17 = "",B17+C17,B17+D17)</f>
        <v>44481.392361111117</v>
      </c>
      <c r="C18" s="423">
        <v>2.7777777777777776E-2</v>
      </c>
      <c r="D18" s="327" t="str">
        <f t="shared" si="1"/>
        <v/>
      </c>
      <c r="E18" s="37">
        <f t="shared" si="2"/>
        <v>44481.420138888898</v>
      </c>
      <c r="F18" s="476" t="s">
        <v>580</v>
      </c>
      <c r="G18" s="480"/>
      <c r="H18" s="489"/>
      <c r="I18" s="489">
        <v>30</v>
      </c>
      <c r="J18" s="489"/>
      <c r="K18" s="489"/>
      <c r="L18" s="488">
        <f t="shared" ref="L18:L28" si="5">SUM(H18:K18)</f>
        <v>30</v>
      </c>
      <c r="M18" s="487"/>
    </row>
    <row r="19" spans="1:15" ht="12.75" customHeight="1" x14ac:dyDescent="0.25">
      <c r="A19" s="31">
        <f t="shared" si="3"/>
        <v>44481.420138888898</v>
      </c>
      <c r="B19" s="332">
        <f t="shared" si="4"/>
        <v>44481.420138888898</v>
      </c>
      <c r="C19" s="423">
        <v>5.5555555555555552E-2</v>
      </c>
      <c r="D19" s="327" t="str">
        <f t="shared" si="1"/>
        <v/>
      </c>
      <c r="E19" s="37">
        <f t="shared" si="2"/>
        <v>44481.475694444453</v>
      </c>
      <c r="F19" s="476" t="s">
        <v>581</v>
      </c>
      <c r="G19" s="480"/>
      <c r="H19" s="489"/>
      <c r="I19" s="489"/>
      <c r="J19" s="489">
        <v>30</v>
      </c>
      <c r="K19" s="489"/>
      <c r="L19" s="488">
        <f t="shared" si="5"/>
        <v>30</v>
      </c>
      <c r="M19" s="487"/>
    </row>
    <row r="20" spans="1:15" ht="12.75" customHeight="1" x14ac:dyDescent="0.25">
      <c r="A20" s="31">
        <f t="shared" si="3"/>
        <v>44481.475694444453</v>
      </c>
      <c r="B20" s="332">
        <f t="shared" si="4"/>
        <v>44481.475694444453</v>
      </c>
      <c r="C20" s="423">
        <v>1.0416666666666666E-2</v>
      </c>
      <c r="D20" s="327"/>
      <c r="E20" s="37">
        <f t="shared" si="2"/>
        <v>44481.486111111117</v>
      </c>
      <c r="F20" s="476" t="s">
        <v>2454</v>
      </c>
      <c r="G20" s="480"/>
      <c r="H20" s="489">
        <v>250</v>
      </c>
      <c r="I20" s="489"/>
      <c r="J20" s="489"/>
      <c r="K20" s="489"/>
      <c r="L20" s="488">
        <v>250</v>
      </c>
      <c r="M20" s="487"/>
    </row>
    <row r="21" spans="1:15" ht="13.5" customHeight="1" x14ac:dyDescent="0.25">
      <c r="A21" s="31">
        <f t="shared" si="3"/>
        <v>44481.486111111117</v>
      </c>
      <c r="B21" s="332">
        <f t="shared" si="4"/>
        <v>44481.486111111117</v>
      </c>
      <c r="C21" s="423">
        <v>2.0833333333333332E-2</v>
      </c>
      <c r="D21" s="327" t="str">
        <f t="shared" si="1"/>
        <v/>
      </c>
      <c r="E21" s="37">
        <f t="shared" si="2"/>
        <v>44481.506944444453</v>
      </c>
      <c r="F21" s="476" t="s">
        <v>2455</v>
      </c>
      <c r="G21" s="480"/>
      <c r="H21" s="489"/>
      <c r="I21" s="489"/>
      <c r="J21" s="489">
        <v>250</v>
      </c>
      <c r="K21" s="489"/>
      <c r="L21" s="488"/>
      <c r="M21" s="487">
        <v>250</v>
      </c>
    </row>
    <row r="22" spans="1:15" x14ac:dyDescent="0.25">
      <c r="A22" s="31">
        <f t="shared" si="3"/>
        <v>44481.506944444453</v>
      </c>
      <c r="B22" s="332">
        <f t="shared" si="4"/>
        <v>44481.506944444453</v>
      </c>
      <c r="C22" s="423">
        <v>1.3888888888888888E-2</v>
      </c>
      <c r="D22" s="327" t="str">
        <f t="shared" si="1"/>
        <v/>
      </c>
      <c r="E22" s="37">
        <f t="shared" si="2"/>
        <v>44481.520833333343</v>
      </c>
      <c r="F22" s="476" t="s">
        <v>619</v>
      </c>
      <c r="G22" s="480"/>
      <c r="H22" s="489"/>
      <c r="I22" s="489"/>
      <c r="J22" s="489"/>
      <c r="K22" s="489">
        <v>55</v>
      </c>
      <c r="L22" s="488">
        <f t="shared" si="5"/>
        <v>55</v>
      </c>
      <c r="M22" s="487"/>
    </row>
    <row r="23" spans="1:15" x14ac:dyDescent="0.25">
      <c r="A23" s="31">
        <f t="shared" si="3"/>
        <v>44481.520833333343</v>
      </c>
      <c r="B23" s="332">
        <f t="shared" si="4"/>
        <v>44481.520833333343</v>
      </c>
      <c r="C23" s="423">
        <v>2.7777777777777776E-2</v>
      </c>
      <c r="D23" s="327" t="str">
        <f t="shared" si="1"/>
        <v/>
      </c>
      <c r="E23" s="37">
        <f t="shared" si="2"/>
        <v>44481.548611111124</v>
      </c>
      <c r="F23" s="476" t="s">
        <v>585</v>
      </c>
      <c r="G23" s="480"/>
      <c r="H23" s="489"/>
      <c r="I23" s="489"/>
      <c r="J23" s="489"/>
      <c r="K23" s="489">
        <v>610</v>
      </c>
      <c r="L23" s="488">
        <f t="shared" si="5"/>
        <v>610</v>
      </c>
      <c r="M23" s="487"/>
    </row>
    <row r="24" spans="1:15" ht="13.5" customHeight="1" x14ac:dyDescent="0.25">
      <c r="A24" s="31">
        <f t="shared" si="3"/>
        <v>44481.548611111124</v>
      </c>
      <c r="B24" s="332">
        <f t="shared" si="4"/>
        <v>44481.548611111124</v>
      </c>
      <c r="C24" s="398">
        <v>0.35416666666666669</v>
      </c>
      <c r="D24" s="327" t="str">
        <f t="shared" si="1"/>
        <v/>
      </c>
      <c r="E24" s="37">
        <f t="shared" si="2"/>
        <v>44481.902777777788</v>
      </c>
      <c r="F24" s="476" t="s">
        <v>2456</v>
      </c>
      <c r="G24" s="480"/>
      <c r="H24" s="489"/>
      <c r="I24" s="489"/>
      <c r="J24" s="489"/>
      <c r="K24" s="489">
        <v>550</v>
      </c>
      <c r="L24" s="488">
        <f t="shared" si="5"/>
        <v>550</v>
      </c>
      <c r="M24" s="487"/>
    </row>
    <row r="25" spans="1:15" ht="13.5" hidden="1" customHeight="1" x14ac:dyDescent="0.25">
      <c r="A25" s="553" t="s">
        <v>2457</v>
      </c>
      <c r="B25" s="554"/>
      <c r="C25" s="554"/>
      <c r="D25" s="554"/>
      <c r="E25" s="554"/>
      <c r="F25" s="554"/>
      <c r="G25" s="554"/>
      <c r="H25" s="554"/>
      <c r="I25" s="554"/>
      <c r="J25" s="554"/>
      <c r="K25" s="554"/>
      <c r="L25" s="554"/>
      <c r="M25" s="555"/>
    </row>
    <row r="26" spans="1:15" ht="13.5" hidden="1" customHeight="1" x14ac:dyDescent="0.25">
      <c r="A26" s="494">
        <f>A24</f>
        <v>44481.548611111124</v>
      </c>
      <c r="B26" s="493">
        <f>B24</f>
        <v>44481.548611111124</v>
      </c>
      <c r="C26" s="498">
        <v>0.125</v>
      </c>
      <c r="D26" s="498"/>
      <c r="E26" s="493">
        <f>B26+C26</f>
        <v>44481.673611111124</v>
      </c>
      <c r="F26" s="546" t="s">
        <v>2458</v>
      </c>
      <c r="G26" s="547"/>
      <c r="H26" s="550"/>
      <c r="I26" s="548"/>
      <c r="J26" s="548"/>
      <c r="K26" s="548"/>
      <c r="L26" s="549"/>
      <c r="M26" s="552"/>
    </row>
    <row r="27" spans="1:15" ht="13.5" customHeight="1" x14ac:dyDescent="0.25">
      <c r="A27" s="31">
        <f>IF(D24 = "",A24+C24,A24+D24)</f>
        <v>44481.902777777788</v>
      </c>
      <c r="B27" s="332">
        <f>IF(D24 = "",B24+C24,B24+D24)</f>
        <v>44481.902777777788</v>
      </c>
      <c r="C27" s="398">
        <v>0.3125</v>
      </c>
      <c r="D27" s="327" t="str">
        <f t="shared" si="1"/>
        <v/>
      </c>
      <c r="E27" s="37">
        <f t="shared" si="2"/>
        <v>44482.215277777788</v>
      </c>
      <c r="F27" s="476" t="s">
        <v>2459</v>
      </c>
      <c r="G27" s="480"/>
      <c r="H27" s="489"/>
      <c r="I27" s="489"/>
      <c r="J27" s="489"/>
      <c r="K27" s="489">
        <v>370</v>
      </c>
      <c r="L27" s="488">
        <v>370</v>
      </c>
      <c r="M27" s="489"/>
      <c r="N27" s="25" t="s">
        <v>2460</v>
      </c>
      <c r="O27" s="530">
        <f>SUM(K16:K27)</f>
        <v>1585</v>
      </c>
    </row>
    <row r="28" spans="1:15" ht="12.75" customHeight="1" x14ac:dyDescent="0.25">
      <c r="A28" s="31">
        <f t="shared" si="3"/>
        <v>44482.215277777788</v>
      </c>
      <c r="B28" s="332">
        <f t="shared" si="4"/>
        <v>44482.215277777788</v>
      </c>
      <c r="C28" s="170">
        <v>7.6388888888888895E-2</v>
      </c>
      <c r="D28" s="327" t="str">
        <f t="shared" si="1"/>
        <v/>
      </c>
      <c r="E28" s="37">
        <f t="shared" si="2"/>
        <v>44482.291666666679</v>
      </c>
      <c r="F28" s="476" t="s">
        <v>2461</v>
      </c>
      <c r="G28" s="480"/>
      <c r="H28" s="489"/>
      <c r="I28" s="489"/>
      <c r="J28" s="489"/>
      <c r="K28" s="489">
        <v>820</v>
      </c>
      <c r="L28" s="488">
        <f t="shared" si="5"/>
        <v>820</v>
      </c>
      <c r="M28" s="487"/>
    </row>
    <row r="29" spans="1:15" ht="12.75" customHeight="1" x14ac:dyDescent="0.25">
      <c r="A29" s="31">
        <f t="shared" si="3"/>
        <v>44482.291666666679</v>
      </c>
      <c r="B29" s="332">
        <f t="shared" si="4"/>
        <v>44482.291666666679</v>
      </c>
      <c r="C29" s="170">
        <v>6.25E-2</v>
      </c>
      <c r="D29" s="327" t="str">
        <f t="shared" si="1"/>
        <v/>
      </c>
      <c r="E29" s="37">
        <f t="shared" si="2"/>
        <v>44482.354166666679</v>
      </c>
      <c r="F29" s="476" t="s">
        <v>589</v>
      </c>
      <c r="G29" s="480"/>
      <c r="H29" s="489"/>
      <c r="I29" s="489"/>
      <c r="J29" s="489"/>
      <c r="K29" s="489"/>
      <c r="L29" s="488"/>
      <c r="M29" s="487"/>
    </row>
    <row r="30" spans="1:15" ht="12.75" customHeight="1" x14ac:dyDescent="0.25">
      <c r="A30" s="31">
        <f t="shared" si="3"/>
        <v>44482.354166666679</v>
      </c>
      <c r="B30" s="332">
        <f t="shared" si="4"/>
        <v>44482.354166666679</v>
      </c>
      <c r="C30" s="170">
        <v>8.3333333333333329E-2</v>
      </c>
      <c r="D30" s="327" t="str">
        <f t="shared" si="1"/>
        <v/>
      </c>
      <c r="E30" s="37">
        <f t="shared" si="2"/>
        <v>44482.437500000015</v>
      </c>
      <c r="F30" s="476" t="s">
        <v>2462</v>
      </c>
      <c r="G30" s="480"/>
      <c r="H30" s="489"/>
      <c r="I30" s="489"/>
      <c r="J30" s="489"/>
      <c r="K30" s="489"/>
      <c r="L30" s="488"/>
      <c r="M30" s="487"/>
    </row>
    <row r="31" spans="1:15" ht="12.75" customHeight="1" x14ac:dyDescent="0.25">
      <c r="A31" s="31">
        <f t="shared" si="3"/>
        <v>44482.437500000015</v>
      </c>
      <c r="B31" s="332">
        <f t="shared" si="4"/>
        <v>44482.437500000015</v>
      </c>
      <c r="C31" s="398">
        <v>2.0833333333333332E-2</v>
      </c>
      <c r="D31" s="327"/>
      <c r="E31" s="37">
        <f t="shared" si="2"/>
        <v>44482.45833333335</v>
      </c>
      <c r="F31" s="476" t="s">
        <v>2463</v>
      </c>
      <c r="G31" s="480"/>
      <c r="H31" s="489"/>
      <c r="I31" s="489"/>
      <c r="J31" s="489"/>
      <c r="K31" s="489">
        <v>100</v>
      </c>
      <c r="L31" s="543">
        <v>100</v>
      </c>
      <c r="M31" s="487"/>
    </row>
    <row r="32" spans="1:15" ht="12.75" customHeight="1" x14ac:dyDescent="0.25">
      <c r="A32" s="31">
        <f t="shared" si="3"/>
        <v>44482.45833333335</v>
      </c>
      <c r="B32" s="332">
        <f t="shared" si="4"/>
        <v>44482.45833333335</v>
      </c>
      <c r="C32" s="170" t="s">
        <v>99</v>
      </c>
      <c r="D32" s="327"/>
      <c r="E32" s="37" t="s">
        <v>99</v>
      </c>
      <c r="F32" s="484" t="s">
        <v>2449</v>
      </c>
      <c r="G32" s="480"/>
      <c r="H32" s="489"/>
      <c r="I32" s="489"/>
      <c r="J32" s="489"/>
      <c r="K32" s="489"/>
      <c r="L32" s="487"/>
      <c r="M32" s="487"/>
    </row>
    <row r="33" spans="1:15" ht="12.75" customHeight="1" x14ac:dyDescent="0.25">
      <c r="A33" s="31">
        <f>IF(D31 = "",A31+C31,A31+D31)</f>
        <v>44482.45833333335</v>
      </c>
      <c r="B33" s="332">
        <f>IF(D31 = "",B31+C31,B31+D31)</f>
        <v>44482.45833333335</v>
      </c>
      <c r="C33" s="398">
        <v>0.10416666666666667</v>
      </c>
      <c r="D33" s="420"/>
      <c r="E33" s="37">
        <f t="shared" si="2"/>
        <v>44482.562500000015</v>
      </c>
      <c r="F33" s="782" t="s">
        <v>647</v>
      </c>
      <c r="G33" s="480"/>
      <c r="H33" s="783"/>
      <c r="I33" s="783"/>
      <c r="J33" s="783"/>
      <c r="K33" s="783"/>
      <c r="L33" s="784"/>
      <c r="M33" s="393"/>
    </row>
    <row r="34" spans="1:15" ht="12.75" customHeight="1" x14ac:dyDescent="0.25">
      <c r="A34" s="31"/>
      <c r="B34" s="332"/>
      <c r="C34" s="398"/>
      <c r="D34" s="420"/>
      <c r="E34" s="37"/>
      <c r="F34" s="782" t="s">
        <v>2641</v>
      </c>
      <c r="G34" s="480"/>
      <c r="H34" s="783"/>
      <c r="I34" s="783"/>
      <c r="J34" s="783"/>
      <c r="K34" s="783"/>
      <c r="L34" s="784"/>
      <c r="M34" s="393"/>
    </row>
    <row r="35" spans="1:15" ht="12.75" customHeight="1" x14ac:dyDescent="0.25">
      <c r="A35" s="31">
        <f>IF(D33 = "",A33+C33,A33+D33)</f>
        <v>44482.562500000015</v>
      </c>
      <c r="B35" s="332">
        <f>IF(D33 = "",B33+C33,B33+D33)</f>
        <v>44482.562500000015</v>
      </c>
      <c r="C35" s="398">
        <v>2.0833333333333332E-2</v>
      </c>
      <c r="D35" s="420"/>
      <c r="E35" s="37">
        <f t="shared" si="2"/>
        <v>44482.58333333335</v>
      </c>
      <c r="F35" s="782" t="s">
        <v>2642</v>
      </c>
      <c r="G35" s="480"/>
      <c r="H35" s="783"/>
      <c r="I35" s="783">
        <v>50.428248337028826</v>
      </c>
      <c r="J35" s="783"/>
      <c r="K35" s="783"/>
      <c r="L35" s="784">
        <f>SUM(H35:I35,K35)</f>
        <v>50.428248337028826</v>
      </c>
      <c r="M35" s="393"/>
    </row>
    <row r="36" spans="1:15" ht="12.75" customHeight="1" x14ac:dyDescent="0.25">
      <c r="A36" s="31">
        <f t="shared" si="3"/>
        <v>44482.58333333335</v>
      </c>
      <c r="B36" s="332">
        <f t="shared" si="4"/>
        <v>44482.58333333335</v>
      </c>
      <c r="C36" s="398">
        <v>0.1388888888888889</v>
      </c>
      <c r="D36" s="420"/>
      <c r="E36" s="37">
        <f t="shared" si="2"/>
        <v>44482.722222222241</v>
      </c>
      <c r="F36" s="782" t="s">
        <v>2643</v>
      </c>
      <c r="G36" s="480"/>
      <c r="H36" s="783"/>
      <c r="I36" s="785">
        <v>400.14866962305985</v>
      </c>
      <c r="J36" s="783"/>
      <c r="K36" s="783"/>
      <c r="L36" s="784">
        <f>SUM(H36:I36,K36)</f>
        <v>400.14866962305985</v>
      </c>
      <c r="M36" s="393"/>
    </row>
    <row r="37" spans="1:15" ht="12.75" customHeight="1" x14ac:dyDescent="0.25">
      <c r="A37" s="31">
        <f t="shared" si="3"/>
        <v>44482.722222222241</v>
      </c>
      <c r="B37" s="332">
        <f t="shared" si="4"/>
        <v>44482.722222222241</v>
      </c>
      <c r="C37" s="398">
        <v>0.1388888888888889</v>
      </c>
      <c r="D37" s="420"/>
      <c r="E37" s="37">
        <f t="shared" si="2"/>
        <v>44482.861111111131</v>
      </c>
      <c r="F37" s="786" t="s">
        <v>2644</v>
      </c>
      <c r="G37" s="480"/>
      <c r="H37" s="783"/>
      <c r="I37" s="783">
        <v>401.22971175166293</v>
      </c>
      <c r="J37" s="783"/>
      <c r="K37" s="783"/>
      <c r="L37" s="784">
        <f>SUM(H37:I37,K37)</f>
        <v>401.22971175166293</v>
      </c>
      <c r="M37" s="393"/>
    </row>
    <row r="38" spans="1:15" hidden="1" x14ac:dyDescent="0.25">
      <c r="A38" s="563">
        <f>IF(D37 = "",A37+C37,A37+D37)</f>
        <v>44482.861111111131</v>
      </c>
      <c r="B38" s="564">
        <f>IF(D37 = "",B37+C37,B37+D37)</f>
        <v>44482.861111111131</v>
      </c>
      <c r="C38" s="562">
        <v>0</v>
      </c>
      <c r="D38" s="562"/>
      <c r="E38" s="564">
        <f>B38+C38</f>
        <v>44482.861111111131</v>
      </c>
      <c r="F38" s="565" t="s">
        <v>2634</v>
      </c>
      <c r="G38" s="787"/>
      <c r="H38" s="788"/>
      <c r="I38" s="788"/>
      <c r="J38" s="788"/>
      <c r="K38" s="788"/>
      <c r="L38" s="789"/>
      <c r="M38" s="790"/>
      <c r="O38" s="530"/>
    </row>
    <row r="39" spans="1:15" ht="12.75" customHeight="1" x14ac:dyDescent="0.25">
      <c r="A39" s="31">
        <f t="shared" ref="A39:A43" si="6">IF(D38 = "",A38+C38,A38+D38)</f>
        <v>44482.861111111131</v>
      </c>
      <c r="B39" s="37">
        <f t="shared" ref="B39:B43" si="7">IF(D38 = "",B38+C38,B38+D38)</f>
        <v>44482.861111111131</v>
      </c>
      <c r="C39" s="398">
        <v>0.1388888888888889</v>
      </c>
      <c r="D39" s="420"/>
      <c r="E39" s="37">
        <f t="shared" si="2"/>
        <v>44483.000000000022</v>
      </c>
      <c r="F39" s="782" t="s">
        <v>2645</v>
      </c>
      <c r="G39" s="480"/>
      <c r="H39" s="783"/>
      <c r="I39" s="783">
        <v>399.77915742793789</v>
      </c>
      <c r="J39" s="783"/>
      <c r="K39" s="783"/>
      <c r="L39" s="784">
        <f>SUM(H39:I39,K39)</f>
        <v>399.77915742793789</v>
      </c>
      <c r="M39" s="393"/>
      <c r="N39" s="1066" t="s">
        <v>630</v>
      </c>
      <c r="O39" s="1067"/>
    </row>
    <row r="40" spans="1:15" ht="12.75" customHeight="1" x14ac:dyDescent="0.25">
      <c r="A40" s="31">
        <f t="shared" si="6"/>
        <v>44483.000000000022</v>
      </c>
      <c r="B40" s="37">
        <f t="shared" si="7"/>
        <v>44483.000000000022</v>
      </c>
      <c r="C40" s="398">
        <v>0.1388888888888889</v>
      </c>
      <c r="D40" s="420"/>
      <c r="E40" s="37">
        <f t="shared" si="2"/>
        <v>44483.138888888912</v>
      </c>
      <c r="F40" s="782" t="s">
        <v>2646</v>
      </c>
      <c r="G40" s="480"/>
      <c r="H40" s="783"/>
      <c r="I40" s="783">
        <v>299.20776053215076</v>
      </c>
      <c r="J40" s="783"/>
      <c r="K40" s="783"/>
      <c r="L40" s="784">
        <f>SUM(H40:I40,K40)</f>
        <v>299.20776053215076</v>
      </c>
      <c r="M40" s="393"/>
      <c r="N40" s="791" t="s">
        <v>681</v>
      </c>
      <c r="O40" s="783">
        <f>SUM(M42:M58)</f>
        <v>0</v>
      </c>
    </row>
    <row r="41" spans="1:15" ht="12.75" customHeight="1" x14ac:dyDescent="0.25">
      <c r="A41" s="563">
        <f t="shared" si="6"/>
        <v>44483.138888888912</v>
      </c>
      <c r="B41" s="564">
        <f t="shared" si="7"/>
        <v>44483.138888888912</v>
      </c>
      <c r="C41" s="609">
        <v>2.2361111111111112</v>
      </c>
      <c r="D41" s="609"/>
      <c r="E41" s="564"/>
      <c r="F41" s="795" t="s">
        <v>2634</v>
      </c>
      <c r="G41" s="796"/>
      <c r="H41" s="797"/>
      <c r="I41" s="797"/>
      <c r="J41" s="797"/>
      <c r="K41" s="797"/>
      <c r="L41" s="798"/>
      <c r="M41" s="799"/>
      <c r="N41" s="791"/>
      <c r="O41" s="783"/>
    </row>
    <row r="42" spans="1:15" ht="12.75" customHeight="1" x14ac:dyDescent="0.25">
      <c r="A42" s="31">
        <f t="shared" si="6"/>
        <v>44485.375000000022</v>
      </c>
      <c r="B42" s="37">
        <f t="shared" si="7"/>
        <v>44485.375000000022</v>
      </c>
      <c r="C42" s="398">
        <v>0</v>
      </c>
      <c r="D42" s="420"/>
      <c r="E42" s="37" t="s">
        <v>99</v>
      </c>
      <c r="F42" s="792" t="s">
        <v>2637</v>
      </c>
      <c r="G42" s="480"/>
      <c r="H42" s="783"/>
      <c r="I42" s="783"/>
      <c r="J42" s="783"/>
      <c r="K42" s="783"/>
      <c r="L42" s="784"/>
      <c r="M42" s="393"/>
      <c r="N42" s="791" t="s">
        <v>2647</v>
      </c>
      <c r="O42" s="783">
        <f>SUM(I42:I58)</f>
        <v>0</v>
      </c>
    </row>
    <row r="43" spans="1:15" ht="12.75" customHeight="1" x14ac:dyDescent="0.25">
      <c r="A43" s="31">
        <f t="shared" si="6"/>
        <v>44485.375000000022</v>
      </c>
      <c r="B43" s="37">
        <f t="shared" si="7"/>
        <v>44485.375000000022</v>
      </c>
      <c r="C43" s="398">
        <v>0.10416666666666667</v>
      </c>
      <c r="D43" s="327"/>
      <c r="E43" s="37">
        <f t="shared" si="2"/>
        <v>44485.479166666686</v>
      </c>
      <c r="F43" s="476" t="s">
        <v>647</v>
      </c>
      <c r="G43" s="480"/>
      <c r="H43" s="489"/>
      <c r="I43" s="489"/>
      <c r="J43" s="489"/>
      <c r="K43" s="489"/>
      <c r="L43" s="487"/>
      <c r="M43" s="487"/>
    </row>
    <row r="44" spans="1:15" ht="12.75" customHeight="1" x14ac:dyDescent="0.25">
      <c r="A44" s="31">
        <f>IF(D43 = "",A43+C43,A43+D43)</f>
        <v>44485.479166666686</v>
      </c>
      <c r="B44" s="332">
        <f>IF(D43 = "",B43+C43,B43+D43)</f>
        <v>44485.479166666686</v>
      </c>
      <c r="C44" s="398">
        <v>2.0833333333333332E-2</v>
      </c>
      <c r="D44" s="327"/>
      <c r="E44" s="37">
        <f t="shared" si="2"/>
        <v>44485.500000000022</v>
      </c>
      <c r="F44" s="476" t="s">
        <v>600</v>
      </c>
      <c r="G44" s="480"/>
      <c r="H44" s="489"/>
      <c r="I44" s="489"/>
      <c r="J44" s="489"/>
      <c r="K44" s="489"/>
      <c r="L44" s="487"/>
      <c r="M44" s="487"/>
    </row>
    <row r="45" spans="1:15" ht="12.75" customHeight="1" x14ac:dyDescent="0.25">
      <c r="A45" s="31">
        <f t="shared" ref="A45:A47" si="8">IF(D44 = "",A44+C44,A44+D44)</f>
        <v>44485.500000000022</v>
      </c>
      <c r="B45" s="332">
        <f t="shared" ref="B45:B47" si="9">IF(D44 = "",B44+C44,B44+D44)</f>
        <v>44485.500000000022</v>
      </c>
      <c r="C45" s="398">
        <v>2.0833333333333332E-2</v>
      </c>
      <c r="D45" s="327"/>
      <c r="E45" s="37">
        <f t="shared" si="2"/>
        <v>44485.520833333358</v>
      </c>
      <c r="F45" s="476" t="s">
        <v>2464</v>
      </c>
      <c r="G45" s="480"/>
      <c r="H45" s="489"/>
      <c r="I45" s="489"/>
      <c r="J45" s="489"/>
      <c r="K45" s="489">
        <v>126</v>
      </c>
      <c r="L45" s="487">
        <v>126</v>
      </c>
      <c r="M45" s="487"/>
    </row>
    <row r="46" spans="1:15" ht="12.75" customHeight="1" x14ac:dyDescent="0.25">
      <c r="A46" s="31">
        <f t="shared" si="8"/>
        <v>44485.520833333358</v>
      </c>
      <c r="B46" s="332">
        <f t="shared" si="9"/>
        <v>44485.520833333358</v>
      </c>
      <c r="C46" s="398">
        <v>2.0833333333333332E-2</v>
      </c>
      <c r="D46" s="327"/>
      <c r="E46" s="37">
        <f t="shared" si="2"/>
        <v>44485.541666666693</v>
      </c>
      <c r="F46" s="476" t="s">
        <v>2648</v>
      </c>
      <c r="G46" s="480"/>
      <c r="H46" s="489"/>
      <c r="I46" s="489"/>
      <c r="J46" s="489"/>
      <c r="K46" s="551">
        <v>150</v>
      </c>
      <c r="L46" s="487">
        <v>150</v>
      </c>
      <c r="M46" s="487"/>
    </row>
    <row r="47" spans="1:15" ht="12.75" customHeight="1" x14ac:dyDescent="0.25">
      <c r="A47" s="31">
        <f t="shared" si="8"/>
        <v>44485.541666666693</v>
      </c>
      <c r="B47" s="332">
        <f t="shared" si="9"/>
        <v>44485.541666666693</v>
      </c>
      <c r="C47" s="398">
        <v>1.3888888888888888E-2</v>
      </c>
      <c r="D47" s="327"/>
      <c r="E47" s="37">
        <f t="shared" si="2"/>
        <v>44485.555555555584</v>
      </c>
      <c r="F47" s="476" t="s">
        <v>2649</v>
      </c>
      <c r="G47" s="480"/>
      <c r="H47" s="489"/>
      <c r="I47" s="489"/>
      <c r="J47" s="489"/>
      <c r="K47" s="551"/>
      <c r="L47" s="543"/>
      <c r="M47" s="487"/>
    </row>
    <row r="48" spans="1:15" s="267" customFormat="1" ht="14.9" customHeight="1" x14ac:dyDescent="0.25">
      <c r="A48" s="280" t="s">
        <v>2466</v>
      </c>
      <c r="B48" s="280"/>
      <c r="C48" s="280"/>
      <c r="D48" s="280"/>
      <c r="E48" s="280"/>
      <c r="F48" s="280"/>
      <c r="G48" s="280"/>
      <c r="H48" s="284"/>
      <c r="I48" s="284"/>
      <c r="J48" s="284"/>
      <c r="K48" s="284"/>
      <c r="L48" s="285"/>
      <c r="M48" s="341"/>
    </row>
    <row r="49" spans="1:15" x14ac:dyDescent="0.25">
      <c r="A49" s="31">
        <f>IF(D47 = "",A47+C47,A47+D47)</f>
        <v>44485.555555555584</v>
      </c>
      <c r="B49" s="37">
        <f>IF(D47 = "",B47+C47,B47+D47)</f>
        <v>44485.555555555584</v>
      </c>
      <c r="C49" s="170">
        <v>0</v>
      </c>
      <c r="D49" s="327" t="str">
        <f t="shared" si="1"/>
        <v/>
      </c>
      <c r="E49" s="37">
        <f t="shared" si="2"/>
        <v>44485.555555555584</v>
      </c>
      <c r="F49" s="476" t="s">
        <v>2464</v>
      </c>
      <c r="G49" s="480"/>
      <c r="H49" s="481"/>
      <c r="I49" s="481"/>
      <c r="J49" s="481"/>
      <c r="K49" s="481">
        <v>0</v>
      </c>
      <c r="L49" s="479"/>
      <c r="M49" s="478"/>
    </row>
    <row r="50" spans="1:15" x14ac:dyDescent="0.25">
      <c r="A50" s="31">
        <f>IF(D49 = "",A49+C49,A49+D49)</f>
        <v>44485.555555555584</v>
      </c>
      <c r="B50" s="37">
        <f>IF(D49 = "",B49+C49,B49+D49)</f>
        <v>44485.555555555584</v>
      </c>
      <c r="C50" s="170">
        <v>0</v>
      </c>
      <c r="D50" s="327"/>
      <c r="E50" s="37">
        <f t="shared" si="2"/>
        <v>44485.555555555584</v>
      </c>
      <c r="F50" s="476" t="s">
        <v>2648</v>
      </c>
      <c r="G50" s="480"/>
      <c r="H50" s="481"/>
      <c r="I50" s="481"/>
      <c r="J50" s="481"/>
      <c r="K50" s="481"/>
      <c r="L50" s="479"/>
      <c r="M50" s="478"/>
    </row>
    <row r="51" spans="1:15" x14ac:dyDescent="0.25">
      <c r="A51" s="31">
        <f t="shared" ref="A51:A54" si="10">IF(D50 = "",A50+C50,A50+D50)</f>
        <v>44485.555555555584</v>
      </c>
      <c r="B51" s="37">
        <f t="shared" ref="B51:B52" si="11">IF(D50 = "",B50+C50,B50+D50)</f>
        <v>44485.555555555584</v>
      </c>
      <c r="C51" s="398">
        <v>1.3888888888888888E-2</v>
      </c>
      <c r="D51" s="327"/>
      <c r="E51" s="37">
        <f t="shared" si="2"/>
        <v>44485.569444444474</v>
      </c>
      <c r="F51" s="476" t="s">
        <v>2467</v>
      </c>
      <c r="G51" s="480"/>
      <c r="H51" s="481"/>
      <c r="I51" s="481"/>
      <c r="J51" s="481">
        <v>126</v>
      </c>
      <c r="K51" s="481"/>
      <c r="L51" s="479">
        <v>126</v>
      </c>
      <c r="M51" s="478"/>
    </row>
    <row r="52" spans="1:15" x14ac:dyDescent="0.25">
      <c r="A52" s="31">
        <f t="shared" si="10"/>
        <v>44485.569444444474</v>
      </c>
      <c r="B52" s="37">
        <f t="shared" si="11"/>
        <v>44485.569444444474</v>
      </c>
      <c r="C52" s="423">
        <v>1.3888888888888888E-2</v>
      </c>
      <c r="D52" s="327"/>
      <c r="E52" s="37">
        <f t="shared" si="2"/>
        <v>44485.583333333365</v>
      </c>
      <c r="F52" s="476" t="s">
        <v>619</v>
      </c>
      <c r="G52" s="480"/>
      <c r="H52" s="481"/>
      <c r="I52" s="481"/>
      <c r="J52" s="481"/>
      <c r="K52" s="481">
        <v>47</v>
      </c>
      <c r="L52" s="479">
        <v>47</v>
      </c>
      <c r="M52" s="478"/>
    </row>
    <row r="53" spans="1:15" x14ac:dyDescent="0.25">
      <c r="A53" s="31">
        <f t="shared" si="10"/>
        <v>44485.583333333365</v>
      </c>
      <c r="B53" s="37">
        <f>IF(D52 = "",B52+C52,B52+D52)</f>
        <v>44485.583333333365</v>
      </c>
      <c r="C53" s="170">
        <v>2.7777777777777776E-2</v>
      </c>
      <c r="D53" s="327" t="str">
        <f t="shared" si="1"/>
        <v/>
      </c>
      <c r="E53" s="37">
        <f t="shared" si="2"/>
        <v>44485.611111111146</v>
      </c>
      <c r="F53" s="476" t="s">
        <v>585</v>
      </c>
      <c r="G53" s="480"/>
      <c r="H53" s="481"/>
      <c r="I53" s="481"/>
      <c r="J53" s="481"/>
      <c r="K53" s="481">
        <v>540</v>
      </c>
      <c r="L53" s="481">
        <v>540</v>
      </c>
      <c r="M53" s="478"/>
    </row>
    <row r="54" spans="1:15" x14ac:dyDescent="0.25">
      <c r="A54" s="31">
        <f t="shared" si="10"/>
        <v>44485.611111111146</v>
      </c>
      <c r="B54" s="37">
        <f>IF(D53 = "",B53+C53,B53+D53)</f>
        <v>44485.611111111146</v>
      </c>
      <c r="C54" s="170">
        <v>0.27083333333333331</v>
      </c>
      <c r="D54" s="327"/>
      <c r="E54" s="37">
        <f t="shared" si="2"/>
        <v>44485.881944444482</v>
      </c>
      <c r="F54" s="476" t="s">
        <v>2456</v>
      </c>
      <c r="G54" s="480"/>
      <c r="H54" s="481"/>
      <c r="I54" s="481"/>
      <c r="J54" s="481"/>
      <c r="K54" s="481">
        <v>450</v>
      </c>
      <c r="L54" s="481">
        <v>450</v>
      </c>
      <c r="M54" s="478"/>
    </row>
    <row r="55" spans="1:15" hidden="1" x14ac:dyDescent="0.25">
      <c r="A55" s="553" t="s">
        <v>2469</v>
      </c>
      <c r="B55" s="554"/>
      <c r="C55" s="554"/>
      <c r="D55" s="554"/>
      <c r="E55" s="554"/>
      <c r="F55" s="554"/>
      <c r="G55" s="554"/>
      <c r="H55" s="554"/>
      <c r="I55" s="554"/>
      <c r="J55" s="554"/>
      <c r="K55" s="554"/>
      <c r="L55" s="554"/>
      <c r="M55" s="555"/>
    </row>
    <row r="56" spans="1:15" hidden="1" x14ac:dyDescent="0.25">
      <c r="A56" s="494">
        <f>A54</f>
        <v>44485.611111111146</v>
      </c>
      <c r="B56" s="493">
        <f>B54</f>
        <v>44485.611111111146</v>
      </c>
      <c r="C56" s="498">
        <v>0.125</v>
      </c>
      <c r="D56" s="498"/>
      <c r="E56" s="493">
        <f>B56+C56</f>
        <v>44485.736111111146</v>
      </c>
      <c r="F56" s="546" t="s">
        <v>2470</v>
      </c>
      <c r="G56" s="547"/>
      <c r="H56" s="550"/>
      <c r="I56" s="548"/>
      <c r="J56" s="548"/>
      <c r="K56" s="548"/>
      <c r="L56" s="549"/>
      <c r="M56" s="552"/>
    </row>
    <row r="57" spans="1:15" hidden="1" x14ac:dyDescent="0.25">
      <c r="A57" s="563">
        <f>IF(D54 = "",A54+C54,A54+D54)</f>
        <v>44485.881944444482</v>
      </c>
      <c r="B57" s="564">
        <f>IF(D54 = "",B54+C54,B54+D54)</f>
        <v>44485.881944444482</v>
      </c>
      <c r="C57" s="562">
        <v>0</v>
      </c>
      <c r="D57" s="562"/>
      <c r="E57" s="564">
        <f>B57+C57</f>
        <v>44485.881944444482</v>
      </c>
      <c r="F57" s="565" t="s">
        <v>2634</v>
      </c>
      <c r="G57" s="787"/>
      <c r="H57" s="788"/>
      <c r="I57" s="788"/>
      <c r="J57" s="788"/>
      <c r="K57" s="788"/>
      <c r="L57" s="789"/>
      <c r="M57" s="790"/>
      <c r="O57" s="530"/>
    </row>
    <row r="58" spans="1:15" x14ac:dyDescent="0.25">
      <c r="A58" s="31">
        <f>IF(D57 = "",A57+C57,A57+D57)</f>
        <v>44485.881944444482</v>
      </c>
      <c r="B58" s="37">
        <f>IF(D57 = "",B57+C57,B57+D57)</f>
        <v>44485.881944444482</v>
      </c>
      <c r="C58" s="170">
        <v>0.27083333333333331</v>
      </c>
      <c r="D58" s="327"/>
      <c r="E58" s="37">
        <f t="shared" si="2"/>
        <v>44486.152777777817</v>
      </c>
      <c r="F58" s="476" t="s">
        <v>2459</v>
      </c>
      <c r="G58" s="480"/>
      <c r="H58" s="481"/>
      <c r="I58" s="481"/>
      <c r="J58" s="481"/>
      <c r="K58" s="481">
        <v>450</v>
      </c>
      <c r="L58" s="481">
        <v>450</v>
      </c>
      <c r="M58" s="478"/>
      <c r="N58" s="25" t="s">
        <v>2471</v>
      </c>
      <c r="O58" s="530">
        <f>SUM(K28:K58)</f>
        <v>2683</v>
      </c>
    </row>
    <row r="59" spans="1:15" x14ac:dyDescent="0.25">
      <c r="A59" s="31">
        <f t="shared" ref="A59:A75" si="12">IF(D58 = "",A58+C58,A58+D58)</f>
        <v>44486.152777777817</v>
      </c>
      <c r="B59" s="37">
        <f t="shared" ref="B59:B75" si="13">IF(D58 = "",B58+C58,B58+D58)</f>
        <v>44486.152777777817</v>
      </c>
      <c r="C59" s="170">
        <v>6.25E-2</v>
      </c>
      <c r="D59" s="327"/>
      <c r="E59" s="37">
        <f t="shared" si="2"/>
        <v>44486.215277777817</v>
      </c>
      <c r="F59" s="476" t="s">
        <v>647</v>
      </c>
      <c r="G59" s="480"/>
      <c r="H59" s="481"/>
      <c r="I59" s="481"/>
      <c r="J59" s="481"/>
      <c r="K59" s="481"/>
      <c r="L59" s="481"/>
      <c r="M59" s="478"/>
    </row>
    <row r="60" spans="1:15" x14ac:dyDescent="0.25">
      <c r="A60" s="31">
        <f t="shared" si="12"/>
        <v>44486.215277777817</v>
      </c>
      <c r="B60" s="37">
        <f t="shared" si="13"/>
        <v>44486.215277777817</v>
      </c>
      <c r="C60" s="170">
        <v>7.6388888888888895E-2</v>
      </c>
      <c r="D60" s="327"/>
      <c r="E60" s="37">
        <f t="shared" si="2"/>
        <v>44486.291666666708</v>
      </c>
      <c r="F60" s="476" t="s">
        <v>642</v>
      </c>
      <c r="G60" s="480"/>
      <c r="H60" s="481"/>
      <c r="I60" s="481"/>
      <c r="J60" s="481"/>
      <c r="K60" s="481">
        <v>783</v>
      </c>
      <c r="L60" s="481">
        <v>783</v>
      </c>
      <c r="M60" s="478"/>
    </row>
    <row r="61" spans="1:15" ht="12.75" customHeight="1" x14ac:dyDescent="0.25">
      <c r="A61" s="31">
        <f t="shared" si="12"/>
        <v>44486.291666666708</v>
      </c>
      <c r="B61" s="332">
        <f t="shared" si="13"/>
        <v>44486.291666666708</v>
      </c>
      <c r="C61" s="398">
        <v>2.0833333333333332E-2</v>
      </c>
      <c r="D61" s="327"/>
      <c r="E61" s="37">
        <f t="shared" si="2"/>
        <v>44486.312500000044</v>
      </c>
      <c r="F61" s="476" t="s">
        <v>2463</v>
      </c>
      <c r="G61" s="480"/>
      <c r="H61" s="489"/>
      <c r="I61" s="489"/>
      <c r="J61" s="489"/>
      <c r="K61" s="489">
        <v>100</v>
      </c>
      <c r="L61" s="543">
        <v>100</v>
      </c>
      <c r="M61" s="487"/>
    </row>
    <row r="62" spans="1:15" ht="12.75" customHeight="1" x14ac:dyDescent="0.25">
      <c r="A62" s="31">
        <f t="shared" si="12"/>
        <v>44486.312500000044</v>
      </c>
      <c r="B62" s="332">
        <f t="shared" si="13"/>
        <v>44486.312500000044</v>
      </c>
      <c r="C62" s="170" t="s">
        <v>99</v>
      </c>
      <c r="D62" s="327"/>
      <c r="E62" s="37" t="s">
        <v>99</v>
      </c>
      <c r="F62" s="484" t="s">
        <v>2638</v>
      </c>
      <c r="G62" s="480"/>
      <c r="H62" s="489"/>
      <c r="I62" s="489"/>
      <c r="J62" s="489"/>
      <c r="K62" s="489"/>
      <c r="L62" s="487"/>
      <c r="M62" s="487"/>
    </row>
    <row r="63" spans="1:15" x14ac:dyDescent="0.25">
      <c r="A63" s="31">
        <f>IF(D61 = "",A61+C61,A61+D61)</f>
        <v>44486.312500000044</v>
      </c>
      <c r="B63" s="37">
        <f>IF(D61 = "",B61+C61,B61+D61)</f>
        <v>44486.312500000044</v>
      </c>
      <c r="C63" s="170">
        <v>6.25E-2</v>
      </c>
      <c r="D63" s="327"/>
      <c r="E63" s="37">
        <f t="shared" si="2"/>
        <v>44486.375000000044</v>
      </c>
      <c r="F63" s="476" t="s">
        <v>647</v>
      </c>
      <c r="G63" s="480"/>
      <c r="H63" s="481"/>
      <c r="I63" s="481"/>
      <c r="J63" s="481"/>
      <c r="K63" s="481"/>
      <c r="L63" s="481"/>
      <c r="M63" s="478"/>
    </row>
    <row r="64" spans="1:15" x14ac:dyDescent="0.25">
      <c r="A64" s="31">
        <f t="shared" si="12"/>
        <v>44486.375000000044</v>
      </c>
      <c r="B64" s="37">
        <f t="shared" si="13"/>
        <v>44486.375000000044</v>
      </c>
      <c r="C64" s="170">
        <v>8.3333333333333329E-2</v>
      </c>
      <c r="D64" s="327"/>
      <c r="E64" s="37">
        <f t="shared" si="2"/>
        <v>44486.458333333379</v>
      </c>
      <c r="F64" s="476" t="s">
        <v>2462</v>
      </c>
      <c r="G64" s="480"/>
      <c r="H64" s="481"/>
      <c r="I64" s="481"/>
      <c r="J64" s="481"/>
      <c r="K64" s="481"/>
      <c r="L64" s="481"/>
      <c r="M64" s="478"/>
    </row>
    <row r="65" spans="1:15" ht="12.75" customHeight="1" x14ac:dyDescent="0.25">
      <c r="A65" s="31">
        <f t="shared" si="12"/>
        <v>44486.458333333379</v>
      </c>
      <c r="B65" s="37">
        <f t="shared" si="13"/>
        <v>44486.458333333379</v>
      </c>
      <c r="C65" s="398">
        <v>2.7777777777777776E-2</v>
      </c>
      <c r="D65" s="420"/>
      <c r="E65" s="421">
        <f t="shared" si="2"/>
        <v>44486.48611111116</v>
      </c>
      <c r="F65" s="568" t="s">
        <v>632</v>
      </c>
      <c r="G65" s="480"/>
      <c r="H65" s="783"/>
      <c r="I65" s="783">
        <v>53.22811529933481</v>
      </c>
      <c r="J65" s="783"/>
      <c r="K65" s="783"/>
      <c r="L65" s="784">
        <f>SUM(H65:I65,K65)</f>
        <v>53.22811529933481</v>
      </c>
      <c r="M65" s="393"/>
    </row>
    <row r="66" spans="1:15" ht="12.75" customHeight="1" x14ac:dyDescent="0.25">
      <c r="A66" s="31"/>
      <c r="B66" s="37"/>
      <c r="C66" s="398"/>
      <c r="D66" s="420"/>
      <c r="E66" s="421"/>
      <c r="F66" s="569" t="s">
        <v>2650</v>
      </c>
      <c r="G66" s="480"/>
      <c r="H66" s="783"/>
      <c r="I66" s="783"/>
      <c r="J66" s="783"/>
      <c r="K66" s="783"/>
      <c r="L66" s="784"/>
      <c r="M66" s="393"/>
    </row>
    <row r="67" spans="1:15" ht="12.75" customHeight="1" x14ac:dyDescent="0.25">
      <c r="A67" s="31">
        <f>IF(D65 = "",A65+C65,A65+D65)</f>
        <v>44486.48611111116</v>
      </c>
      <c r="B67" s="37">
        <f>IF(D65 = "",B65+C65,B65+D65)</f>
        <v>44486.48611111116</v>
      </c>
      <c r="C67" s="398">
        <v>0.1388888888888889</v>
      </c>
      <c r="D67" s="420"/>
      <c r="E67" s="421">
        <f t="shared" si="2"/>
        <v>44486.625000000051</v>
      </c>
      <c r="F67" s="568" t="s">
        <v>2643</v>
      </c>
      <c r="G67" s="480"/>
      <c r="H67" s="783"/>
      <c r="I67" s="783">
        <v>402.40454545454548</v>
      </c>
      <c r="J67" s="783"/>
      <c r="K67" s="783"/>
      <c r="L67" s="784">
        <f>SUM(H67:I67,K67)</f>
        <v>402.40454545454548</v>
      </c>
      <c r="M67" s="393"/>
    </row>
    <row r="68" spans="1:15" ht="12.75" customHeight="1" x14ac:dyDescent="0.25">
      <c r="A68" s="31">
        <f t="shared" si="12"/>
        <v>44486.625000000051</v>
      </c>
      <c r="B68" s="37">
        <f t="shared" si="13"/>
        <v>44486.625000000051</v>
      </c>
      <c r="C68" s="398">
        <v>0.1388888888888889</v>
      </c>
      <c r="D68" s="420"/>
      <c r="E68" s="421">
        <f t="shared" si="2"/>
        <v>44486.763888888941</v>
      </c>
      <c r="F68" s="568" t="s">
        <v>2644</v>
      </c>
      <c r="G68" s="480"/>
      <c r="H68" s="783"/>
      <c r="I68" s="783">
        <v>401.28492239467846</v>
      </c>
      <c r="J68" s="783"/>
      <c r="K68" s="783"/>
      <c r="L68" s="784">
        <f>SUM(H68:I68,K68)</f>
        <v>401.28492239467846</v>
      </c>
      <c r="M68" s="393"/>
    </row>
    <row r="69" spans="1:15" ht="12.75" customHeight="1" x14ac:dyDescent="0.25">
      <c r="A69" s="31">
        <f t="shared" si="12"/>
        <v>44486.763888888941</v>
      </c>
      <c r="B69" s="37">
        <f t="shared" si="13"/>
        <v>44486.763888888941</v>
      </c>
      <c r="C69" s="398">
        <v>0.1388888888888889</v>
      </c>
      <c r="D69" s="420"/>
      <c r="E69" s="421">
        <f t="shared" si="2"/>
        <v>44486.902777777832</v>
      </c>
      <c r="F69" s="568" t="s">
        <v>2645</v>
      </c>
      <c r="G69" s="480"/>
      <c r="H69" s="783"/>
      <c r="I69" s="783">
        <v>408.38339999999999</v>
      </c>
      <c r="J69" s="783"/>
      <c r="K69" s="783"/>
      <c r="L69" s="784">
        <f>SUM(H69:I69,K69)</f>
        <v>408.38339999999999</v>
      </c>
      <c r="M69" s="393"/>
      <c r="N69" s="1067" t="s">
        <v>652</v>
      </c>
      <c r="O69" s="1067"/>
    </row>
    <row r="70" spans="1:15" ht="12.75" customHeight="1" x14ac:dyDescent="0.25">
      <c r="A70" s="31">
        <f t="shared" si="12"/>
        <v>44486.902777777832</v>
      </c>
      <c r="B70" s="37">
        <f t="shared" si="13"/>
        <v>44486.902777777832</v>
      </c>
      <c r="C70" s="398">
        <v>0.1388888888888889</v>
      </c>
      <c r="D70" s="420"/>
      <c r="E70" s="421">
        <f t="shared" si="2"/>
        <v>44487.041666666722</v>
      </c>
      <c r="F70" s="568" t="s">
        <v>2646</v>
      </c>
      <c r="G70" s="480"/>
      <c r="H70" s="783"/>
      <c r="I70" s="783">
        <v>302.87261640798226</v>
      </c>
      <c r="J70" s="783"/>
      <c r="K70" s="783"/>
      <c r="L70" s="784">
        <f>SUM(H70:I70,K70)</f>
        <v>302.87261640798226</v>
      </c>
      <c r="M70" s="393"/>
      <c r="N70" s="791" t="s">
        <v>2651</v>
      </c>
      <c r="O70" s="783">
        <f>SUM(H71:H89)</f>
        <v>0</v>
      </c>
    </row>
    <row r="71" spans="1:15" ht="12.75" customHeight="1" x14ac:dyDescent="0.25">
      <c r="A71" s="31">
        <f t="shared" si="12"/>
        <v>44487.041666666722</v>
      </c>
      <c r="B71" s="37">
        <f t="shared" si="13"/>
        <v>44487.041666666722</v>
      </c>
      <c r="C71" s="398">
        <v>2.7777777777777776E-2</v>
      </c>
      <c r="D71" s="420"/>
      <c r="E71" s="421">
        <f t="shared" si="2"/>
        <v>44487.069444444503</v>
      </c>
      <c r="F71" s="568" t="s">
        <v>2463</v>
      </c>
      <c r="G71" s="480"/>
      <c r="H71" s="783"/>
      <c r="I71" s="783"/>
      <c r="J71" s="783"/>
      <c r="K71" s="783"/>
      <c r="L71" s="784"/>
      <c r="M71" s="393"/>
      <c r="N71" s="791" t="s">
        <v>2647</v>
      </c>
      <c r="O71" s="783">
        <f>SUM(I71:I89)</f>
        <v>0</v>
      </c>
    </row>
    <row r="72" spans="1:15" ht="12.75" customHeight="1" x14ac:dyDescent="0.25">
      <c r="A72" s="31">
        <f t="shared" si="12"/>
        <v>44487.069444444503</v>
      </c>
      <c r="B72" s="37">
        <f t="shared" si="13"/>
        <v>44487.069444444503</v>
      </c>
      <c r="C72" s="398" t="s">
        <v>99</v>
      </c>
      <c r="D72" s="420"/>
      <c r="E72" s="421" t="s">
        <v>99</v>
      </c>
      <c r="F72" s="569" t="s">
        <v>2639</v>
      </c>
      <c r="G72" s="480"/>
      <c r="H72" s="783"/>
      <c r="I72" s="783"/>
      <c r="J72" s="783"/>
      <c r="K72" s="783"/>
      <c r="L72" s="784"/>
      <c r="M72" s="393"/>
      <c r="N72" s="791" t="s">
        <v>682</v>
      </c>
      <c r="O72" s="783">
        <f>SUM(L71:L89)</f>
        <v>3778</v>
      </c>
    </row>
    <row r="73" spans="1:15" ht="12.75" customHeight="1" x14ac:dyDescent="0.25">
      <c r="A73" s="31">
        <f>IF(D71 = "",A71+C71,A71+D71)</f>
        <v>44487.069444444503</v>
      </c>
      <c r="B73" s="37">
        <f>IF(D71 = "",B71+C71,B71+D71)</f>
        <v>44487.069444444503</v>
      </c>
      <c r="C73" s="423">
        <v>6.25E-2</v>
      </c>
      <c r="D73" s="420"/>
      <c r="E73" s="421">
        <f>B73+C73</f>
        <v>44487.131944444503</v>
      </c>
      <c r="F73" s="568" t="s">
        <v>656</v>
      </c>
      <c r="G73" s="480"/>
      <c r="H73" s="783"/>
      <c r="I73" s="783"/>
      <c r="J73" s="783"/>
      <c r="K73" s="783"/>
      <c r="L73" s="784"/>
      <c r="M73" s="393"/>
    </row>
    <row r="74" spans="1:15" x14ac:dyDescent="0.25">
      <c r="A74" s="31">
        <f t="shared" si="12"/>
        <v>44487.131944444503</v>
      </c>
      <c r="B74" s="37">
        <f t="shared" si="13"/>
        <v>44487.131944444503</v>
      </c>
      <c r="C74" s="170">
        <v>2.0833333333333332E-2</v>
      </c>
      <c r="D74" s="327"/>
      <c r="E74" s="37">
        <f>B74+C74</f>
        <v>44487.152777777839</v>
      </c>
      <c r="F74" s="476" t="s">
        <v>2472</v>
      </c>
      <c r="G74" s="480"/>
      <c r="H74" s="481"/>
      <c r="I74" s="481"/>
      <c r="J74" s="481"/>
      <c r="K74" s="481">
        <v>134</v>
      </c>
      <c r="L74" s="481">
        <v>134</v>
      </c>
      <c r="M74" s="478"/>
    </row>
    <row r="75" spans="1:15" x14ac:dyDescent="0.25">
      <c r="A75" s="31">
        <f t="shared" si="12"/>
        <v>44487.152777777839</v>
      </c>
      <c r="B75" s="37">
        <f t="shared" si="13"/>
        <v>44487.152777777839</v>
      </c>
      <c r="C75" s="170">
        <v>2.0833333333333332E-2</v>
      </c>
      <c r="D75" s="327"/>
      <c r="E75" s="37">
        <f>B75+C75</f>
        <v>44487.173611111175</v>
      </c>
      <c r="F75" s="476" t="s">
        <v>2549</v>
      </c>
      <c r="G75" s="480"/>
      <c r="H75" s="481"/>
      <c r="I75" s="481"/>
      <c r="J75" s="481"/>
      <c r="K75" s="481"/>
      <c r="L75" s="793"/>
      <c r="M75" s="478"/>
    </row>
    <row r="76" spans="1:15" x14ac:dyDescent="0.25">
      <c r="A76" s="280" t="s">
        <v>2473</v>
      </c>
      <c r="B76" s="280"/>
      <c r="C76" s="280"/>
      <c r="D76" s="280"/>
      <c r="E76" s="280"/>
      <c r="F76" s="280"/>
      <c r="G76" s="280"/>
      <c r="H76" s="284"/>
      <c r="I76" s="284"/>
      <c r="J76" s="284"/>
      <c r="K76" s="284"/>
      <c r="L76" s="285"/>
      <c r="M76" s="341"/>
    </row>
    <row r="77" spans="1:15" x14ac:dyDescent="0.25">
      <c r="A77" s="31">
        <f>IF(D75 = "",A75+C75,A75+D75)</f>
        <v>44487.173611111175</v>
      </c>
      <c r="B77" s="37">
        <f>IF(D75 = "",B75+C75,B75+D75)</f>
        <v>44487.173611111175</v>
      </c>
      <c r="C77" s="170">
        <v>0</v>
      </c>
      <c r="D77" s="327"/>
      <c r="E77" s="37">
        <f>B77+C77</f>
        <v>44487.173611111175</v>
      </c>
      <c r="F77" s="476" t="s">
        <v>2472</v>
      </c>
      <c r="G77" s="480"/>
      <c r="H77" s="481"/>
      <c r="I77" s="481"/>
      <c r="J77" s="481"/>
      <c r="K77" s="481"/>
      <c r="L77" s="478"/>
      <c r="M77" s="478"/>
    </row>
    <row r="78" spans="1:15" x14ac:dyDescent="0.25">
      <c r="A78" s="31">
        <f>IF(D77 = "",A77+C77,A77+D77)</f>
        <v>44487.173611111175</v>
      </c>
      <c r="B78" s="37">
        <f>IF(D77 = "",B77+C77,B77+D77)</f>
        <v>44487.173611111175</v>
      </c>
      <c r="C78" s="170">
        <v>0</v>
      </c>
      <c r="D78" s="327"/>
      <c r="E78" s="37">
        <f t="shared" ref="E78:E90" si="14">B78+C78</f>
        <v>44487.173611111175</v>
      </c>
      <c r="F78" s="476"/>
      <c r="G78" s="480"/>
      <c r="H78" s="481"/>
      <c r="I78" s="481"/>
      <c r="J78" s="481"/>
      <c r="K78" s="481"/>
      <c r="L78" s="478"/>
      <c r="M78" s="478"/>
    </row>
    <row r="79" spans="1:15" x14ac:dyDescent="0.25">
      <c r="A79" s="31">
        <f>IF(D78 = "",A78+C78,A78+D78)</f>
        <v>44487.173611111175</v>
      </c>
      <c r="B79" s="37">
        <f t="shared" ref="B79:B89" si="15">IF(D78 = "",B78+C78,B78+D78)</f>
        <v>44487.173611111175</v>
      </c>
      <c r="C79" s="431">
        <v>6.25E-2</v>
      </c>
      <c r="D79" s="327"/>
      <c r="E79" s="37">
        <f t="shared" si="14"/>
        <v>44487.236111111175</v>
      </c>
      <c r="F79" s="476" t="s">
        <v>2461</v>
      </c>
      <c r="G79" s="480"/>
      <c r="H79" s="481"/>
      <c r="I79" s="481"/>
      <c r="J79" s="481"/>
      <c r="K79" s="481">
        <v>1621</v>
      </c>
      <c r="L79" s="479">
        <v>1621</v>
      </c>
      <c r="M79" s="478"/>
    </row>
    <row r="80" spans="1:15" x14ac:dyDescent="0.25">
      <c r="A80" s="31">
        <f t="shared" ref="A80:A89" si="16">IF(D79 = "",A79+C79,A79+D79)</f>
        <v>44487.236111111175</v>
      </c>
      <c r="B80" s="37">
        <f t="shared" si="15"/>
        <v>44487.236111111175</v>
      </c>
      <c r="C80" s="432">
        <v>0.14583333333333334</v>
      </c>
      <c r="D80" s="327"/>
      <c r="E80" s="37">
        <f t="shared" si="14"/>
        <v>44487.381944444511</v>
      </c>
      <c r="F80" s="476" t="s">
        <v>2475</v>
      </c>
      <c r="G80" s="480"/>
      <c r="H80" s="481"/>
      <c r="I80" s="481"/>
      <c r="J80" s="481"/>
      <c r="K80" s="481">
        <v>260</v>
      </c>
      <c r="L80" s="481">
        <v>260</v>
      </c>
      <c r="M80" s="478"/>
    </row>
    <row r="81" spans="1:15" x14ac:dyDescent="0.25">
      <c r="A81" s="31">
        <f>IF(D80 = "",A80+C80,A80+D80)</f>
        <v>44487.381944444511</v>
      </c>
      <c r="B81" s="37">
        <f t="shared" si="15"/>
        <v>44487.381944444511</v>
      </c>
      <c r="C81" s="432">
        <v>0.14583333333333334</v>
      </c>
      <c r="D81" s="327"/>
      <c r="E81" s="37">
        <f t="shared" si="14"/>
        <v>44487.527777777846</v>
      </c>
      <c r="F81" s="476" t="s">
        <v>2476</v>
      </c>
      <c r="G81" s="480"/>
      <c r="H81" s="481"/>
      <c r="I81" s="481"/>
      <c r="J81" s="481"/>
      <c r="K81" s="481">
        <v>260</v>
      </c>
      <c r="L81" s="481">
        <v>260</v>
      </c>
      <c r="M81" s="478"/>
    </row>
    <row r="82" spans="1:15" x14ac:dyDescent="0.25">
      <c r="A82" s="31">
        <f>IF(D81 = "",A81+C81,A81+D81)</f>
        <v>44487.527777777846</v>
      </c>
      <c r="B82" s="37">
        <f t="shared" si="15"/>
        <v>44487.527777777846</v>
      </c>
      <c r="C82" s="432">
        <v>0.14583333333333334</v>
      </c>
      <c r="D82" s="327"/>
      <c r="E82" s="37">
        <f t="shared" si="14"/>
        <v>44487.673611111182</v>
      </c>
      <c r="F82" s="476" t="s">
        <v>2477</v>
      </c>
      <c r="G82" s="480"/>
      <c r="H82" s="481"/>
      <c r="I82" s="481"/>
      <c r="J82" s="481"/>
      <c r="K82" s="481">
        <v>260</v>
      </c>
      <c r="L82" s="481">
        <v>260</v>
      </c>
      <c r="M82" s="478"/>
      <c r="N82" s="25" t="s">
        <v>2478</v>
      </c>
      <c r="O82" s="530">
        <f>SUM(K59:K82)</f>
        <v>3418</v>
      </c>
    </row>
    <row r="83" spans="1:15" x14ac:dyDescent="0.25">
      <c r="A83" s="31">
        <f>IF(D82 = "",A82+C82,A82+D82)</f>
        <v>44487.673611111182</v>
      </c>
      <c r="B83" s="37">
        <f t="shared" si="15"/>
        <v>44487.673611111182</v>
      </c>
      <c r="C83" s="432">
        <v>0.125</v>
      </c>
      <c r="D83" s="327"/>
      <c r="E83" s="37">
        <f t="shared" si="14"/>
        <v>44487.798611111182</v>
      </c>
      <c r="F83" s="476" t="s">
        <v>647</v>
      </c>
      <c r="G83" s="480"/>
      <c r="H83" s="481"/>
      <c r="I83" s="481"/>
      <c r="J83" s="481"/>
      <c r="K83" s="481"/>
      <c r="L83" s="481"/>
      <c r="M83" s="478"/>
      <c r="N83" s="25" t="s">
        <v>2479</v>
      </c>
      <c r="O83" s="530">
        <f>SUM(L16:L82)</f>
        <v>11420.967147228381</v>
      </c>
    </row>
    <row r="84" spans="1:15" x14ac:dyDescent="0.25">
      <c r="A84" s="31">
        <f t="shared" si="16"/>
        <v>44487.798611111182</v>
      </c>
      <c r="B84" s="37">
        <f t="shared" si="15"/>
        <v>44487.798611111182</v>
      </c>
      <c r="C84" s="431">
        <v>0.125</v>
      </c>
      <c r="D84" s="327"/>
      <c r="E84" s="37">
        <f t="shared" si="14"/>
        <v>44487.923611111182</v>
      </c>
      <c r="F84" s="476" t="s">
        <v>597</v>
      </c>
      <c r="G84" s="480"/>
      <c r="H84" s="481"/>
      <c r="I84" s="481"/>
      <c r="J84" s="481"/>
      <c r="K84" s="481"/>
      <c r="L84" s="481"/>
      <c r="M84" s="478"/>
    </row>
    <row r="85" spans="1:15" x14ac:dyDescent="0.25">
      <c r="A85" s="31">
        <f t="shared" si="16"/>
        <v>44487.923611111182</v>
      </c>
      <c r="B85" s="37">
        <f t="shared" si="15"/>
        <v>44487.923611111182</v>
      </c>
      <c r="C85" s="431">
        <v>2.0833333333333332E-2</v>
      </c>
      <c r="D85" s="327"/>
      <c r="E85" s="37">
        <f t="shared" si="14"/>
        <v>44487.944444444518</v>
      </c>
      <c r="F85" s="476" t="s">
        <v>2461</v>
      </c>
      <c r="G85" s="480"/>
      <c r="H85" s="481"/>
      <c r="I85" s="481"/>
      <c r="J85" s="481"/>
      <c r="K85" s="481">
        <v>1206</v>
      </c>
      <c r="L85" s="481">
        <v>1206</v>
      </c>
      <c r="M85" s="478"/>
    </row>
    <row r="86" spans="1:15" x14ac:dyDescent="0.25">
      <c r="A86" s="31">
        <f t="shared" si="16"/>
        <v>44487.944444444518</v>
      </c>
      <c r="B86" s="37">
        <f t="shared" si="15"/>
        <v>44487.944444444518</v>
      </c>
      <c r="C86" s="433">
        <v>0.10416666666666667</v>
      </c>
      <c r="D86" s="327"/>
      <c r="E86" s="37">
        <f t="shared" si="14"/>
        <v>44488.048611111182</v>
      </c>
      <c r="F86" s="476" t="s">
        <v>647</v>
      </c>
      <c r="G86" s="480"/>
      <c r="H86" s="481"/>
      <c r="I86" s="481"/>
      <c r="J86" s="481"/>
      <c r="K86" s="481"/>
      <c r="L86" s="481"/>
      <c r="M86" s="478"/>
    </row>
    <row r="87" spans="1:15" x14ac:dyDescent="0.25">
      <c r="A87" s="31">
        <f t="shared" si="16"/>
        <v>44488.048611111182</v>
      </c>
      <c r="B87" s="37">
        <f t="shared" si="15"/>
        <v>44488.048611111182</v>
      </c>
      <c r="C87" s="431">
        <v>4.1666666666666664E-2</v>
      </c>
      <c r="D87" s="327" t="str">
        <f>IF(_xlfn.ISFORMULA(E87)=TRUE,"",E87-B87)</f>
        <v/>
      </c>
      <c r="E87" s="37">
        <f t="shared" si="14"/>
        <v>44488.090277777846</v>
      </c>
      <c r="F87" s="476" t="s">
        <v>648</v>
      </c>
      <c r="G87" s="480"/>
      <c r="H87" s="481"/>
      <c r="I87" s="481"/>
      <c r="J87" s="481"/>
      <c r="K87" s="481"/>
      <c r="L87" s="481"/>
      <c r="M87" s="478"/>
    </row>
    <row r="88" spans="1:15" x14ac:dyDescent="0.25">
      <c r="A88" s="31">
        <f t="shared" si="16"/>
        <v>44488.090277777846</v>
      </c>
      <c r="B88" s="37">
        <f t="shared" si="15"/>
        <v>44488.090277777846</v>
      </c>
      <c r="C88" s="431">
        <v>2.0833333333333332E-2</v>
      </c>
      <c r="D88" s="327" t="str">
        <f>IF(_xlfn.ISFORMULA(E88)=TRUE,"",E88-B88)</f>
        <v/>
      </c>
      <c r="E88" s="37">
        <f t="shared" si="14"/>
        <v>44488.111111111182</v>
      </c>
      <c r="F88" s="476" t="s">
        <v>598</v>
      </c>
      <c r="G88" s="480"/>
      <c r="H88" s="481"/>
      <c r="I88" s="481"/>
      <c r="J88" s="481"/>
      <c r="K88" s="481">
        <v>37</v>
      </c>
      <c r="L88" s="481">
        <v>37</v>
      </c>
      <c r="M88" s="478"/>
    </row>
    <row r="89" spans="1:15" x14ac:dyDescent="0.25">
      <c r="A89" s="31">
        <f t="shared" si="16"/>
        <v>44488.111111111182</v>
      </c>
      <c r="B89" s="37">
        <f t="shared" si="15"/>
        <v>44488.111111111182</v>
      </c>
      <c r="C89" s="437" t="s">
        <v>99</v>
      </c>
      <c r="D89" s="327"/>
      <c r="E89" s="37" t="s">
        <v>99</v>
      </c>
      <c r="F89" s="484" t="s">
        <v>2640</v>
      </c>
      <c r="G89" s="480"/>
      <c r="H89" s="481"/>
      <c r="I89" s="481"/>
      <c r="J89" s="481"/>
      <c r="K89" s="481"/>
      <c r="L89" s="479"/>
      <c r="M89" s="478"/>
    </row>
    <row r="90" spans="1:15" x14ac:dyDescent="0.25">
      <c r="A90" s="31">
        <f>IF(D88 = "",A88+C88,A88+D88)</f>
        <v>44488.111111111182</v>
      </c>
      <c r="B90" s="37">
        <f>IF(D88 = "",B88+C88,B88+D88)</f>
        <v>44488.111111111182</v>
      </c>
      <c r="C90" s="437">
        <v>0.10416666666666667</v>
      </c>
      <c r="D90" s="327" t="str">
        <f t="shared" ref="D90" si="17">IF(_xlfn.ISFORMULA(E90)=TRUE,"",E90-B90)</f>
        <v/>
      </c>
      <c r="E90" s="37">
        <f t="shared" si="14"/>
        <v>44488.215277777846</v>
      </c>
      <c r="F90" s="476" t="s">
        <v>656</v>
      </c>
      <c r="G90" s="480"/>
      <c r="H90" s="481"/>
      <c r="I90" s="481"/>
      <c r="J90" s="481"/>
      <c r="K90" s="481"/>
      <c r="L90" s="479"/>
      <c r="M90" s="478"/>
    </row>
    <row r="91" spans="1:15" x14ac:dyDescent="0.25">
      <c r="A91" s="31"/>
      <c r="B91" s="37"/>
      <c r="C91" s="437"/>
      <c r="D91" s="327"/>
      <c r="E91" s="37"/>
      <c r="F91" s="476" t="s">
        <v>2472</v>
      </c>
      <c r="G91" s="480"/>
      <c r="H91" s="481"/>
      <c r="I91" s="481"/>
      <c r="J91" s="481"/>
      <c r="K91" s="481"/>
      <c r="L91" s="794"/>
      <c r="M91" s="478"/>
    </row>
    <row r="92" spans="1:15" x14ac:dyDescent="0.25">
      <c r="A92" s="31"/>
      <c r="B92" s="37"/>
      <c r="C92" s="437"/>
      <c r="D92" s="327"/>
      <c r="E92" s="37"/>
      <c r="F92" s="476" t="s">
        <v>2549</v>
      </c>
      <c r="G92" s="480"/>
      <c r="H92" s="481"/>
      <c r="I92" s="481"/>
      <c r="J92" s="481"/>
      <c r="K92" s="481"/>
      <c r="L92" s="794"/>
      <c r="M92" s="478"/>
    </row>
    <row r="93" spans="1:15" x14ac:dyDescent="0.25">
      <c r="A93" s="31"/>
      <c r="B93" s="37"/>
      <c r="C93" s="437"/>
      <c r="D93" s="327"/>
      <c r="E93" s="37"/>
      <c r="F93" s="569" t="s">
        <v>2652</v>
      </c>
      <c r="G93" s="480"/>
      <c r="H93" s="481"/>
      <c r="I93" s="481"/>
      <c r="J93" s="481"/>
      <c r="K93" s="481"/>
      <c r="L93" s="794"/>
      <c r="M93" s="478"/>
    </row>
    <row r="94" spans="1:15" x14ac:dyDescent="0.25">
      <c r="A94" s="31"/>
      <c r="B94" s="37"/>
      <c r="C94" s="437"/>
      <c r="D94" s="327"/>
      <c r="E94" s="37"/>
      <c r="F94" s="476" t="s">
        <v>647</v>
      </c>
      <c r="G94" s="480"/>
      <c r="H94" s="481"/>
      <c r="I94" s="481"/>
      <c r="J94" s="481"/>
      <c r="K94" s="481"/>
      <c r="L94" s="794"/>
      <c r="M94" s="478"/>
    </row>
    <row r="95" spans="1:15" x14ac:dyDescent="0.25">
      <c r="A95" s="280" t="s">
        <v>2474</v>
      </c>
      <c r="B95" s="280"/>
      <c r="C95" s="280"/>
      <c r="D95" s="280"/>
      <c r="E95" s="280"/>
      <c r="F95" s="280"/>
      <c r="G95" s="280"/>
      <c r="H95" s="284"/>
      <c r="I95" s="284"/>
      <c r="J95" s="284"/>
      <c r="K95" s="284"/>
      <c r="L95" s="285"/>
      <c r="M95" s="341"/>
    </row>
    <row r="96" spans="1:15" x14ac:dyDescent="0.25">
      <c r="A96" s="31">
        <f>IF(D90 = "",A90+C90,A90+D90)</f>
        <v>44488.215277777846</v>
      </c>
      <c r="B96" s="37">
        <f>IF(D85 = "",B85+C85,B85+D85)</f>
        <v>44487.944444444518</v>
      </c>
      <c r="C96" s="170">
        <v>0.10416666666666667</v>
      </c>
      <c r="D96" s="327"/>
      <c r="E96" s="37">
        <f>B96+C96</f>
        <v>44488.048611111182</v>
      </c>
      <c r="F96" s="484" t="s">
        <v>2451</v>
      </c>
      <c r="G96" s="480"/>
      <c r="H96" s="481"/>
      <c r="I96" s="481"/>
      <c r="J96" s="481"/>
      <c r="K96" s="481"/>
      <c r="L96" s="794"/>
      <c r="M96" s="478"/>
    </row>
    <row r="97" spans="1:13" x14ac:dyDescent="0.25">
      <c r="G97" s="26"/>
      <c r="H97" s="481"/>
      <c r="I97" s="481"/>
      <c r="J97" s="481"/>
      <c r="K97" s="481">
        <f>SUM(K16:K96)</f>
        <v>8929</v>
      </c>
      <c r="L97" s="479">
        <f>SUM(L16:L24)+SUM(L27:L46)+SUM(L49:L54)+SUM(L56:L74)+SUM(L77:L90)</f>
        <v>12663.967147228381</v>
      </c>
      <c r="M97" s="478"/>
    </row>
    <row r="98" spans="1:13" hidden="1" x14ac:dyDescent="0.25">
      <c r="A98" s="485"/>
      <c r="B98" s="33" t="s">
        <v>534</v>
      </c>
      <c r="C98" s="32" t="e">
        <f>SUM(C49:C97,C17:C30,#REF!,#REF!,#REF!)</f>
        <v>#REF!</v>
      </c>
      <c r="D98" s="32" t="e">
        <f>SUM(D49:D97,D17:D30,#REF!,#REF!,#REF!,#REF!,#REF!)</f>
        <v>#REF!</v>
      </c>
      <c r="G98" s="274" t="s">
        <v>607</v>
      </c>
      <c r="H98" s="287">
        <f>SUM(H17:H97)</f>
        <v>280</v>
      </c>
      <c r="I98" s="287">
        <f>SUM(I17:I97)</f>
        <v>3148.9671472283817</v>
      </c>
      <c r="J98" s="287">
        <f>SUM(J17:J97)</f>
        <v>406</v>
      </c>
      <c r="K98" s="287">
        <f>SUM(K17:K97)</f>
        <v>17858</v>
      </c>
      <c r="L98" s="287">
        <f>SUM(L17:L97)</f>
        <v>25177.934294456762</v>
      </c>
      <c r="M98" s="287">
        <f>SUM(M17:M97)</f>
        <v>250</v>
      </c>
    </row>
    <row r="99" spans="1:13" hidden="1" x14ac:dyDescent="0.25">
      <c r="B99" s="31" t="s">
        <v>536</v>
      </c>
      <c r="C99" s="112" t="e">
        <f>(C98/24)</f>
        <v>#REF!</v>
      </c>
      <c r="D99" s="112" t="e">
        <f>(D98/24)</f>
        <v>#REF!</v>
      </c>
      <c r="G99" s="26"/>
      <c r="H99" s="26"/>
      <c r="I99" s="26"/>
      <c r="J99" s="26"/>
    </row>
    <row r="100" spans="1:13" x14ac:dyDescent="0.25">
      <c r="C100" s="262"/>
      <c r="D100" s="262"/>
      <c r="G100" s="26"/>
      <c r="H100" s="26"/>
      <c r="I100" s="26"/>
      <c r="J100" s="26"/>
    </row>
    <row r="101" spans="1:13" x14ac:dyDescent="0.25">
      <c r="G101" s="26"/>
      <c r="H101" s="26"/>
      <c r="I101" s="26"/>
      <c r="J101" s="26"/>
    </row>
    <row r="102" spans="1:13" x14ac:dyDescent="0.25">
      <c r="G102" s="26"/>
      <c r="H102" s="26"/>
      <c r="I102" s="26"/>
      <c r="J102" s="26"/>
    </row>
    <row r="103" spans="1:13" x14ac:dyDescent="0.25">
      <c r="G103" s="26"/>
      <c r="H103" s="26"/>
      <c r="I103" s="26"/>
      <c r="J103" s="26"/>
    </row>
    <row r="104" spans="1:13" x14ac:dyDescent="0.25">
      <c r="G104" s="26"/>
      <c r="H104" s="26"/>
      <c r="I104" s="26"/>
      <c r="J104" s="26"/>
    </row>
    <row r="105" spans="1:13" x14ac:dyDescent="0.25">
      <c r="G105" s="26"/>
      <c r="H105" s="26"/>
      <c r="I105" s="26"/>
      <c r="J105" s="26"/>
    </row>
    <row r="106" spans="1:13" x14ac:dyDescent="0.25">
      <c r="G106" s="26"/>
      <c r="H106" s="26"/>
      <c r="I106" s="26"/>
      <c r="J106" s="26"/>
    </row>
    <row r="107" spans="1:13" x14ac:dyDescent="0.25">
      <c r="G107" s="26"/>
      <c r="H107" s="26"/>
      <c r="I107" s="26"/>
      <c r="J107" s="26"/>
    </row>
    <row r="108" spans="1:13" x14ac:dyDescent="0.25">
      <c r="G108" s="26"/>
      <c r="H108" s="26"/>
      <c r="I108" s="26"/>
      <c r="J108" s="26"/>
    </row>
    <row r="109" spans="1:13" x14ac:dyDescent="0.25">
      <c r="G109" s="26"/>
      <c r="H109" s="26"/>
      <c r="I109" s="26"/>
      <c r="J109" s="26"/>
    </row>
    <row r="110" spans="1:13" x14ac:dyDescent="0.25">
      <c r="G110" s="26"/>
      <c r="H110" s="26"/>
      <c r="I110" s="26"/>
      <c r="J110" s="26"/>
    </row>
    <row r="111" spans="1:13" x14ac:dyDescent="0.25">
      <c r="G111" s="26"/>
      <c r="H111" s="26"/>
      <c r="I111" s="26"/>
      <c r="J111" s="26"/>
    </row>
    <row r="112" spans="1:13" x14ac:dyDescent="0.25">
      <c r="G112" s="26"/>
      <c r="H112" s="26"/>
      <c r="I112" s="26"/>
      <c r="J112" s="26"/>
    </row>
    <row r="113" spans="6:10" x14ac:dyDescent="0.25">
      <c r="G113" s="26"/>
      <c r="H113" s="26"/>
      <c r="I113" s="26"/>
      <c r="J113" s="26"/>
    </row>
    <row r="114" spans="6:10" x14ac:dyDescent="0.25">
      <c r="G114" s="26"/>
      <c r="H114" s="26"/>
      <c r="I114" s="26"/>
      <c r="J114" s="26"/>
    </row>
    <row r="115" spans="6:10" x14ac:dyDescent="0.25">
      <c r="G115" s="26"/>
      <c r="H115" s="26"/>
      <c r="I115" s="26"/>
      <c r="J115" s="26"/>
    </row>
    <row r="116" spans="6:10" x14ac:dyDescent="0.25">
      <c r="G116" s="26"/>
      <c r="H116" s="26"/>
      <c r="I116" s="26"/>
      <c r="J116" s="26"/>
    </row>
    <row r="117" spans="6:10" x14ac:dyDescent="0.25">
      <c r="G117" s="26"/>
      <c r="H117" s="26"/>
      <c r="I117" s="26"/>
      <c r="J117" s="26"/>
    </row>
    <row r="118" spans="6:10" x14ac:dyDescent="0.25">
      <c r="G118" s="26"/>
      <c r="H118" s="26"/>
      <c r="I118" s="26"/>
      <c r="J118" s="26"/>
    </row>
    <row r="119" spans="6:10" x14ac:dyDescent="0.25">
      <c r="G119" s="26"/>
      <c r="H119" s="26"/>
      <c r="I119" s="26"/>
      <c r="J119" s="26"/>
    </row>
    <row r="120" spans="6:10" x14ac:dyDescent="0.25">
      <c r="F120" s="26"/>
    </row>
    <row r="121" spans="6:10" x14ac:dyDescent="0.25">
      <c r="F121" s="26"/>
    </row>
  </sheetData>
  <mergeCells count="3">
    <mergeCell ref="A1:B1"/>
    <mergeCell ref="N39:O39"/>
    <mergeCell ref="N69:O69"/>
  </mergeCells>
  <pageMargins left="0.75" right="0.75" top="1" bottom="1" header="0.5" footer="0.5"/>
  <pageSetup orientation="portrait" r:id="rId1"/>
  <headerFooter alignWithMargins="0">
    <oddFooter>&amp;R&amp;"Arial,Regular"&amp;08&amp;K7F7F7FAmgen Proprietary - Confidential   &amp;C&amp;"Arial,Regular"&amp;08&amp;K7F7F7FAmgen Proprietary - For Internal Use Only</oddFooter>
    <evenFooter>&amp;R&amp;"Arial,Regular"&amp;08&amp;K7F7F7FAmgen Proprietary - Confidential   &amp;C&amp;"Arial,Regular"&amp;08&amp;K7F7F7FAmgen Proprietary - For Internal Use Only</evenFooter>
    <firstFooter>&amp;R&amp;"Arial,Regular"&amp;08&amp;K7F7F7FAmgen Proprietary - Confidential   &amp;C&amp;"Arial,Regular"&amp;08&amp;K7F7F7FAmgen Proprietary - For Internal Use Only</firstFooter>
  </headerFooter>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7FA682-EFAB-4BB8-A961-581922ECBAE4}">
  <sheetPr codeName="Sheet102">
    <pageSetUpPr autoPageBreaks="0"/>
  </sheetPr>
  <dimension ref="A1:U100"/>
  <sheetViews>
    <sheetView topLeftCell="A5" zoomScale="120" zoomScaleNormal="120" workbookViewId="0">
      <selection activeCell="C50" sqref="C50"/>
    </sheetView>
  </sheetViews>
  <sheetFormatPr defaultColWidth="23.453125" defaultRowHeight="11.5" x14ac:dyDescent="0.25"/>
  <cols>
    <col min="1" max="1" width="58.453125" style="25" customWidth="1"/>
    <col min="2" max="2" width="28" style="25" customWidth="1"/>
    <col min="3" max="3" width="23.453125" style="25" customWidth="1"/>
    <col min="4" max="4" width="23.453125" style="25" hidden="1" customWidth="1"/>
    <col min="5" max="5" width="23.453125" style="25" customWidth="1"/>
    <col min="6" max="6" width="82.54296875" style="25" customWidth="1"/>
    <col min="7" max="7" width="40.54296875" style="25" customWidth="1"/>
    <col min="8" max="13" width="10.54296875" style="25" customWidth="1"/>
    <col min="14" max="14" width="11.453125" style="25" bestFit="1" customWidth="1"/>
    <col min="15" max="16384" width="23.453125" style="25"/>
  </cols>
  <sheetData>
    <row r="1" spans="1:13" ht="12" thickBot="1" x14ac:dyDescent="0.3">
      <c r="A1" s="1064" t="s">
        <v>479</v>
      </c>
      <c r="B1" s="1064"/>
    </row>
    <row r="2" spans="1:13" x14ac:dyDescent="0.25">
      <c r="A2" s="43" t="s">
        <v>480</v>
      </c>
      <c r="B2" s="289">
        <f>A16</f>
        <v>44481.4375</v>
      </c>
    </row>
    <row r="3" spans="1:13" ht="12" thickBot="1" x14ac:dyDescent="0.3">
      <c r="A3" s="42" t="s">
        <v>482</v>
      </c>
      <c r="B3" s="290">
        <f>A16</f>
        <v>44481.4375</v>
      </c>
    </row>
    <row r="5" spans="1:13" x14ac:dyDescent="0.25">
      <c r="A5" s="1049" t="s">
        <v>484</v>
      </c>
      <c r="B5" s="1050"/>
      <c r="C5" s="1051"/>
      <c r="D5" s="809"/>
    </row>
    <row r="6" spans="1:13" x14ac:dyDescent="0.25">
      <c r="A6" s="781" t="s">
        <v>485</v>
      </c>
      <c r="B6" s="781" t="s">
        <v>486</v>
      </c>
      <c r="C6" s="781" t="s">
        <v>487</v>
      </c>
      <c r="D6" s="810"/>
    </row>
    <row r="7" spans="1:13" x14ac:dyDescent="0.25">
      <c r="A7" s="545" t="s">
        <v>2449</v>
      </c>
      <c r="B7" s="40">
        <f>INDEX($A$16:$A$100,MATCH(A7,$F$16:$F$100,0))</f>
        <v>44482.53819444446</v>
      </c>
      <c r="C7" s="37">
        <f>INDEX($B$16:$B$100,MATCH(A7,$F$16:$F$100,0))</f>
        <v>44482.53819444446</v>
      </c>
      <c r="D7" s="811"/>
    </row>
    <row r="8" spans="1:13" x14ac:dyDescent="0.25">
      <c r="A8" s="545" t="s">
        <v>2638</v>
      </c>
      <c r="B8" s="40">
        <f t="shared" ref="B8:B12" si="0">INDEX($A$16:$A$100,MATCH(A8,$F$16:$F$100,0))</f>
        <v>44483.503472222234</v>
      </c>
      <c r="C8" s="37">
        <f t="shared" ref="C8:C11" si="1">INDEX($B$16:$B$100,MATCH(A8,$F$16:$F$100,0))</f>
        <v>44483.503472222234</v>
      </c>
      <c r="D8" s="811"/>
    </row>
    <row r="9" spans="1:13" x14ac:dyDescent="0.25">
      <c r="A9" s="545" t="s">
        <v>2450</v>
      </c>
      <c r="B9" s="40">
        <f t="shared" si="0"/>
        <v>44484.493055555577</v>
      </c>
      <c r="C9" s="37">
        <f t="shared" si="1"/>
        <v>44484.493055555577</v>
      </c>
      <c r="D9" s="811"/>
    </row>
    <row r="10" spans="1:13" x14ac:dyDescent="0.25">
      <c r="A10" s="545" t="s">
        <v>2528</v>
      </c>
      <c r="B10" s="40">
        <f t="shared" si="0"/>
        <v>44489.8125</v>
      </c>
      <c r="C10" s="37">
        <f t="shared" si="1"/>
        <v>44489.8125</v>
      </c>
      <c r="D10" s="811"/>
    </row>
    <row r="11" spans="1:13" x14ac:dyDescent="0.25">
      <c r="A11" s="545" t="s">
        <v>638</v>
      </c>
      <c r="B11" s="40">
        <f t="shared" si="0"/>
        <v>44490.611111111124</v>
      </c>
      <c r="C11" s="37">
        <f t="shared" si="1"/>
        <v>44490.611111111124</v>
      </c>
      <c r="D11" s="811"/>
    </row>
    <row r="12" spans="1:13" x14ac:dyDescent="0.25">
      <c r="A12" s="545" t="s">
        <v>2451</v>
      </c>
      <c r="B12" s="40">
        <f t="shared" si="0"/>
        <v>44491.125</v>
      </c>
      <c r="C12" s="37">
        <f>E100</f>
        <v>44491.229166666664</v>
      </c>
      <c r="D12" s="811"/>
    </row>
    <row r="14" spans="1:13" ht="30.65" customHeight="1" x14ac:dyDescent="0.25">
      <c r="A14" s="749" t="s">
        <v>492</v>
      </c>
      <c r="B14" s="749" t="s">
        <v>576</v>
      </c>
      <c r="C14" s="749" t="s">
        <v>494</v>
      </c>
      <c r="D14" s="749" t="s">
        <v>495</v>
      </c>
      <c r="E14" s="749" t="s">
        <v>560</v>
      </c>
      <c r="F14" s="749" t="s">
        <v>541</v>
      </c>
      <c r="G14" s="749" t="s">
        <v>498</v>
      </c>
      <c r="H14" s="781" t="s">
        <v>92</v>
      </c>
      <c r="I14" s="781" t="s">
        <v>96</v>
      </c>
      <c r="J14" s="781" t="s">
        <v>577</v>
      </c>
      <c r="K14" s="781" t="s">
        <v>500</v>
      </c>
      <c r="L14" s="278" t="s">
        <v>108</v>
      </c>
      <c r="M14" s="278" t="s">
        <v>114</v>
      </c>
    </row>
    <row r="15" spans="1:13" x14ac:dyDescent="0.25">
      <c r="A15" s="279" t="s">
        <v>2452</v>
      </c>
      <c r="B15" s="279"/>
      <c r="C15" s="279"/>
      <c r="D15" s="279"/>
      <c r="E15" s="279"/>
      <c r="F15" s="279"/>
      <c r="G15" s="279"/>
      <c r="H15" s="777"/>
      <c r="I15" s="777"/>
      <c r="J15" s="777"/>
      <c r="K15" s="777"/>
      <c r="L15" s="777"/>
      <c r="M15" s="777"/>
    </row>
    <row r="16" spans="1:13" x14ac:dyDescent="0.25">
      <c r="A16" s="31">
        <v>44481.4375</v>
      </c>
      <c r="B16" s="332">
        <f>B3</f>
        <v>44481.4375</v>
      </c>
      <c r="C16" s="398">
        <v>3.125E-2</v>
      </c>
      <c r="D16" s="327"/>
      <c r="E16" s="37">
        <f>B16+C16</f>
        <v>44481.46875</v>
      </c>
      <c r="F16" s="476" t="s">
        <v>2453</v>
      </c>
      <c r="G16" s="544"/>
      <c r="H16" s="486"/>
      <c r="I16" s="486"/>
      <c r="J16" s="551">
        <v>150</v>
      </c>
      <c r="K16" s="487"/>
      <c r="L16" s="487">
        <v>150</v>
      </c>
      <c r="M16" s="487"/>
    </row>
    <row r="17" spans="1:15" x14ac:dyDescent="0.25">
      <c r="A17" s="31">
        <f>IF(D16 = "",A16+C16,A16+D16)</f>
        <v>44481.46875</v>
      </c>
      <c r="B17" s="332">
        <f>IF(D16 = "",B16+C16,B16+D16)</f>
        <v>44481.46875</v>
      </c>
      <c r="C17" s="423">
        <v>3.125E-2</v>
      </c>
      <c r="D17" s="327">
        <v>5.2083333333333336E-2</v>
      </c>
      <c r="E17" s="37">
        <f t="shared" ref="E17:E32" si="2">B17+C17</f>
        <v>44481.5</v>
      </c>
      <c r="F17" s="476" t="s">
        <v>579</v>
      </c>
      <c r="G17" s="477"/>
      <c r="H17" s="551">
        <v>30</v>
      </c>
      <c r="I17" s="486"/>
      <c r="J17" s="486"/>
      <c r="K17" s="487"/>
      <c r="L17" s="488">
        <f>SUM(H17:K17)</f>
        <v>30</v>
      </c>
      <c r="M17" s="487"/>
    </row>
    <row r="18" spans="1:15" ht="12.75" customHeight="1" x14ac:dyDescent="0.25">
      <c r="A18" s="31">
        <f t="shared" ref="A18:A33" si="3">IF(D17 = "",A17+C17,A17+D17)</f>
        <v>44481.520833333336</v>
      </c>
      <c r="B18" s="332">
        <f t="shared" ref="B18:B33" si="4">IF(D17 = "",B17+C17,B17+D17)</f>
        <v>44481.520833333336</v>
      </c>
      <c r="C18" s="423">
        <v>6.25E-2</v>
      </c>
      <c r="D18" s="327"/>
      <c r="E18" s="37">
        <f t="shared" si="2"/>
        <v>44481.583333333336</v>
      </c>
      <c r="F18" s="476" t="s">
        <v>580</v>
      </c>
      <c r="G18" s="480"/>
      <c r="H18" s="489"/>
      <c r="I18" s="489">
        <v>30</v>
      </c>
      <c r="J18" s="489"/>
      <c r="K18" s="489"/>
      <c r="L18" s="488">
        <f t="shared" ref="L18:L29" si="5">SUM(H18:K18)</f>
        <v>30</v>
      </c>
      <c r="M18" s="487"/>
    </row>
    <row r="19" spans="1:15" ht="12.75" customHeight="1" x14ac:dyDescent="0.25">
      <c r="A19" s="31">
        <f t="shared" si="3"/>
        <v>44481.583333333336</v>
      </c>
      <c r="B19" s="332">
        <f t="shared" si="4"/>
        <v>44481.583333333336</v>
      </c>
      <c r="C19" s="423">
        <v>5.2083333333333336E-2</v>
      </c>
      <c r="D19" s="327"/>
      <c r="E19" s="37">
        <f t="shared" si="2"/>
        <v>44481.635416666672</v>
      </c>
      <c r="F19" s="476" t="s">
        <v>581</v>
      </c>
      <c r="G19" s="480"/>
      <c r="H19" s="489"/>
      <c r="I19" s="489"/>
      <c r="J19" s="489">
        <v>30</v>
      </c>
      <c r="K19" s="489"/>
      <c r="L19" s="488">
        <f t="shared" si="5"/>
        <v>30</v>
      </c>
      <c r="M19" s="487"/>
    </row>
    <row r="20" spans="1:15" ht="12.75" customHeight="1" x14ac:dyDescent="0.25">
      <c r="A20" s="31">
        <f t="shared" si="3"/>
        <v>44481.635416666672</v>
      </c>
      <c r="B20" s="332">
        <f t="shared" si="4"/>
        <v>44481.635416666672</v>
      </c>
      <c r="C20" s="423">
        <v>2.0833333333333332E-2</v>
      </c>
      <c r="D20" s="327"/>
      <c r="E20" s="37">
        <f t="shared" si="2"/>
        <v>44481.656250000007</v>
      </c>
      <c r="F20" s="476" t="s">
        <v>2454</v>
      </c>
      <c r="G20" s="480"/>
      <c r="H20" s="489">
        <v>250</v>
      </c>
      <c r="I20" s="489"/>
      <c r="J20" s="489"/>
      <c r="K20" s="489"/>
      <c r="L20" s="488">
        <v>250</v>
      </c>
      <c r="M20" s="487"/>
    </row>
    <row r="21" spans="1:15" ht="13.5" customHeight="1" x14ac:dyDescent="0.25">
      <c r="A21" s="31">
        <f t="shared" si="3"/>
        <v>44481.656250000007</v>
      </c>
      <c r="B21" s="332">
        <f t="shared" si="4"/>
        <v>44481.656250000007</v>
      </c>
      <c r="C21" s="423">
        <v>1.0416666666666666E-2</v>
      </c>
      <c r="D21" s="327"/>
      <c r="E21" s="37">
        <f t="shared" si="2"/>
        <v>44481.666666666672</v>
      </c>
      <c r="F21" s="476" t="s">
        <v>2455</v>
      </c>
      <c r="G21" s="480"/>
      <c r="H21" s="489"/>
      <c r="I21" s="489"/>
      <c r="J21" s="489">
        <v>250</v>
      </c>
      <c r="K21" s="489"/>
      <c r="L21" s="488"/>
      <c r="M21" s="487">
        <v>250</v>
      </c>
    </row>
    <row r="22" spans="1:15" x14ac:dyDescent="0.25">
      <c r="A22" s="31">
        <f t="shared" si="3"/>
        <v>44481.666666666672</v>
      </c>
      <c r="B22" s="332">
        <f t="shared" si="4"/>
        <v>44481.666666666672</v>
      </c>
      <c r="C22" s="423">
        <v>6.9444444444444441E-3</v>
      </c>
      <c r="D22" s="327"/>
      <c r="E22" s="37">
        <f t="shared" si="2"/>
        <v>44481.673611111117</v>
      </c>
      <c r="F22" s="476" t="s">
        <v>619</v>
      </c>
      <c r="G22" s="480"/>
      <c r="H22" s="489"/>
      <c r="I22" s="489"/>
      <c r="J22" s="489"/>
      <c r="K22" s="489">
        <v>55</v>
      </c>
      <c r="L22" s="488">
        <f t="shared" si="5"/>
        <v>55</v>
      </c>
      <c r="M22" s="487"/>
    </row>
    <row r="23" spans="1:15" x14ac:dyDescent="0.25">
      <c r="A23" s="31">
        <f t="shared" si="3"/>
        <v>44481.673611111117</v>
      </c>
      <c r="B23" s="332">
        <f t="shared" si="4"/>
        <v>44481.673611111117</v>
      </c>
      <c r="C23" s="423">
        <v>2.0833333333333332E-2</v>
      </c>
      <c r="D23" s="327"/>
      <c r="E23" s="37">
        <f t="shared" si="2"/>
        <v>44481.694444444453</v>
      </c>
      <c r="F23" s="476" t="s">
        <v>585</v>
      </c>
      <c r="G23" s="480"/>
      <c r="H23" s="489"/>
      <c r="I23" s="489"/>
      <c r="J23" s="489"/>
      <c r="K23" s="489">
        <v>610</v>
      </c>
      <c r="L23" s="488">
        <f t="shared" si="5"/>
        <v>610</v>
      </c>
      <c r="M23" s="487"/>
    </row>
    <row r="24" spans="1:15" hidden="1" x14ac:dyDescent="0.25">
      <c r="A24" s="579">
        <f t="shared" si="3"/>
        <v>44481.694444444453</v>
      </c>
      <c r="B24" s="686">
        <f t="shared" si="4"/>
        <v>44481.694444444453</v>
      </c>
      <c r="C24" s="687">
        <v>0</v>
      </c>
      <c r="D24" s="556"/>
      <c r="E24" s="580">
        <f t="shared" si="2"/>
        <v>44481.694444444453</v>
      </c>
      <c r="F24" s="560" t="s">
        <v>693</v>
      </c>
      <c r="G24" s="557"/>
      <c r="H24" s="489"/>
      <c r="I24" s="489"/>
      <c r="J24" s="489"/>
      <c r="K24" s="489"/>
      <c r="L24" s="488"/>
      <c r="M24" s="487"/>
    </row>
    <row r="25" spans="1:15" ht="13.5" customHeight="1" x14ac:dyDescent="0.25">
      <c r="A25" s="31">
        <f t="shared" si="3"/>
        <v>44481.694444444453</v>
      </c>
      <c r="B25" s="332">
        <f t="shared" si="4"/>
        <v>44481.694444444453</v>
      </c>
      <c r="C25" s="398">
        <v>0.3125</v>
      </c>
      <c r="D25" s="327"/>
      <c r="E25" s="37">
        <f t="shared" si="2"/>
        <v>44482.006944444453</v>
      </c>
      <c r="F25" s="476" t="s">
        <v>2456</v>
      </c>
      <c r="G25" s="480"/>
      <c r="H25" s="489"/>
      <c r="I25" s="489"/>
      <c r="J25" s="489"/>
      <c r="K25" s="489">
        <v>550</v>
      </c>
      <c r="L25" s="488">
        <f t="shared" si="5"/>
        <v>550</v>
      </c>
      <c r="M25" s="487"/>
    </row>
    <row r="26" spans="1:15" ht="13.5" hidden="1" customHeight="1" x14ac:dyDescent="0.25">
      <c r="A26" s="553" t="s">
        <v>2457</v>
      </c>
      <c r="B26" s="554"/>
      <c r="C26" s="554"/>
      <c r="D26" s="554"/>
      <c r="E26" s="554"/>
      <c r="F26" s="554"/>
      <c r="G26" s="554"/>
      <c r="H26" s="554"/>
      <c r="I26" s="554"/>
      <c r="J26" s="554"/>
      <c r="K26" s="554"/>
      <c r="L26" s="554"/>
      <c r="M26" s="555"/>
    </row>
    <row r="27" spans="1:15" ht="13.5" hidden="1" customHeight="1" x14ac:dyDescent="0.25">
      <c r="A27" s="494">
        <f>A25</f>
        <v>44481.694444444453</v>
      </c>
      <c r="B27" s="493">
        <f>B25</f>
        <v>44481.694444444453</v>
      </c>
      <c r="C27" s="498">
        <v>0.125</v>
      </c>
      <c r="D27" s="498"/>
      <c r="E27" s="493">
        <f>B27+C27</f>
        <v>44481.819444444453</v>
      </c>
      <c r="F27" s="546" t="s">
        <v>2458</v>
      </c>
      <c r="G27" s="547"/>
      <c r="H27" s="550"/>
      <c r="I27" s="548"/>
      <c r="J27" s="548"/>
      <c r="K27" s="548"/>
      <c r="L27" s="549"/>
      <c r="M27" s="552"/>
    </row>
    <row r="28" spans="1:15" ht="13.5" customHeight="1" x14ac:dyDescent="0.25">
      <c r="A28" s="31">
        <f>IF(D25 = "",A25+C25,A25+D25)</f>
        <v>44482.006944444453</v>
      </c>
      <c r="B28" s="332">
        <f>IF(D25 = "",B25+C25,B25+D25)</f>
        <v>44482.006944444453</v>
      </c>
      <c r="C28" s="398">
        <v>0.3125</v>
      </c>
      <c r="D28" s="327"/>
      <c r="E28" s="37">
        <f t="shared" si="2"/>
        <v>44482.319444444453</v>
      </c>
      <c r="F28" s="476" t="s">
        <v>2459</v>
      </c>
      <c r="G28" s="480"/>
      <c r="H28" s="489"/>
      <c r="I28" s="489"/>
      <c r="J28" s="489"/>
      <c r="K28" s="489">
        <v>370</v>
      </c>
      <c r="L28" s="488">
        <v>370</v>
      </c>
      <c r="M28" s="489"/>
      <c r="N28" s="25" t="s">
        <v>2460</v>
      </c>
      <c r="O28" s="530">
        <f>SUM(K16:K28)</f>
        <v>1585</v>
      </c>
    </row>
    <row r="29" spans="1:15" ht="12.75" customHeight="1" x14ac:dyDescent="0.25">
      <c r="A29" s="31">
        <f t="shared" si="3"/>
        <v>44482.319444444453</v>
      </c>
      <c r="B29" s="332">
        <f t="shared" si="4"/>
        <v>44482.319444444453</v>
      </c>
      <c r="C29" s="170">
        <v>5.2083333333333336E-2</v>
      </c>
      <c r="D29" s="327"/>
      <c r="E29" s="37">
        <f t="shared" si="2"/>
        <v>44482.371527777788</v>
      </c>
      <c r="F29" s="476" t="s">
        <v>2461</v>
      </c>
      <c r="G29" s="480"/>
      <c r="H29" s="489"/>
      <c r="I29" s="489"/>
      <c r="J29" s="489"/>
      <c r="K29" s="489">
        <v>820</v>
      </c>
      <c r="L29" s="488">
        <f t="shared" si="5"/>
        <v>820</v>
      </c>
      <c r="M29" s="487"/>
    </row>
    <row r="30" spans="1:15" ht="12.75" customHeight="1" x14ac:dyDescent="0.25">
      <c r="A30" s="31">
        <f t="shared" si="3"/>
        <v>44482.371527777788</v>
      </c>
      <c r="B30" s="332">
        <f t="shared" si="4"/>
        <v>44482.371527777788</v>
      </c>
      <c r="C30" s="170">
        <v>6.25E-2</v>
      </c>
      <c r="D30" s="327"/>
      <c r="E30" s="37">
        <f t="shared" si="2"/>
        <v>44482.434027777788</v>
      </c>
      <c r="F30" s="476" t="s">
        <v>589</v>
      </c>
      <c r="G30" s="480"/>
      <c r="H30" s="489"/>
      <c r="I30" s="489"/>
      <c r="J30" s="489"/>
      <c r="K30" s="489"/>
      <c r="L30" s="488"/>
      <c r="M30" s="487"/>
    </row>
    <row r="31" spans="1:15" ht="12.75" customHeight="1" x14ac:dyDescent="0.25">
      <c r="A31" s="31">
        <f t="shared" si="3"/>
        <v>44482.434027777788</v>
      </c>
      <c r="B31" s="332">
        <f t="shared" si="4"/>
        <v>44482.434027777788</v>
      </c>
      <c r="C31" s="170">
        <v>8.3333333333333329E-2</v>
      </c>
      <c r="D31" s="327"/>
      <c r="E31" s="37">
        <f t="shared" si="2"/>
        <v>44482.517361111124</v>
      </c>
      <c r="F31" s="476" t="s">
        <v>2462</v>
      </c>
      <c r="G31" s="480"/>
      <c r="H31" s="489"/>
      <c r="I31" s="489"/>
      <c r="J31" s="489"/>
      <c r="K31" s="489"/>
      <c r="L31" s="488"/>
      <c r="M31" s="487"/>
    </row>
    <row r="32" spans="1:15" ht="12.75" customHeight="1" x14ac:dyDescent="0.25">
      <c r="A32" s="31">
        <f t="shared" si="3"/>
        <v>44482.517361111124</v>
      </c>
      <c r="B32" s="332">
        <f t="shared" si="4"/>
        <v>44482.517361111124</v>
      </c>
      <c r="C32" s="398">
        <v>2.0833333333333332E-2</v>
      </c>
      <c r="D32" s="327"/>
      <c r="E32" s="37">
        <f t="shared" si="2"/>
        <v>44482.53819444446</v>
      </c>
      <c r="F32" s="476" t="s">
        <v>2653</v>
      </c>
      <c r="G32" s="480"/>
      <c r="H32" s="489"/>
      <c r="I32" s="489"/>
      <c r="J32" s="489"/>
      <c r="K32" s="489">
        <v>100</v>
      </c>
      <c r="L32" s="543">
        <v>100</v>
      </c>
      <c r="M32" s="487"/>
    </row>
    <row r="33" spans="1:15" ht="12.75" customHeight="1" x14ac:dyDescent="0.25">
      <c r="A33" s="31">
        <f t="shared" si="3"/>
        <v>44482.53819444446</v>
      </c>
      <c r="B33" s="332">
        <f t="shared" si="4"/>
        <v>44482.53819444446</v>
      </c>
      <c r="C33" s="170">
        <v>0</v>
      </c>
      <c r="D33" s="327"/>
      <c r="E33" s="37" t="s">
        <v>99</v>
      </c>
      <c r="F33" s="484" t="s">
        <v>2449</v>
      </c>
      <c r="G33" s="480"/>
      <c r="H33" s="489"/>
      <c r="I33" s="489"/>
      <c r="J33" s="489"/>
      <c r="K33" s="489"/>
      <c r="L33" s="487"/>
      <c r="M33" s="487"/>
    </row>
    <row r="34" spans="1:15" ht="12.75" customHeight="1" x14ac:dyDescent="0.25">
      <c r="A34" s="31">
        <f>IF(D32 = "",A32+C32,A32+D32)</f>
        <v>44482.53819444446</v>
      </c>
      <c r="B34" s="332">
        <f>IF(D32 = "",B32+C32,B32+D32)</f>
        <v>44482.53819444446</v>
      </c>
      <c r="C34" s="398">
        <v>6.25E-2</v>
      </c>
      <c r="D34" s="327"/>
      <c r="E34" s="37">
        <f t="shared" ref="E34:E53" si="6">B34+C34</f>
        <v>44482.60069444446</v>
      </c>
      <c r="F34" s="476" t="s">
        <v>647</v>
      </c>
      <c r="G34" s="480"/>
      <c r="H34" s="489"/>
      <c r="I34" s="489"/>
      <c r="J34" s="489"/>
      <c r="K34" s="489"/>
      <c r="L34" s="487"/>
      <c r="M34" s="487"/>
    </row>
    <row r="35" spans="1:15" ht="12.75" customHeight="1" x14ac:dyDescent="0.25">
      <c r="A35" s="31">
        <f t="shared" ref="A35" si="7">IF(D34 = "",A34+C34,A34+D34)</f>
        <v>44482.60069444446</v>
      </c>
      <c r="B35" s="332">
        <f>IF(D34 = "",B34+C34,B34+D34)</f>
        <v>44482.60069444446</v>
      </c>
      <c r="C35" s="398">
        <v>2.0833333333333332E-2</v>
      </c>
      <c r="D35" s="327"/>
      <c r="E35" s="37">
        <f t="shared" si="6"/>
        <v>44482.621527777796</v>
      </c>
      <c r="F35" s="476" t="s">
        <v>2464</v>
      </c>
      <c r="G35" s="480"/>
      <c r="H35" s="489"/>
      <c r="I35" s="489"/>
      <c r="J35" s="489"/>
      <c r="K35" s="489">
        <v>126</v>
      </c>
      <c r="L35" s="487">
        <v>126</v>
      </c>
      <c r="M35" s="487"/>
    </row>
    <row r="36" spans="1:15" ht="12.75" customHeight="1" x14ac:dyDescent="0.25">
      <c r="A36" s="31">
        <f>IF(D35 = "",A35+C35,A35+D35)</f>
        <v>44482.621527777796</v>
      </c>
      <c r="B36" s="332">
        <f>IF(D35 = "",B35+C35,B35+D35)</f>
        <v>44482.621527777796</v>
      </c>
      <c r="C36" s="398">
        <v>2.0833333333333332E-2</v>
      </c>
      <c r="D36" s="327"/>
      <c r="E36" s="37">
        <f t="shared" si="6"/>
        <v>44482.642361111131</v>
      </c>
      <c r="F36" s="476" t="s">
        <v>2465</v>
      </c>
      <c r="G36" s="480"/>
      <c r="H36" s="489"/>
      <c r="I36" s="489"/>
      <c r="J36" s="489"/>
      <c r="K36" s="551">
        <v>150</v>
      </c>
      <c r="L36" s="487">
        <v>150</v>
      </c>
      <c r="M36" s="487"/>
    </row>
    <row r="37" spans="1:15" s="267" customFormat="1" ht="14.9" customHeight="1" x14ac:dyDescent="0.25">
      <c r="A37" s="280" t="s">
        <v>2466</v>
      </c>
      <c r="B37" s="280"/>
      <c r="C37" s="280"/>
      <c r="D37" s="280"/>
      <c r="E37" s="280"/>
      <c r="F37" s="280"/>
      <c r="G37" s="280"/>
      <c r="H37" s="284"/>
      <c r="I37" s="284"/>
      <c r="J37" s="284"/>
      <c r="K37" s="284"/>
      <c r="L37" s="285"/>
      <c r="M37" s="341"/>
    </row>
    <row r="38" spans="1:15" x14ac:dyDescent="0.25">
      <c r="A38" s="31">
        <f>IF(D36 = "",A36+C36,A36+D36)</f>
        <v>44482.642361111131</v>
      </c>
      <c r="B38" s="37">
        <f>IF(D36 = "",B36+C36,B36+D36)</f>
        <v>44482.642361111131</v>
      </c>
      <c r="C38" s="170">
        <v>0</v>
      </c>
      <c r="D38" s="327" t="str">
        <f t="shared" ref="D38" si="8">IF(_xlfn.ISFORMULA(E38)=TRUE,"",E38-B38)</f>
        <v/>
      </c>
      <c r="E38" s="37">
        <f t="shared" si="6"/>
        <v>44482.642361111131</v>
      </c>
      <c r="F38" s="476" t="s">
        <v>2464</v>
      </c>
      <c r="G38" s="480"/>
      <c r="H38" s="481"/>
      <c r="I38" s="481"/>
      <c r="J38" s="481"/>
      <c r="K38" s="481">
        <v>0</v>
      </c>
      <c r="L38" s="479"/>
      <c r="M38" s="478"/>
    </row>
    <row r="39" spans="1:15" x14ac:dyDescent="0.25">
      <c r="A39" s="31">
        <f>IF(D38 = "",A38+C38,A38+D38)</f>
        <v>44482.642361111131</v>
      </c>
      <c r="B39" s="37">
        <f>IF(D38 = "",B38+C38,B38+D38)</f>
        <v>44482.642361111131</v>
      </c>
      <c r="C39" s="398">
        <v>1.0416666666666666E-2</v>
      </c>
      <c r="D39" s="327"/>
      <c r="E39" s="37">
        <f t="shared" si="6"/>
        <v>44482.652777777796</v>
      </c>
      <c r="F39" s="476" t="s">
        <v>2467</v>
      </c>
      <c r="G39" s="480"/>
      <c r="H39" s="481"/>
      <c r="I39" s="481"/>
      <c r="J39" s="481">
        <v>126</v>
      </c>
      <c r="K39" s="481"/>
      <c r="L39" s="479">
        <v>126</v>
      </c>
      <c r="M39" s="478"/>
    </row>
    <row r="40" spans="1:15" x14ac:dyDescent="0.25">
      <c r="A40" s="31">
        <f t="shared" ref="A40:A53" si="9">IF(D39 = "",A39+C39,A39+D39)</f>
        <v>44482.652777777796</v>
      </c>
      <c r="B40" s="37">
        <f>IF(D39 = "",B39+C39,B39+D39)</f>
        <v>44482.652777777796</v>
      </c>
      <c r="C40" s="423">
        <v>1.0416666666666666E-2</v>
      </c>
      <c r="D40" s="327"/>
      <c r="E40" s="37">
        <f t="shared" si="6"/>
        <v>44482.66319444446</v>
      </c>
      <c r="F40" s="476" t="s">
        <v>619</v>
      </c>
      <c r="G40" s="480"/>
      <c r="H40" s="481"/>
      <c r="I40" s="481"/>
      <c r="J40" s="481"/>
      <c r="K40" s="481">
        <v>47</v>
      </c>
      <c r="L40" s="479">
        <v>47</v>
      </c>
      <c r="M40" s="478"/>
    </row>
    <row r="41" spans="1:15" x14ac:dyDescent="0.25">
      <c r="A41" s="31">
        <f t="shared" si="9"/>
        <v>44482.66319444446</v>
      </c>
      <c r="B41" s="37">
        <f t="shared" ref="B41:B53" si="10">IF(D40 = "",B40+C40,B40+D40)</f>
        <v>44482.66319444446</v>
      </c>
      <c r="C41" s="170">
        <v>2.7777777777777776E-2</v>
      </c>
      <c r="D41" s="327">
        <v>3.4722222222222224E-2</v>
      </c>
      <c r="E41" s="37">
        <f t="shared" si="6"/>
        <v>44482.690972222241</v>
      </c>
      <c r="F41" s="476" t="s">
        <v>585</v>
      </c>
      <c r="G41" s="480"/>
      <c r="H41" s="481"/>
      <c r="I41" s="481"/>
      <c r="J41" s="481"/>
      <c r="K41" s="481">
        <v>540</v>
      </c>
      <c r="L41" s="481">
        <v>540</v>
      </c>
      <c r="M41" s="478"/>
    </row>
    <row r="42" spans="1:15" x14ac:dyDescent="0.25">
      <c r="A42" s="31">
        <f t="shared" si="9"/>
        <v>44482.697916666679</v>
      </c>
      <c r="B42" s="37">
        <f>IF(D41 = "",B41+C41,B41+D41)</f>
        <v>44482.697916666679</v>
      </c>
      <c r="C42" s="170">
        <v>0.3125</v>
      </c>
      <c r="D42" s="327">
        <v>0.27083333333333331</v>
      </c>
      <c r="E42" s="37">
        <f t="shared" si="6"/>
        <v>44483.010416666679</v>
      </c>
      <c r="F42" s="476" t="s">
        <v>2456</v>
      </c>
      <c r="G42" s="480"/>
      <c r="H42" s="481"/>
      <c r="I42" s="481"/>
      <c r="J42" s="481"/>
      <c r="K42" s="481">
        <v>450</v>
      </c>
      <c r="L42" s="481">
        <v>450</v>
      </c>
      <c r="M42" s="478"/>
      <c r="N42" s="25" t="s">
        <v>2468</v>
      </c>
      <c r="O42" s="530">
        <f>SUM(K16:K42)</f>
        <v>3818</v>
      </c>
    </row>
    <row r="43" spans="1:15" hidden="1" x14ac:dyDescent="0.25">
      <c r="A43" s="553" t="s">
        <v>2469</v>
      </c>
      <c r="B43" s="554"/>
      <c r="C43" s="554"/>
      <c r="D43" s="554"/>
      <c r="E43" s="554"/>
      <c r="F43" s="554"/>
      <c r="G43" s="554"/>
      <c r="H43" s="554"/>
      <c r="I43" s="554"/>
      <c r="J43" s="554"/>
      <c r="K43" s="554"/>
      <c r="L43" s="554"/>
      <c r="M43" s="555"/>
    </row>
    <row r="44" spans="1:15" hidden="1" x14ac:dyDescent="0.25">
      <c r="A44" s="494">
        <f>A42</f>
        <v>44482.697916666679</v>
      </c>
      <c r="B44" s="493">
        <f>B42</f>
        <v>44482.697916666679</v>
      </c>
      <c r="C44" s="498">
        <v>0.125</v>
      </c>
      <c r="D44" s="498"/>
      <c r="E44" s="493">
        <f>B44+C44</f>
        <v>44482.822916666679</v>
      </c>
      <c r="F44" s="546" t="s">
        <v>2470</v>
      </c>
      <c r="G44" s="547"/>
      <c r="H44" s="550"/>
      <c r="I44" s="548"/>
      <c r="J44" s="548"/>
      <c r="K44" s="548"/>
      <c r="L44" s="549"/>
      <c r="M44" s="552"/>
    </row>
    <row r="45" spans="1:15" x14ac:dyDescent="0.25">
      <c r="A45" s="31">
        <f>IF(D42 = "",A42+C42,A42+D42)</f>
        <v>44482.968750000015</v>
      </c>
      <c r="B45" s="37">
        <f>IF(D42 = "",B42+C42,B42+D42)</f>
        <v>44482.968750000015</v>
      </c>
      <c r="C45" s="170">
        <v>0.3125</v>
      </c>
      <c r="D45" s="327">
        <v>0.25347222222222221</v>
      </c>
      <c r="E45" s="37">
        <f t="shared" si="6"/>
        <v>44483.281250000015</v>
      </c>
      <c r="F45" s="476" t="s">
        <v>2459</v>
      </c>
      <c r="G45" s="480"/>
      <c r="H45" s="481"/>
      <c r="I45" s="481"/>
      <c r="J45" s="481"/>
      <c r="K45" s="481">
        <v>450</v>
      </c>
      <c r="L45" s="481">
        <v>450</v>
      </c>
      <c r="M45" s="478"/>
      <c r="N45" s="25" t="s">
        <v>2471</v>
      </c>
      <c r="O45" s="530">
        <f>SUM(K29:K45)</f>
        <v>2683</v>
      </c>
    </row>
    <row r="46" spans="1:15" x14ac:dyDescent="0.25">
      <c r="A46" s="31">
        <f t="shared" si="9"/>
        <v>44483.222222222234</v>
      </c>
      <c r="B46" s="37">
        <f>IF(D45 = "",B45+C45,B45+D45)</f>
        <v>44483.222222222234</v>
      </c>
      <c r="C46" s="170">
        <v>6.25E-2</v>
      </c>
      <c r="D46" s="327"/>
      <c r="E46" s="37">
        <f t="shared" si="6"/>
        <v>44483.284722222234</v>
      </c>
      <c r="F46" s="476" t="s">
        <v>647</v>
      </c>
      <c r="G46" s="480"/>
      <c r="H46" s="481"/>
      <c r="I46" s="481"/>
      <c r="J46" s="481"/>
      <c r="K46" s="481"/>
      <c r="L46" s="481"/>
      <c r="M46" s="478"/>
    </row>
    <row r="47" spans="1:15" hidden="1" x14ac:dyDescent="0.25">
      <c r="A47" s="532">
        <f t="shared" si="9"/>
        <v>44483.284722222234</v>
      </c>
      <c r="B47" s="561">
        <f t="shared" si="10"/>
        <v>44483.284722222234</v>
      </c>
      <c r="C47" s="556">
        <v>0</v>
      </c>
      <c r="D47" s="556"/>
      <c r="E47" s="561">
        <f t="shared" si="6"/>
        <v>44483.284722222234</v>
      </c>
      <c r="F47" s="560" t="s">
        <v>693</v>
      </c>
      <c r="G47" s="557"/>
      <c r="H47" s="558"/>
      <c r="I47" s="558"/>
      <c r="J47" s="558"/>
      <c r="K47" s="558"/>
      <c r="L47" s="558"/>
      <c r="M47" s="559"/>
    </row>
    <row r="48" spans="1:15" x14ac:dyDescent="0.25">
      <c r="A48" s="31">
        <f>IF(D47 = "",A47+C47,A47+D47)</f>
        <v>44483.284722222234</v>
      </c>
      <c r="B48" s="37">
        <f>IF(D47 = "",B47+C47,B47+D47)</f>
        <v>44483.284722222234</v>
      </c>
      <c r="C48" s="170">
        <v>6.25E-2</v>
      </c>
      <c r="D48" s="327"/>
      <c r="E48" s="37">
        <f t="shared" si="6"/>
        <v>44483.347222222234</v>
      </c>
      <c r="F48" s="476" t="s">
        <v>642</v>
      </c>
      <c r="G48" s="480"/>
      <c r="H48" s="481"/>
      <c r="I48" s="481"/>
      <c r="J48" s="481"/>
      <c r="K48" s="481">
        <v>783</v>
      </c>
      <c r="L48" s="481">
        <v>783</v>
      </c>
      <c r="M48" s="478"/>
    </row>
    <row r="49" spans="1:15" x14ac:dyDescent="0.25">
      <c r="A49" s="31">
        <f t="shared" si="9"/>
        <v>44483.347222222234</v>
      </c>
      <c r="B49" s="37">
        <f t="shared" si="10"/>
        <v>44483.347222222234</v>
      </c>
      <c r="C49" s="170">
        <v>6.25E-2</v>
      </c>
      <c r="D49" s="327"/>
      <c r="E49" s="37">
        <f t="shared" si="6"/>
        <v>44483.409722222234</v>
      </c>
      <c r="F49" s="476" t="s">
        <v>647</v>
      </c>
      <c r="G49" s="480"/>
      <c r="H49" s="481"/>
      <c r="I49" s="481"/>
      <c r="J49" s="481"/>
      <c r="K49" s="481"/>
      <c r="L49" s="481"/>
      <c r="M49" s="478"/>
    </row>
    <row r="50" spans="1:15" x14ac:dyDescent="0.25">
      <c r="A50" s="31">
        <f t="shared" si="9"/>
        <v>44483.409722222234</v>
      </c>
      <c r="B50" s="37">
        <f>IF(D49 = "",B49+C49,B49+D49)</f>
        <v>44483.409722222234</v>
      </c>
      <c r="C50" s="170">
        <v>7.2916666666666671E-2</v>
      </c>
      <c r="D50" s="327"/>
      <c r="E50" s="37">
        <f t="shared" si="6"/>
        <v>44483.482638888898</v>
      </c>
      <c r="F50" s="476" t="s">
        <v>2462</v>
      </c>
      <c r="G50" s="480"/>
      <c r="H50" s="481"/>
      <c r="I50" s="481"/>
      <c r="J50" s="481"/>
      <c r="K50" s="481"/>
      <c r="L50" s="481"/>
      <c r="M50" s="478"/>
    </row>
    <row r="51" spans="1:15" x14ac:dyDescent="0.25">
      <c r="A51" s="31">
        <f t="shared" si="9"/>
        <v>44483.482638888898</v>
      </c>
      <c r="B51" s="37">
        <f t="shared" si="10"/>
        <v>44483.482638888898</v>
      </c>
      <c r="C51" s="170">
        <v>2.0833333333333332E-2</v>
      </c>
      <c r="D51" s="327"/>
      <c r="E51" s="37">
        <f t="shared" si="6"/>
        <v>44483.503472222234</v>
      </c>
      <c r="F51" s="476" t="s">
        <v>2653</v>
      </c>
      <c r="G51" s="480"/>
      <c r="H51" s="481"/>
      <c r="I51" s="481"/>
      <c r="J51" s="481"/>
      <c r="K51" s="481"/>
      <c r="L51" s="481"/>
      <c r="M51" s="478"/>
    </row>
    <row r="52" spans="1:15" x14ac:dyDescent="0.25">
      <c r="A52" s="31">
        <f t="shared" si="9"/>
        <v>44483.503472222234</v>
      </c>
      <c r="B52" s="37">
        <f>IF(D51 = "",B51+C51,B51+D51)</f>
        <v>44483.503472222234</v>
      </c>
      <c r="C52" s="170">
        <v>0</v>
      </c>
      <c r="D52" s="327"/>
      <c r="E52" s="37">
        <f t="shared" si="6"/>
        <v>44483.503472222234</v>
      </c>
      <c r="F52" s="484" t="s">
        <v>2638</v>
      </c>
      <c r="G52" s="480"/>
      <c r="H52" s="481"/>
      <c r="I52" s="481"/>
      <c r="J52" s="481"/>
      <c r="K52" s="481"/>
      <c r="L52" s="481"/>
      <c r="M52" s="478"/>
    </row>
    <row r="53" spans="1:15" x14ac:dyDescent="0.25">
      <c r="A53" s="31">
        <f t="shared" si="9"/>
        <v>44483.503472222234</v>
      </c>
      <c r="B53" s="37">
        <f t="shared" si="10"/>
        <v>44483.503472222234</v>
      </c>
      <c r="C53" s="170">
        <v>2.0833333333333332E-2</v>
      </c>
      <c r="D53" s="327"/>
      <c r="E53" s="37">
        <f t="shared" si="6"/>
        <v>44483.524305555569</v>
      </c>
      <c r="F53" s="476" t="s">
        <v>2472</v>
      </c>
      <c r="G53" s="480"/>
      <c r="H53" s="481"/>
      <c r="I53" s="481"/>
      <c r="J53" s="481"/>
      <c r="K53" s="481">
        <v>134</v>
      </c>
      <c r="L53" s="481">
        <v>134</v>
      </c>
      <c r="M53" s="478"/>
    </row>
    <row r="54" spans="1:15" x14ac:dyDescent="0.25">
      <c r="A54" s="280" t="s">
        <v>2473</v>
      </c>
      <c r="B54" s="280"/>
      <c r="C54" s="280"/>
      <c r="D54" s="280"/>
      <c r="E54" s="280"/>
      <c r="F54" s="280"/>
      <c r="G54" s="280"/>
      <c r="H54" s="284"/>
      <c r="I54" s="284"/>
      <c r="J54" s="284"/>
      <c r="K54" s="284"/>
      <c r="L54" s="285"/>
      <c r="M54" s="341"/>
    </row>
    <row r="55" spans="1:15" x14ac:dyDescent="0.25">
      <c r="A55" s="31">
        <f>IF(D53 = "",A53+C53,A53+D53)</f>
        <v>44483.524305555569</v>
      </c>
      <c r="B55" s="37">
        <f>IF(D53 = "",B53+C53,B53+D53)</f>
        <v>44483.524305555569</v>
      </c>
      <c r="C55" s="170">
        <v>0</v>
      </c>
      <c r="D55" s="327"/>
      <c r="E55" s="37">
        <f>B55+C55</f>
        <v>44483.524305555569</v>
      </c>
      <c r="F55" s="476" t="s">
        <v>2465</v>
      </c>
      <c r="G55" s="480"/>
      <c r="H55" s="481"/>
      <c r="I55" s="481"/>
      <c r="J55" s="481"/>
      <c r="K55" s="481"/>
      <c r="L55" s="478"/>
      <c r="M55" s="478"/>
    </row>
    <row r="56" spans="1:15" x14ac:dyDescent="0.25">
      <c r="A56" s="31">
        <f>IF(D55 = "",A55+C55,A55+D55)</f>
        <v>44483.524305555569</v>
      </c>
      <c r="B56" s="37">
        <f>IF(D55 = "",B55+C55,B55+D55)</f>
        <v>44483.524305555569</v>
      </c>
      <c r="C56" s="170">
        <v>0</v>
      </c>
      <c r="D56" s="327"/>
      <c r="E56" s="37">
        <f t="shared" ref="E56:E70" si="11">B56+C56</f>
        <v>44483.524305555569</v>
      </c>
      <c r="F56" s="476" t="s">
        <v>2472</v>
      </c>
      <c r="G56" s="480"/>
      <c r="H56" s="481"/>
      <c r="I56" s="481"/>
      <c r="J56" s="481"/>
      <c r="K56" s="481"/>
      <c r="L56" s="478"/>
      <c r="M56" s="478"/>
    </row>
    <row r="57" spans="1:15" x14ac:dyDescent="0.25">
      <c r="A57" s="31">
        <f t="shared" ref="A57:A66" si="12">IF(D56 = "",A56+C56,A56+D56)</f>
        <v>44483.524305555569</v>
      </c>
      <c r="B57" s="37">
        <f>IF(D56 = "",B56+C56,B56+D56)</f>
        <v>44483.524305555569</v>
      </c>
      <c r="C57" s="431">
        <v>9.375E-2</v>
      </c>
      <c r="D57" s="327"/>
      <c r="E57" s="37">
        <f t="shared" si="11"/>
        <v>44483.618055555569</v>
      </c>
      <c r="F57" s="476" t="s">
        <v>2461</v>
      </c>
      <c r="G57" s="480"/>
      <c r="H57" s="481"/>
      <c r="I57" s="481"/>
      <c r="J57" s="481"/>
      <c r="K57" s="481">
        <v>1621</v>
      </c>
      <c r="L57" s="479">
        <v>1621</v>
      </c>
      <c r="M57" s="478"/>
    </row>
    <row r="58" spans="1:15" hidden="1" x14ac:dyDescent="0.25">
      <c r="A58" s="31">
        <f t="shared" si="12"/>
        <v>44483.618055555569</v>
      </c>
      <c r="B58" s="37">
        <f t="shared" ref="B58" si="13">IF(D57 = "",B57+C57,B57+D57)</f>
        <v>44483.618055555569</v>
      </c>
      <c r="C58" s="556">
        <v>0</v>
      </c>
      <c r="D58" s="556"/>
      <c r="E58" s="561">
        <f t="shared" si="11"/>
        <v>44483.618055555569</v>
      </c>
      <c r="F58" s="560" t="s">
        <v>693</v>
      </c>
      <c r="G58" s="557"/>
      <c r="H58" s="558"/>
      <c r="I58" s="558"/>
      <c r="J58" s="558"/>
      <c r="K58" s="558"/>
      <c r="L58" s="558"/>
      <c r="M58" s="559"/>
    </row>
    <row r="59" spans="1:15" x14ac:dyDescent="0.25">
      <c r="A59" s="31">
        <f t="shared" si="12"/>
        <v>44483.618055555569</v>
      </c>
      <c r="B59" s="37">
        <f t="shared" ref="B59:B70" si="14">IF(D58 = "",B58+C58,B58+D58)</f>
        <v>44483.618055555569</v>
      </c>
      <c r="C59" s="432">
        <v>0.14583333333333334</v>
      </c>
      <c r="D59" s="327"/>
      <c r="E59" s="37">
        <f t="shared" si="11"/>
        <v>44483.763888888905</v>
      </c>
      <c r="F59" s="476" t="s">
        <v>2475</v>
      </c>
      <c r="G59" s="480"/>
      <c r="H59" s="481"/>
      <c r="I59" s="481"/>
      <c r="J59" s="481"/>
      <c r="K59" s="481">
        <v>260</v>
      </c>
      <c r="L59" s="481">
        <v>260</v>
      </c>
      <c r="M59" s="478"/>
    </row>
    <row r="60" spans="1:15" x14ac:dyDescent="0.25">
      <c r="A60" s="31">
        <f>IF(D59 = "",A59+C59,A59+D59)</f>
        <v>44483.763888888905</v>
      </c>
      <c r="B60" s="37">
        <f t="shared" si="14"/>
        <v>44483.763888888905</v>
      </c>
      <c r="C60" s="432">
        <v>0.14583333333333334</v>
      </c>
      <c r="D60" s="327"/>
      <c r="E60" s="37">
        <f t="shared" si="11"/>
        <v>44483.909722222241</v>
      </c>
      <c r="F60" s="476" t="s">
        <v>2476</v>
      </c>
      <c r="G60" s="480"/>
      <c r="H60" s="481"/>
      <c r="I60" s="481"/>
      <c r="J60" s="481"/>
      <c r="K60" s="481">
        <v>260</v>
      </c>
      <c r="L60" s="481">
        <v>260</v>
      </c>
      <c r="M60" s="478"/>
    </row>
    <row r="61" spans="1:15" x14ac:dyDescent="0.25">
      <c r="A61" s="31">
        <f t="shared" si="12"/>
        <v>44483.909722222241</v>
      </c>
      <c r="B61" s="37">
        <f t="shared" si="14"/>
        <v>44483.909722222241</v>
      </c>
      <c r="C61" s="432">
        <v>0.14583333333333334</v>
      </c>
      <c r="D61" s="327"/>
      <c r="E61" s="37">
        <f t="shared" si="11"/>
        <v>44484.055555555577</v>
      </c>
      <c r="F61" s="476" t="s">
        <v>2477</v>
      </c>
      <c r="G61" s="480"/>
      <c r="H61" s="481"/>
      <c r="I61" s="481"/>
      <c r="J61" s="481"/>
      <c r="K61" s="481">
        <v>260</v>
      </c>
      <c r="L61" s="481">
        <v>260</v>
      </c>
      <c r="M61" s="478"/>
      <c r="N61" s="25" t="s">
        <v>2478</v>
      </c>
      <c r="O61" s="530">
        <f>SUM(K46:K61)</f>
        <v>3318</v>
      </c>
    </row>
    <row r="62" spans="1:15" x14ac:dyDescent="0.25">
      <c r="A62" s="31">
        <f t="shared" si="12"/>
        <v>44484.055555555577</v>
      </c>
      <c r="B62" s="37">
        <f t="shared" si="14"/>
        <v>44484.055555555577</v>
      </c>
      <c r="C62" s="432">
        <v>0.125</v>
      </c>
      <c r="D62" s="327"/>
      <c r="E62" s="37">
        <f t="shared" si="11"/>
        <v>44484.180555555577</v>
      </c>
      <c r="F62" s="476" t="s">
        <v>647</v>
      </c>
      <c r="G62" s="480"/>
      <c r="H62" s="481"/>
      <c r="I62" s="481"/>
      <c r="J62" s="481"/>
      <c r="K62" s="481"/>
      <c r="L62" s="481"/>
      <c r="M62" s="478"/>
      <c r="N62" s="25" t="s">
        <v>2479</v>
      </c>
      <c r="O62" s="530">
        <f>SUM(L16:L61)</f>
        <v>8202</v>
      </c>
    </row>
    <row r="63" spans="1:15" x14ac:dyDescent="0.25">
      <c r="A63" s="31">
        <f>IF(D62 = "",A62+C62,A62+D62)</f>
        <v>44484.180555555577</v>
      </c>
      <c r="B63" s="37">
        <f t="shared" si="14"/>
        <v>44484.180555555577</v>
      </c>
      <c r="C63" s="431">
        <v>0.125</v>
      </c>
      <c r="D63" s="327"/>
      <c r="E63" s="37">
        <f t="shared" si="11"/>
        <v>44484.305555555577</v>
      </c>
      <c r="F63" s="476" t="s">
        <v>597</v>
      </c>
      <c r="G63" s="480"/>
      <c r="H63" s="481"/>
      <c r="I63" s="481"/>
      <c r="J63" s="481"/>
      <c r="K63" s="481"/>
      <c r="L63" s="481"/>
      <c r="M63" s="478"/>
    </row>
    <row r="64" spans="1:15" x14ac:dyDescent="0.25">
      <c r="A64" s="31">
        <f>IF(D63 = "",A63+C63,A63+D63)</f>
        <v>44484.305555555577</v>
      </c>
      <c r="B64" s="37">
        <f t="shared" si="14"/>
        <v>44484.305555555577</v>
      </c>
      <c r="C64" s="431">
        <v>2.0833333333333332E-2</v>
      </c>
      <c r="D64" s="327"/>
      <c r="E64" s="37">
        <f t="shared" si="11"/>
        <v>44484.326388888912</v>
      </c>
      <c r="F64" s="476" t="s">
        <v>2461</v>
      </c>
      <c r="G64" s="480"/>
      <c r="H64" s="481"/>
      <c r="I64" s="481"/>
      <c r="J64" s="481"/>
      <c r="K64" s="481">
        <v>1206</v>
      </c>
      <c r="L64" s="481">
        <v>1206</v>
      </c>
      <c r="M64" s="478"/>
    </row>
    <row r="65" spans="1:21" x14ac:dyDescent="0.25">
      <c r="A65" s="31">
        <f t="shared" si="12"/>
        <v>44484.326388888912</v>
      </c>
      <c r="B65" s="37">
        <f t="shared" si="14"/>
        <v>44484.326388888912</v>
      </c>
      <c r="C65" s="433">
        <v>0.10416666666666667</v>
      </c>
      <c r="D65" s="327"/>
      <c r="E65" s="37">
        <f t="shared" si="11"/>
        <v>44484.430555555577</v>
      </c>
      <c r="F65" s="476" t="s">
        <v>647</v>
      </c>
      <c r="G65" s="480"/>
      <c r="H65" s="481"/>
      <c r="I65" s="481"/>
      <c r="J65" s="481"/>
      <c r="K65" s="481"/>
      <c r="L65" s="481"/>
      <c r="M65" s="478"/>
    </row>
    <row r="66" spans="1:21" x14ac:dyDescent="0.25">
      <c r="A66" s="31">
        <f t="shared" si="12"/>
        <v>44484.430555555577</v>
      </c>
      <c r="B66" s="37">
        <f t="shared" si="14"/>
        <v>44484.430555555577</v>
      </c>
      <c r="C66" s="431">
        <v>4.1666666666666664E-2</v>
      </c>
      <c r="D66" s="327" t="str">
        <f>IF(_xlfn.ISFORMULA(E66)=TRUE,"",E66-B66)</f>
        <v/>
      </c>
      <c r="E66" s="37">
        <f t="shared" si="11"/>
        <v>44484.472222222241</v>
      </c>
      <c r="F66" s="476" t="s">
        <v>648</v>
      </c>
      <c r="G66" s="480"/>
      <c r="H66" s="481"/>
      <c r="I66" s="481"/>
      <c r="J66" s="481"/>
      <c r="K66" s="481"/>
      <c r="L66" s="481"/>
      <c r="M66" s="478"/>
    </row>
    <row r="67" spans="1:21" hidden="1" x14ac:dyDescent="0.25">
      <c r="A67" s="604">
        <f>IF(D66 = "",A66+C66,A66+D66)</f>
        <v>44484.472222222241</v>
      </c>
      <c r="B67" s="605">
        <f t="shared" si="14"/>
        <v>44484.472222222241</v>
      </c>
      <c r="C67" s="805">
        <v>0</v>
      </c>
      <c r="D67" s="562"/>
      <c r="E67" s="605"/>
      <c r="F67" s="565" t="s">
        <v>2634</v>
      </c>
      <c r="G67" s="796"/>
      <c r="H67" s="800"/>
      <c r="I67" s="800"/>
      <c r="J67" s="800"/>
      <c r="K67" s="800"/>
      <c r="L67" s="800"/>
      <c r="M67" s="806"/>
    </row>
    <row r="68" spans="1:21" x14ac:dyDescent="0.25">
      <c r="A68" s="31">
        <f>IF(D67 = "",A67+C67,A67+D67)</f>
        <v>44484.472222222241</v>
      </c>
      <c r="B68" s="37">
        <f t="shared" si="14"/>
        <v>44484.472222222241</v>
      </c>
      <c r="C68" s="431">
        <v>2.0833333333333332E-2</v>
      </c>
      <c r="D68" s="327" t="str">
        <f>IF(_xlfn.ISFORMULA(E68)=TRUE,"",E68-B68)</f>
        <v/>
      </c>
      <c r="E68" s="37">
        <f t="shared" si="11"/>
        <v>44484.493055555577</v>
      </c>
      <c r="F68" s="476" t="s">
        <v>598</v>
      </c>
      <c r="G68" s="480"/>
      <c r="H68" s="481"/>
      <c r="I68" s="481"/>
      <c r="J68" s="481"/>
      <c r="K68" s="481">
        <v>37</v>
      </c>
      <c r="L68" s="481">
        <v>37</v>
      </c>
      <c r="M68" s="478"/>
    </row>
    <row r="69" spans="1:21" x14ac:dyDescent="0.25">
      <c r="A69" s="31">
        <f>IF(D68 = "",A68+C68,A68+D68)</f>
        <v>44484.493055555577</v>
      </c>
      <c r="B69" s="37">
        <f t="shared" si="14"/>
        <v>44484.493055555577</v>
      </c>
      <c r="C69" s="437">
        <v>0</v>
      </c>
      <c r="D69" s="327"/>
      <c r="E69" s="37" t="s">
        <v>99</v>
      </c>
      <c r="F69" s="484" t="s">
        <v>2450</v>
      </c>
      <c r="G69" s="480"/>
      <c r="H69" s="481"/>
      <c r="I69" s="481"/>
      <c r="J69" s="481"/>
      <c r="K69" s="481"/>
      <c r="L69" s="479"/>
      <c r="M69" s="478"/>
    </row>
    <row r="70" spans="1:21" x14ac:dyDescent="0.25">
      <c r="A70" s="31">
        <f>IF(D69 = "",A69+C69,A69+D69)</f>
        <v>44484.493055555577</v>
      </c>
      <c r="B70" s="37">
        <f t="shared" si="14"/>
        <v>44484.493055555577</v>
      </c>
      <c r="C70" s="437">
        <v>0.10416666666666667</v>
      </c>
      <c r="D70" s="327" t="str">
        <f t="shared" ref="D70" si="15">IF(_xlfn.ISFORMULA(E70)=TRUE,"",E70-B70)</f>
        <v/>
      </c>
      <c r="E70" s="37">
        <f t="shared" si="11"/>
        <v>44484.597222222241</v>
      </c>
      <c r="F70" s="476" t="s">
        <v>656</v>
      </c>
      <c r="G70" s="480"/>
      <c r="H70" s="481"/>
      <c r="I70" s="481"/>
      <c r="J70" s="481"/>
      <c r="K70" s="481"/>
      <c r="L70" s="479"/>
      <c r="M70" s="478"/>
    </row>
    <row r="71" spans="1:21" ht="11.25" customHeight="1" x14ac:dyDescent="0.25">
      <c r="A71" s="1070" t="s">
        <v>2519</v>
      </c>
      <c r="B71" s="1070"/>
      <c r="C71" s="1070"/>
      <c r="D71" s="1070"/>
      <c r="E71" s="1070"/>
      <c r="F71" s="1070"/>
      <c r="G71" s="1071"/>
      <c r="H71" s="777"/>
      <c r="I71" s="777"/>
      <c r="J71" s="777"/>
      <c r="K71" s="777"/>
      <c r="L71" s="803"/>
      <c r="M71" s="803"/>
      <c r="R71" s="26"/>
      <c r="S71" s="26"/>
      <c r="T71" s="26"/>
      <c r="U71" s="26"/>
    </row>
    <row r="72" spans="1:21" x14ac:dyDescent="0.25">
      <c r="A72" s="185">
        <v>44489.166666666664</v>
      </c>
      <c r="B72" s="467">
        <f>A72</f>
        <v>44489.166666666664</v>
      </c>
      <c r="C72" s="187">
        <v>0.14583333333333334</v>
      </c>
      <c r="D72" s="510" t="str">
        <f t="shared" ref="D72:D81" si="16">IF(_xlfn.ISFORMULA(E72)=TRUE,"",E72-B72)</f>
        <v/>
      </c>
      <c r="E72" s="467">
        <f t="shared" ref="E72:E80" si="17">B72+C72</f>
        <v>44489.3125</v>
      </c>
      <c r="F72" s="808" t="s">
        <v>589</v>
      </c>
      <c r="G72" s="573"/>
      <c r="H72" s="570"/>
      <c r="I72" s="570"/>
      <c r="J72" s="570"/>
      <c r="K72" s="570"/>
      <c r="L72" s="188"/>
      <c r="M72" s="188"/>
      <c r="R72" s="26"/>
      <c r="S72" s="26"/>
      <c r="T72" s="26"/>
      <c r="U72" s="26"/>
    </row>
    <row r="73" spans="1:21" x14ac:dyDescent="0.25">
      <c r="A73" s="31">
        <f t="shared" ref="A73:A81" si="18">IF(D72 = "",A72+C72,A72+D72)</f>
        <v>44489.3125</v>
      </c>
      <c r="B73" s="37">
        <f>IF(D72 = "",B72+C72,B72+D72)</f>
        <v>44489.3125</v>
      </c>
      <c r="C73" s="36">
        <v>2.0833333333333332E-2</v>
      </c>
      <c r="D73" s="327" t="str">
        <f t="shared" si="16"/>
        <v/>
      </c>
      <c r="E73" s="37">
        <f t="shared" si="17"/>
        <v>44489.333333333336</v>
      </c>
      <c r="F73" s="570" t="s">
        <v>2522</v>
      </c>
      <c r="G73" s="573"/>
      <c r="H73" s="570"/>
      <c r="I73" s="570"/>
      <c r="J73" s="570">
        <v>50.5</v>
      </c>
      <c r="K73" s="570"/>
      <c r="L73" s="188"/>
      <c r="M73" s="188"/>
      <c r="R73" s="26"/>
      <c r="S73" s="26"/>
      <c r="T73" s="26"/>
      <c r="U73" s="26"/>
    </row>
    <row r="74" spans="1:21" x14ac:dyDescent="0.25">
      <c r="A74" s="31">
        <f t="shared" si="18"/>
        <v>44489.333333333336</v>
      </c>
      <c r="B74" s="37">
        <f>IF(D73 = "",B73+C73,B73+D73)</f>
        <v>44489.333333333336</v>
      </c>
      <c r="C74" s="36">
        <v>0.125</v>
      </c>
      <c r="D74" s="327" t="str">
        <f t="shared" si="16"/>
        <v/>
      </c>
      <c r="E74" s="37">
        <f t="shared" si="17"/>
        <v>44489.458333333336</v>
      </c>
      <c r="F74" s="570" t="s">
        <v>2523</v>
      </c>
      <c r="G74" s="573"/>
      <c r="H74" s="570"/>
      <c r="I74" s="570"/>
      <c r="J74" s="570">
        <v>400</v>
      </c>
      <c r="K74" s="570"/>
      <c r="L74" s="188"/>
      <c r="M74" s="188"/>
      <c r="R74" s="26"/>
      <c r="S74" s="26"/>
      <c r="T74" s="26"/>
      <c r="U74" s="26"/>
    </row>
    <row r="75" spans="1:21" x14ac:dyDescent="0.25">
      <c r="A75" s="31">
        <f t="shared" si="18"/>
        <v>44489.458333333336</v>
      </c>
      <c r="B75" s="37">
        <f t="shared" ref="B75:B76" si="19">IF(D74 = "",B74+C74,B74+D74)</f>
        <v>44489.458333333336</v>
      </c>
      <c r="C75" s="36">
        <v>0.125</v>
      </c>
      <c r="D75" s="327" t="str">
        <f t="shared" si="16"/>
        <v/>
      </c>
      <c r="E75" s="37">
        <f t="shared" si="17"/>
        <v>44489.583333333336</v>
      </c>
      <c r="F75" s="570" t="s">
        <v>2525</v>
      </c>
      <c r="G75" s="573"/>
      <c r="H75" s="570"/>
      <c r="I75" s="570"/>
      <c r="J75" s="570">
        <v>400</v>
      </c>
      <c r="K75" s="570"/>
      <c r="L75" s="188"/>
      <c r="M75" s="188"/>
      <c r="R75" s="26"/>
      <c r="S75" s="26"/>
      <c r="T75" s="26"/>
      <c r="U75" s="26"/>
    </row>
    <row r="76" spans="1:21" x14ac:dyDescent="0.25">
      <c r="A76" s="31">
        <f t="shared" si="18"/>
        <v>44489.583333333336</v>
      </c>
      <c r="B76" s="37">
        <f t="shared" si="19"/>
        <v>44489.583333333336</v>
      </c>
      <c r="C76" s="36">
        <v>0.125</v>
      </c>
      <c r="D76" s="327" t="str">
        <f t="shared" si="16"/>
        <v/>
      </c>
      <c r="E76" s="37">
        <f t="shared" si="17"/>
        <v>44489.708333333336</v>
      </c>
      <c r="F76" s="570" t="s">
        <v>2526</v>
      </c>
      <c r="G76" s="573"/>
      <c r="H76" s="570"/>
      <c r="I76" s="570"/>
      <c r="J76" s="570">
        <v>400</v>
      </c>
      <c r="K76" s="570"/>
      <c r="L76" s="802"/>
      <c r="M76" s="802"/>
    </row>
    <row r="77" spans="1:21" x14ac:dyDescent="0.25">
      <c r="A77" s="31">
        <f t="shared" si="18"/>
        <v>44489.708333333336</v>
      </c>
      <c r="B77" s="37">
        <f>IF(D76 = "",B76+C76,B76+D76)</f>
        <v>44489.708333333336</v>
      </c>
      <c r="C77" s="36">
        <v>0.10416666666666667</v>
      </c>
      <c r="D77" s="327" t="str">
        <f t="shared" si="16"/>
        <v/>
      </c>
      <c r="E77" s="37">
        <f t="shared" si="17"/>
        <v>44489.8125</v>
      </c>
      <c r="F77" s="570" t="s">
        <v>2527</v>
      </c>
      <c r="G77" s="573"/>
      <c r="H77" s="570"/>
      <c r="I77" s="570"/>
      <c r="J77" s="570">
        <v>300</v>
      </c>
      <c r="K77" s="570"/>
      <c r="L77" s="802"/>
      <c r="M77" s="802"/>
    </row>
    <row r="78" spans="1:21" x14ac:dyDescent="0.25">
      <c r="A78" s="31">
        <f t="shared" si="18"/>
        <v>44489.8125</v>
      </c>
      <c r="B78" s="37">
        <f t="shared" ref="B78:B80" si="20">IF(D77 = "",B77+C77,B77+D77)</f>
        <v>44489.8125</v>
      </c>
      <c r="C78" s="36">
        <v>0</v>
      </c>
      <c r="D78" s="327"/>
      <c r="E78" s="37" t="s">
        <v>99</v>
      </c>
      <c r="F78" s="576" t="s">
        <v>2528</v>
      </c>
      <c r="G78" s="573"/>
      <c r="H78" s="570"/>
      <c r="I78" s="570"/>
      <c r="J78" s="570"/>
      <c r="K78" s="570"/>
      <c r="L78" s="802"/>
      <c r="M78" s="802"/>
    </row>
    <row r="79" spans="1:21" x14ac:dyDescent="0.25">
      <c r="A79" s="31">
        <f t="shared" si="18"/>
        <v>44489.8125</v>
      </c>
      <c r="B79" s="37">
        <f t="shared" si="20"/>
        <v>44489.8125</v>
      </c>
      <c r="C79" s="36">
        <v>6.25E-2</v>
      </c>
      <c r="D79" s="327" t="str">
        <f t="shared" si="16"/>
        <v/>
      </c>
      <c r="E79" s="37">
        <f t="shared" si="17"/>
        <v>44489.875</v>
      </c>
      <c r="F79" s="570" t="s">
        <v>656</v>
      </c>
      <c r="G79" s="573"/>
      <c r="H79" s="570"/>
      <c r="I79" s="570"/>
      <c r="J79" s="570"/>
      <c r="K79" s="570"/>
      <c r="L79" s="802"/>
      <c r="M79" s="802"/>
    </row>
    <row r="80" spans="1:21" x14ac:dyDescent="0.25">
      <c r="A80" s="31">
        <f t="shared" si="18"/>
        <v>44489.875</v>
      </c>
      <c r="B80" s="37">
        <f t="shared" si="20"/>
        <v>44489.875</v>
      </c>
      <c r="C80" s="36">
        <v>1.3888888888888888E-2</v>
      </c>
      <c r="D80" s="327" t="str">
        <f t="shared" si="16"/>
        <v/>
      </c>
      <c r="E80" s="37">
        <f t="shared" si="17"/>
        <v>44489.888888888891</v>
      </c>
      <c r="F80" s="570" t="s">
        <v>2464</v>
      </c>
      <c r="G80" s="573"/>
      <c r="H80" s="570"/>
      <c r="I80" s="570"/>
      <c r="J80" s="570"/>
      <c r="K80" s="570">
        <v>130</v>
      </c>
      <c r="L80" s="802"/>
      <c r="M80" s="802"/>
    </row>
    <row r="81" spans="1:13" x14ac:dyDescent="0.25">
      <c r="A81" s="31">
        <f t="shared" si="18"/>
        <v>44489.888888888891</v>
      </c>
      <c r="B81" s="37">
        <f>IF(D80 = "",B80+C80,B80+D80)</f>
        <v>44489.888888888891</v>
      </c>
      <c r="C81" s="36">
        <v>1.3888888888888888E-2</v>
      </c>
      <c r="D81" s="327" t="str">
        <f t="shared" si="16"/>
        <v/>
      </c>
      <c r="E81" s="37">
        <f>B81+C81</f>
        <v>44489.902777777781</v>
      </c>
      <c r="F81" s="570" t="s">
        <v>2654</v>
      </c>
      <c r="G81" s="573"/>
      <c r="H81" s="570"/>
      <c r="I81" s="570"/>
      <c r="J81" s="570">
        <v>116.1</v>
      </c>
      <c r="K81" s="570"/>
      <c r="L81" s="802"/>
      <c r="M81" s="802"/>
    </row>
    <row r="82" spans="1:13" x14ac:dyDescent="0.25">
      <c r="A82" s="1103" t="s">
        <v>2466</v>
      </c>
      <c r="B82" s="1104"/>
      <c r="C82" s="1104"/>
      <c r="D82" s="1104"/>
      <c r="E82" s="1104"/>
      <c r="F82" s="1104"/>
      <c r="G82" s="1104"/>
      <c r="H82" s="1104"/>
      <c r="I82" s="1104"/>
      <c r="J82" s="1104"/>
      <c r="K82" s="1105"/>
      <c r="L82" s="804"/>
      <c r="M82" s="804"/>
    </row>
    <row r="83" spans="1:13" ht="13.5" customHeight="1" x14ac:dyDescent="0.25">
      <c r="A83" s="31">
        <f>IF(D81 = "",A81+C81,A81+D81)</f>
        <v>44489.902777777781</v>
      </c>
      <c r="B83" s="37">
        <f>IF(D81 = "",B81+C81,B81+D81)</f>
        <v>44489.902777777781</v>
      </c>
      <c r="C83" s="170">
        <v>0</v>
      </c>
      <c r="D83" s="327"/>
      <c r="E83" s="37">
        <f>B83+C83</f>
        <v>44489.902777777781</v>
      </c>
      <c r="F83" s="570" t="s">
        <v>2464</v>
      </c>
      <c r="G83" s="589"/>
      <c r="H83" s="481"/>
      <c r="I83" s="481"/>
      <c r="J83" s="481"/>
      <c r="K83" s="481"/>
      <c r="L83" s="802"/>
      <c r="M83" s="802"/>
    </row>
    <row r="84" spans="1:13" ht="13.5" customHeight="1" x14ac:dyDescent="0.25">
      <c r="A84" s="31">
        <f>IF(D83 = "",A83+C83,A83+D83)</f>
        <v>44489.902777777781</v>
      </c>
      <c r="B84" s="37">
        <f>IF(D83 = "",B83+C83,B83+D83)</f>
        <v>44489.902777777781</v>
      </c>
      <c r="C84" s="170">
        <v>0</v>
      </c>
      <c r="D84" s="327"/>
      <c r="E84" s="37">
        <f t="shared" ref="E84:E98" si="21">B84+C84</f>
        <v>44489.902777777781</v>
      </c>
      <c r="F84" s="570" t="s">
        <v>2654</v>
      </c>
      <c r="G84" s="589"/>
      <c r="H84" s="481"/>
      <c r="I84" s="481"/>
      <c r="J84" s="481"/>
      <c r="K84" s="481"/>
      <c r="L84" s="802"/>
      <c r="M84" s="802"/>
    </row>
    <row r="85" spans="1:13" ht="13.5" customHeight="1" x14ac:dyDescent="0.25">
      <c r="A85" s="31">
        <f>IF(D84 = "",A84+C84,A84+D84)</f>
        <v>44489.902777777781</v>
      </c>
      <c r="B85" s="37">
        <f t="shared" ref="B85:B98" si="22">IF(D84 = "",B84+C84,B84+D84)</f>
        <v>44489.902777777781</v>
      </c>
      <c r="C85" s="170">
        <v>1.3888888888888888E-2</v>
      </c>
      <c r="D85" s="327"/>
      <c r="E85" s="37">
        <f t="shared" si="21"/>
        <v>44489.916666666672</v>
      </c>
      <c r="F85" s="584" t="s">
        <v>2545</v>
      </c>
      <c r="G85" s="589"/>
      <c r="H85" s="481"/>
      <c r="I85" s="481"/>
      <c r="J85" s="481"/>
      <c r="K85" s="481"/>
      <c r="L85" s="802"/>
      <c r="M85" s="802"/>
    </row>
    <row r="86" spans="1:13" ht="13.5" customHeight="1" x14ac:dyDescent="0.25">
      <c r="A86" s="31">
        <f t="shared" ref="A86:A98" si="23">IF(D85 = "",A85+C85,A85+D85)</f>
        <v>44489.916666666672</v>
      </c>
      <c r="B86" s="37">
        <f t="shared" si="22"/>
        <v>44489.916666666672</v>
      </c>
      <c r="C86" s="170">
        <v>3.125E-2</v>
      </c>
      <c r="D86" s="327"/>
      <c r="E86" s="37">
        <f t="shared" si="21"/>
        <v>44489.947916666672</v>
      </c>
      <c r="F86" s="584" t="s">
        <v>2655</v>
      </c>
      <c r="G86" s="480"/>
      <c r="H86" s="481"/>
      <c r="I86" s="481"/>
      <c r="J86" s="481"/>
      <c r="K86" s="481"/>
      <c r="L86" s="802"/>
      <c r="M86" s="802"/>
    </row>
    <row r="87" spans="1:13" x14ac:dyDescent="0.25">
      <c r="A87" s="31">
        <f t="shared" si="23"/>
        <v>44489.947916666672</v>
      </c>
      <c r="B87" s="37">
        <f t="shared" si="22"/>
        <v>44489.947916666672</v>
      </c>
      <c r="C87" s="170">
        <v>1.3888888888888888E-2</v>
      </c>
      <c r="D87" s="327"/>
      <c r="E87" s="37">
        <f t="shared" si="21"/>
        <v>44489.961805555562</v>
      </c>
      <c r="F87" s="600" t="s">
        <v>2546</v>
      </c>
      <c r="G87" s="480"/>
      <c r="H87" s="481"/>
      <c r="I87" s="481"/>
      <c r="J87" s="481"/>
      <c r="K87" s="481"/>
      <c r="L87" s="802"/>
      <c r="M87" s="802"/>
    </row>
    <row r="88" spans="1:13" x14ac:dyDescent="0.25">
      <c r="A88" s="31">
        <f t="shared" si="23"/>
        <v>44489.961805555562</v>
      </c>
      <c r="B88" s="37">
        <f t="shared" si="22"/>
        <v>44489.961805555562</v>
      </c>
      <c r="C88" s="170">
        <v>0.11458333333333333</v>
      </c>
      <c r="D88" s="327"/>
      <c r="E88" s="37">
        <f t="shared" si="21"/>
        <v>44490.076388888898</v>
      </c>
      <c r="F88" s="601" t="s">
        <v>589</v>
      </c>
      <c r="G88" s="480"/>
      <c r="H88" s="481"/>
      <c r="I88" s="481"/>
      <c r="J88" s="481"/>
      <c r="K88" s="481"/>
      <c r="L88" s="802"/>
      <c r="M88" s="802"/>
    </row>
    <row r="89" spans="1:13" x14ac:dyDescent="0.25">
      <c r="A89" s="31">
        <f t="shared" si="23"/>
        <v>44490.076388888898</v>
      </c>
      <c r="B89" s="37">
        <f t="shared" si="22"/>
        <v>44490.076388888898</v>
      </c>
      <c r="C89" s="170">
        <v>1.3888888888888888E-2</v>
      </c>
      <c r="D89" s="327"/>
      <c r="E89" s="37">
        <f t="shared" si="21"/>
        <v>44490.090277777788</v>
      </c>
      <c r="F89" s="482" t="s">
        <v>632</v>
      </c>
      <c r="G89" s="480"/>
      <c r="H89" s="481"/>
      <c r="I89" s="481"/>
      <c r="J89" s="481">
        <v>53.22811529933481</v>
      </c>
      <c r="K89" s="481"/>
      <c r="L89" s="802"/>
      <c r="M89" s="802"/>
    </row>
    <row r="90" spans="1:13" x14ac:dyDescent="0.25">
      <c r="A90" s="31">
        <f t="shared" si="23"/>
        <v>44490.090277777788</v>
      </c>
      <c r="B90" s="37">
        <f t="shared" si="22"/>
        <v>44490.090277777788</v>
      </c>
      <c r="C90" s="170">
        <v>0.125</v>
      </c>
      <c r="D90" s="327"/>
      <c r="E90" s="37">
        <f t="shared" si="21"/>
        <v>44490.215277777788</v>
      </c>
      <c r="F90" s="482" t="s">
        <v>633</v>
      </c>
      <c r="G90" s="480"/>
      <c r="H90" s="481"/>
      <c r="I90" s="481"/>
      <c r="J90" s="481">
        <v>402.40454545454548</v>
      </c>
      <c r="K90" s="481"/>
      <c r="L90" s="802"/>
      <c r="M90" s="802"/>
    </row>
    <row r="91" spans="1:13" x14ac:dyDescent="0.25">
      <c r="A91" s="31">
        <f t="shared" si="23"/>
        <v>44490.215277777788</v>
      </c>
      <c r="B91" s="37">
        <f t="shared" si="22"/>
        <v>44490.215277777788</v>
      </c>
      <c r="C91" s="170">
        <v>0.125</v>
      </c>
      <c r="D91" s="327"/>
      <c r="E91" s="37">
        <f t="shared" si="21"/>
        <v>44490.340277777788</v>
      </c>
      <c r="F91" s="482" t="s">
        <v>634</v>
      </c>
      <c r="G91" s="480"/>
      <c r="H91" s="481"/>
      <c r="I91" s="481"/>
      <c r="J91" s="481">
        <v>401.28492239467846</v>
      </c>
      <c r="K91" s="481"/>
      <c r="L91" s="802"/>
      <c r="M91" s="802"/>
    </row>
    <row r="92" spans="1:13" x14ac:dyDescent="0.25">
      <c r="A92" s="31">
        <f t="shared" si="23"/>
        <v>44490.340277777788</v>
      </c>
      <c r="B92" s="37">
        <f t="shared" si="22"/>
        <v>44490.340277777788</v>
      </c>
      <c r="C92" s="170">
        <v>0.125</v>
      </c>
      <c r="D92" s="327"/>
      <c r="E92" s="37">
        <f t="shared" si="21"/>
        <v>44490.465277777788</v>
      </c>
      <c r="F92" s="482" t="s">
        <v>635</v>
      </c>
      <c r="G92" s="480"/>
      <c r="H92" s="481"/>
      <c r="I92" s="481"/>
      <c r="J92" s="481">
        <v>401.58048780487803</v>
      </c>
      <c r="K92" s="481"/>
      <c r="L92" s="188"/>
      <c r="M92" s="188"/>
    </row>
    <row r="93" spans="1:13" x14ac:dyDescent="0.25">
      <c r="A93" s="31">
        <f t="shared" si="23"/>
        <v>44490.465277777788</v>
      </c>
      <c r="B93" s="37">
        <f t="shared" si="22"/>
        <v>44490.465277777788</v>
      </c>
      <c r="C93" s="170">
        <v>0.125</v>
      </c>
      <c r="D93" s="327"/>
      <c r="E93" s="37">
        <f t="shared" si="21"/>
        <v>44490.590277777788</v>
      </c>
      <c r="F93" s="482" t="s">
        <v>636</v>
      </c>
      <c r="G93" s="480"/>
      <c r="H93" s="481"/>
      <c r="I93" s="481"/>
      <c r="J93" s="481">
        <v>302.87261640798226</v>
      </c>
      <c r="K93" s="481"/>
      <c r="L93" s="188"/>
      <c r="M93" s="188"/>
    </row>
    <row r="94" spans="1:13" x14ac:dyDescent="0.25">
      <c r="A94" s="31">
        <f t="shared" si="23"/>
        <v>44490.590277777788</v>
      </c>
      <c r="B94" s="37">
        <f t="shared" si="22"/>
        <v>44490.590277777788</v>
      </c>
      <c r="C94" s="170">
        <v>2.0833333333333332E-2</v>
      </c>
      <c r="D94" s="327" t="str">
        <f t="shared" ref="D94:D96" si="24">IF(_xlfn.ISFORMULA(E94)=TRUE,"",E94-B94)</f>
        <v/>
      </c>
      <c r="E94" s="37">
        <f t="shared" si="21"/>
        <v>44490.611111111124</v>
      </c>
      <c r="F94" s="482" t="s">
        <v>2656</v>
      </c>
      <c r="G94" s="480"/>
      <c r="H94" s="481"/>
      <c r="I94" s="481"/>
      <c r="J94" s="481"/>
      <c r="K94" s="481"/>
      <c r="L94" s="188"/>
      <c r="M94" s="188"/>
    </row>
    <row r="95" spans="1:13" x14ac:dyDescent="0.25">
      <c r="A95" s="31">
        <f t="shared" si="23"/>
        <v>44490.611111111124</v>
      </c>
      <c r="B95" s="37">
        <f t="shared" si="22"/>
        <v>44490.611111111124</v>
      </c>
      <c r="C95" s="170">
        <v>0</v>
      </c>
      <c r="D95" s="327"/>
      <c r="E95" s="37" t="s">
        <v>99</v>
      </c>
      <c r="F95" s="710" t="s">
        <v>638</v>
      </c>
      <c r="G95" s="480"/>
      <c r="H95" s="481"/>
      <c r="I95" s="481"/>
      <c r="J95" s="481"/>
      <c r="K95" s="481"/>
      <c r="L95" s="188"/>
      <c r="M95" s="188"/>
    </row>
    <row r="96" spans="1:13" x14ac:dyDescent="0.25">
      <c r="A96" s="31">
        <f t="shared" si="23"/>
        <v>44490.611111111124</v>
      </c>
      <c r="B96" s="37">
        <f t="shared" si="22"/>
        <v>44490.611111111124</v>
      </c>
      <c r="C96" s="170">
        <v>6.5972222222222224E-2</v>
      </c>
      <c r="D96" s="327" t="str">
        <f t="shared" si="24"/>
        <v/>
      </c>
      <c r="E96" s="37">
        <f t="shared" si="21"/>
        <v>44490.677083333343</v>
      </c>
      <c r="F96" s="482" t="s">
        <v>639</v>
      </c>
      <c r="G96" s="480"/>
      <c r="H96" s="481"/>
      <c r="I96" s="481"/>
      <c r="J96" s="481"/>
      <c r="K96" s="481"/>
      <c r="L96" s="188"/>
      <c r="M96" s="188"/>
    </row>
    <row r="97" spans="1:13" x14ac:dyDescent="0.25">
      <c r="A97" s="31">
        <f t="shared" si="23"/>
        <v>44490.677083333343</v>
      </c>
      <c r="B97" s="37">
        <f t="shared" si="22"/>
        <v>44490.677083333343</v>
      </c>
      <c r="C97" s="170">
        <v>1.3888888888888888E-2</v>
      </c>
      <c r="D97" s="327"/>
      <c r="E97" s="37">
        <f t="shared" si="21"/>
        <v>44490.690972222234</v>
      </c>
      <c r="F97" s="570" t="s">
        <v>2547</v>
      </c>
      <c r="G97" s="480"/>
      <c r="H97" s="481"/>
      <c r="I97" s="481"/>
      <c r="J97" s="481"/>
      <c r="K97" s="481"/>
      <c r="L97" s="188"/>
      <c r="M97" s="188"/>
    </row>
    <row r="98" spans="1:13" x14ac:dyDescent="0.25">
      <c r="A98" s="31">
        <f t="shared" si="23"/>
        <v>44490.690972222234</v>
      </c>
      <c r="B98" s="37">
        <f t="shared" si="22"/>
        <v>44490.690972222234</v>
      </c>
      <c r="C98" s="170">
        <v>1.3888888888888888E-2</v>
      </c>
      <c r="D98" s="327"/>
      <c r="E98" s="37">
        <f t="shared" si="21"/>
        <v>44490.704861111124</v>
      </c>
      <c r="F98" s="570" t="s">
        <v>2548</v>
      </c>
      <c r="G98" s="480"/>
      <c r="H98" s="481"/>
      <c r="I98" s="481"/>
      <c r="J98" s="481"/>
      <c r="K98" s="481"/>
      <c r="L98" s="188"/>
      <c r="M98" s="188"/>
    </row>
    <row r="99" spans="1:13" x14ac:dyDescent="0.25">
      <c r="A99" s="807" t="s">
        <v>2657</v>
      </c>
      <c r="B99" s="807"/>
      <c r="C99" s="807"/>
      <c r="D99" s="807"/>
      <c r="E99" s="807"/>
      <c r="F99" s="807"/>
    </row>
    <row r="100" spans="1:13" x14ac:dyDescent="0.25">
      <c r="A100" s="31">
        <v>44491.125</v>
      </c>
      <c r="B100" s="37">
        <f>A100</f>
        <v>44491.125</v>
      </c>
      <c r="C100" s="170">
        <v>0.10416666666666667</v>
      </c>
      <c r="D100" s="327"/>
      <c r="E100" s="37">
        <f>B100+C100</f>
        <v>44491.229166666664</v>
      </c>
      <c r="F100" s="484" t="s">
        <v>2451</v>
      </c>
    </row>
  </sheetData>
  <mergeCells count="4">
    <mergeCell ref="A1:B1"/>
    <mergeCell ref="A71:G71"/>
    <mergeCell ref="A82:K82"/>
    <mergeCell ref="A5:C5"/>
  </mergeCells>
  <pageMargins left="0.75" right="0.75" top="1" bottom="1" header="0.5" footer="0.5"/>
  <pageSetup orientation="portrait" r:id="rId1"/>
  <headerFooter alignWithMargins="0">
    <oddFooter>&amp;R&amp;"Arial,Regular"&amp;08&amp;K7F7F7FAmgen Proprietary - Confidential   &amp;C&amp;"Arial,Regular"&amp;08&amp;K7F7F7FAmgen Proprietary - For Internal Use Only</oddFooter>
    <evenFooter>&amp;R&amp;"Arial,Regular"&amp;08&amp;K7F7F7FAmgen Proprietary - Confidential   &amp;C&amp;"Arial,Regular"&amp;08&amp;K7F7F7FAmgen Proprietary - For Internal Use Only</evenFooter>
    <firstFooter>&amp;R&amp;"Arial,Regular"&amp;08&amp;K7F7F7FAmgen Proprietary - Confidential   &amp;C&amp;"Arial,Regular"&amp;08&amp;K7F7F7FAmgen Proprietary - For Internal Use Only</firstFooter>
  </headerFooter>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6550A7-9AD3-4229-A824-80F98CE19429}">
  <sheetPr codeName="Sheet49">
    <pageSetUpPr autoPageBreaks="0"/>
  </sheetPr>
  <dimension ref="A1:O59"/>
  <sheetViews>
    <sheetView topLeftCell="A3" zoomScaleNormal="100" workbookViewId="0">
      <selection activeCell="F34" sqref="F34"/>
    </sheetView>
  </sheetViews>
  <sheetFormatPr defaultColWidth="23.453125" defaultRowHeight="11.5" x14ac:dyDescent="0.25"/>
  <cols>
    <col min="1" max="1" width="26" style="25" customWidth="1"/>
    <col min="2" max="2" width="28.453125" style="25" customWidth="1"/>
    <col min="3" max="3" width="25" style="25" customWidth="1"/>
    <col min="4" max="4" width="17.54296875" style="25" customWidth="1"/>
    <col min="5" max="5" width="23.453125" style="25" customWidth="1"/>
    <col min="6" max="6" width="67.54296875" style="25" bestFit="1" customWidth="1"/>
    <col min="7" max="7" width="41.453125" style="25" bestFit="1" customWidth="1"/>
    <col min="8" max="8" width="16.54296875" style="25" customWidth="1"/>
    <col min="9" max="9" width="14.453125" style="25" customWidth="1"/>
    <col min="10" max="10" width="11.54296875" style="25" customWidth="1"/>
    <col min="11" max="11" width="12.453125" style="25" customWidth="1"/>
    <col min="12" max="12" width="13.54296875" style="25" customWidth="1"/>
    <col min="13" max="13" width="13.453125" style="25" customWidth="1"/>
    <col min="14" max="16384" width="23.453125" style="25"/>
  </cols>
  <sheetData>
    <row r="1" spans="1:15" x14ac:dyDescent="0.25">
      <c r="A1" s="1100" t="s">
        <v>479</v>
      </c>
      <c r="B1" s="1100"/>
    </row>
    <row r="2" spans="1:15" x14ac:dyDescent="0.25">
      <c r="A2" s="781" t="s">
        <v>480</v>
      </c>
      <c r="B2" s="31">
        <f>A11</f>
        <v>44501.395833333336</v>
      </c>
    </row>
    <row r="3" spans="1:15" x14ac:dyDescent="0.25">
      <c r="A3" s="781" t="s">
        <v>482</v>
      </c>
      <c r="B3" s="541">
        <f>A11</f>
        <v>44501.395833333336</v>
      </c>
    </row>
    <row r="5" spans="1:15" x14ac:dyDescent="0.25">
      <c r="A5" s="1100" t="s">
        <v>484</v>
      </c>
      <c r="B5" s="1100"/>
      <c r="C5" s="1100"/>
      <c r="D5" s="1100"/>
    </row>
    <row r="6" spans="1:15" x14ac:dyDescent="0.25">
      <c r="A6" s="781" t="s">
        <v>485</v>
      </c>
      <c r="B6" s="781" t="s">
        <v>486</v>
      </c>
      <c r="C6" s="781" t="s">
        <v>487</v>
      </c>
      <c r="D6" s="781" t="s">
        <v>488</v>
      </c>
    </row>
    <row r="7" spans="1:15" x14ac:dyDescent="0.25">
      <c r="A7" s="324" t="str">
        <f>F13</f>
        <v>IPC: Reaction Conversion</v>
      </c>
      <c r="B7" s="325">
        <f>INDEX($B$11:$B$66,MATCH(A7,$F$11:$F$66,0))</f>
        <v>44501.875</v>
      </c>
      <c r="C7" s="272">
        <f>INDEX($B$11:$B$66,MATCH(A7,$F$11:$F$66,0))</f>
        <v>44501.875</v>
      </c>
      <c r="D7" s="405"/>
    </row>
    <row r="8" spans="1:15" x14ac:dyDescent="0.25">
      <c r="A8" s="324" t="str">
        <f>F34</f>
        <v>IPC: GC, LC, KF</v>
      </c>
      <c r="B8" s="325">
        <f>A34</f>
        <v>44509.500000000007</v>
      </c>
      <c r="C8" s="272">
        <f>INDEX($B$11:$B$66,MATCH(A8,$F$11:$F$66,0))</f>
        <v>44509.500000000007</v>
      </c>
      <c r="D8" s="405"/>
      <c r="E8" s="399"/>
    </row>
    <row r="10" spans="1:15" ht="23" x14ac:dyDescent="0.25">
      <c r="A10" s="749" t="s">
        <v>492</v>
      </c>
      <c r="B10" s="749" t="s">
        <v>493</v>
      </c>
      <c r="C10" s="749" t="s">
        <v>494</v>
      </c>
      <c r="D10" s="86" t="s">
        <v>495</v>
      </c>
      <c r="E10" s="749" t="s">
        <v>540</v>
      </c>
      <c r="F10" s="749" t="s">
        <v>541</v>
      </c>
      <c r="G10" s="749" t="s">
        <v>498</v>
      </c>
      <c r="H10" s="184" t="s">
        <v>92</v>
      </c>
      <c r="I10" s="184" t="s">
        <v>248</v>
      </c>
      <c r="J10" s="184" t="s">
        <v>267</v>
      </c>
      <c r="K10" s="184" t="s">
        <v>677</v>
      </c>
      <c r="L10" s="184" t="s">
        <v>678</v>
      </c>
      <c r="M10" s="184" t="s">
        <v>501</v>
      </c>
    </row>
    <row r="11" spans="1:15" ht="12" customHeight="1" x14ac:dyDescent="0.25">
      <c r="A11" s="31">
        <v>44501.395833333336</v>
      </c>
      <c r="B11" s="38">
        <f>A11</f>
        <v>44501.395833333336</v>
      </c>
      <c r="C11" s="170">
        <v>0.22916666666666666</v>
      </c>
      <c r="D11" s="327" t="str">
        <f>IF(_xlfn.ISFORMULA(E11)=TRUE,"",E11-B11)</f>
        <v/>
      </c>
      <c r="E11" s="37">
        <f>B11+C11</f>
        <v>44501.625</v>
      </c>
      <c r="F11" s="264" t="s">
        <v>679</v>
      </c>
      <c r="G11" s="78"/>
      <c r="H11" s="352"/>
      <c r="I11" s="352"/>
      <c r="J11" s="352"/>
      <c r="K11" s="352"/>
      <c r="L11" s="352"/>
      <c r="M11" s="352"/>
      <c r="N11" s="1066" t="s">
        <v>609</v>
      </c>
      <c r="O11" s="1067"/>
    </row>
    <row r="12" spans="1:15" ht="12" customHeight="1" x14ac:dyDescent="0.25">
      <c r="A12" s="31">
        <f>IF(D11 = "",A11+C11,A11+D11)</f>
        <v>44501.625</v>
      </c>
      <c r="B12" s="37">
        <f t="shared" ref="B12:B21" si="0">IF(D11 = "",B11+C11,B11+D11)</f>
        <v>44501.625</v>
      </c>
      <c r="C12" s="170">
        <v>0.25</v>
      </c>
      <c r="D12" s="327" t="str">
        <f t="shared" ref="D12:D35" si="1">IF(_xlfn.ISFORMULA(E12)=TRUE,"",E12-B12)</f>
        <v/>
      </c>
      <c r="E12" s="37">
        <f t="shared" ref="E12:E14" si="2">B12+C12</f>
        <v>44501.875</v>
      </c>
      <c r="F12" s="264" t="s">
        <v>680</v>
      </c>
      <c r="G12" s="35"/>
      <c r="H12" s="778"/>
      <c r="I12" s="778"/>
      <c r="J12" s="778"/>
      <c r="K12" s="778"/>
      <c r="L12" s="778"/>
      <c r="M12" s="778"/>
      <c r="N12" s="268" t="s">
        <v>681</v>
      </c>
      <c r="O12" s="343">
        <f>SUM(L11:L14)</f>
        <v>606.29999999999995</v>
      </c>
    </row>
    <row r="13" spans="1:15" ht="12" customHeight="1" x14ac:dyDescent="0.25">
      <c r="A13" s="31">
        <f t="shared" ref="A13" si="3">IF(D12 = "",A12+C12,A12+D12)</f>
        <v>44501.875</v>
      </c>
      <c r="B13" s="37">
        <f t="shared" si="0"/>
        <v>44501.875</v>
      </c>
      <c r="C13" s="170">
        <v>0.13541666666666666</v>
      </c>
      <c r="D13" s="327" t="str">
        <f t="shared" si="1"/>
        <v/>
      </c>
      <c r="E13" s="37">
        <f t="shared" si="2"/>
        <v>44502.010416666664</v>
      </c>
      <c r="F13" s="320" t="s">
        <v>567</v>
      </c>
      <c r="G13" s="39"/>
      <c r="H13" s="778"/>
      <c r="I13" s="778"/>
      <c r="J13" s="778"/>
      <c r="K13" s="778"/>
      <c r="L13" s="778"/>
      <c r="M13" s="778"/>
      <c r="N13" s="268" t="s">
        <v>682</v>
      </c>
      <c r="O13" s="343">
        <f>SUM(M11:M14)</f>
        <v>0</v>
      </c>
    </row>
    <row r="14" spans="1:15" ht="12" customHeight="1" x14ac:dyDescent="0.25">
      <c r="A14" s="31">
        <f>IF(D13 = "",A13+C13,A13+D13)</f>
        <v>44502.010416666664</v>
      </c>
      <c r="B14" s="37">
        <f t="shared" si="0"/>
        <v>44502.010416666664</v>
      </c>
      <c r="C14" s="170">
        <v>0.39583333333333331</v>
      </c>
      <c r="D14" s="327" t="str">
        <f t="shared" si="1"/>
        <v/>
      </c>
      <c r="E14" s="37">
        <f t="shared" si="2"/>
        <v>44502.40625</v>
      </c>
      <c r="F14" s="321" t="s">
        <v>683</v>
      </c>
      <c r="G14" s="35"/>
      <c r="H14" s="778">
        <v>511.4</v>
      </c>
      <c r="I14" s="778"/>
      <c r="J14" s="778">
        <v>94.9</v>
      </c>
      <c r="K14" s="778"/>
      <c r="L14" s="778">
        <f>H14+J14</f>
        <v>606.29999999999995</v>
      </c>
      <c r="M14" s="778"/>
    </row>
    <row r="15" spans="1:15" ht="12" customHeight="1" x14ac:dyDescent="0.25">
      <c r="A15" s="1097" t="s">
        <v>2554</v>
      </c>
      <c r="B15" s="1098"/>
      <c r="C15" s="1098"/>
      <c r="D15" s="1098"/>
      <c r="E15" s="1098"/>
      <c r="F15" s="1098"/>
      <c r="G15" s="1098"/>
      <c r="H15" s="1098"/>
      <c r="I15" s="1098"/>
      <c r="J15" s="1098"/>
      <c r="K15" s="1098"/>
      <c r="L15" s="1098"/>
      <c r="M15" s="1099"/>
    </row>
    <row r="16" spans="1:15" ht="12" customHeight="1" x14ac:dyDescent="0.25">
      <c r="A16" s="706">
        <f>IF(D14 = "",A14+C14,A14+D14)</f>
        <v>44502.40625</v>
      </c>
      <c r="B16" s="685">
        <f>A14+"1:00"</f>
        <v>44502.052083333328</v>
      </c>
      <c r="C16" s="707">
        <v>2.0833333333333332E-2</v>
      </c>
      <c r="D16" s="327" t="str">
        <f t="shared" si="1"/>
        <v/>
      </c>
      <c r="E16" s="685">
        <f>B16+C16</f>
        <v>44502.072916666664</v>
      </c>
      <c r="F16" s="708" t="s">
        <v>684</v>
      </c>
      <c r="G16" s="1101" t="s">
        <v>685</v>
      </c>
      <c r="H16" s="709"/>
      <c r="I16" s="709">
        <v>50</v>
      </c>
      <c r="J16" s="709"/>
      <c r="K16" s="709"/>
      <c r="L16" s="709"/>
      <c r="M16" s="709">
        <f>I16</f>
        <v>50</v>
      </c>
      <c r="N16" s="1066" t="s">
        <v>624</v>
      </c>
      <c r="O16" s="1067"/>
    </row>
    <row r="17" spans="1:15" ht="12" customHeight="1" x14ac:dyDescent="0.25">
      <c r="A17" s="706">
        <f t="shared" ref="A17:A21" si="4">IF(D16 = "",A16+C16,A16+D16)</f>
        <v>44502.427083333336</v>
      </c>
      <c r="B17" s="685">
        <f t="shared" si="0"/>
        <v>44502.072916666664</v>
      </c>
      <c r="C17" s="707">
        <v>1.0416666666666666E-2</v>
      </c>
      <c r="D17" s="327" t="str">
        <f t="shared" si="1"/>
        <v/>
      </c>
      <c r="E17" s="685">
        <f t="shared" ref="E17:E35" si="5">B17+C17</f>
        <v>44502.083333333328</v>
      </c>
      <c r="F17" s="708" t="s">
        <v>2555</v>
      </c>
      <c r="G17" s="1102"/>
      <c r="H17" s="709">
        <v>150</v>
      </c>
      <c r="I17" s="709"/>
      <c r="J17" s="709"/>
      <c r="K17" s="709"/>
      <c r="L17" s="709">
        <f>H17</f>
        <v>150</v>
      </c>
      <c r="M17" s="709"/>
      <c r="N17" s="268" t="s">
        <v>681</v>
      </c>
      <c r="O17" s="343">
        <f>SUM(L16:L23)</f>
        <v>250</v>
      </c>
    </row>
    <row r="18" spans="1:15" ht="12" customHeight="1" x14ac:dyDescent="0.25">
      <c r="A18" s="706">
        <f t="shared" si="4"/>
        <v>44502.4375</v>
      </c>
      <c r="B18" s="685">
        <f t="shared" si="0"/>
        <v>44502.083333333328</v>
      </c>
      <c r="C18" s="707">
        <v>4.1666666666666664E-2</v>
      </c>
      <c r="D18" s="327" t="str">
        <f t="shared" si="1"/>
        <v/>
      </c>
      <c r="E18" s="685">
        <f t="shared" si="5"/>
        <v>44502.124999999993</v>
      </c>
      <c r="F18" s="708" t="s">
        <v>2556</v>
      </c>
      <c r="G18" s="1102"/>
      <c r="H18" s="709">
        <v>100</v>
      </c>
      <c r="I18" s="709"/>
      <c r="J18" s="709"/>
      <c r="K18" s="709"/>
      <c r="L18" s="709">
        <v>100</v>
      </c>
      <c r="M18" s="709"/>
      <c r="N18" s="268" t="s">
        <v>682</v>
      </c>
      <c r="O18" s="343">
        <f>SUM(M16:M23)</f>
        <v>400</v>
      </c>
    </row>
    <row r="19" spans="1:15" ht="12" customHeight="1" x14ac:dyDescent="0.25">
      <c r="A19" s="706">
        <f t="shared" si="4"/>
        <v>44502.479166666664</v>
      </c>
      <c r="B19" s="685">
        <f t="shared" si="0"/>
        <v>44502.124999999993</v>
      </c>
      <c r="C19" s="707">
        <v>1.0416666666666666E-2</v>
      </c>
      <c r="D19" s="327" t="str">
        <f t="shared" si="1"/>
        <v/>
      </c>
      <c r="E19" s="685">
        <f t="shared" si="5"/>
        <v>44502.135416666657</v>
      </c>
      <c r="F19" s="708" t="s">
        <v>2557</v>
      </c>
      <c r="G19" s="1102"/>
      <c r="H19" s="709"/>
      <c r="I19" s="709"/>
      <c r="J19" s="709"/>
      <c r="K19" s="709">
        <v>150</v>
      </c>
      <c r="L19" s="709"/>
      <c r="M19" s="709">
        <v>150</v>
      </c>
    </row>
    <row r="20" spans="1:15" ht="12" customHeight="1" x14ac:dyDescent="0.25">
      <c r="A20" s="706">
        <f t="shared" si="4"/>
        <v>44502.489583333328</v>
      </c>
      <c r="B20" s="685">
        <f t="shared" si="0"/>
        <v>44502.135416666657</v>
      </c>
      <c r="C20" s="707">
        <v>4.1666666666666664E-2</v>
      </c>
      <c r="D20" s="327"/>
      <c r="E20" s="685">
        <f t="shared" si="5"/>
        <v>44502.177083333321</v>
      </c>
      <c r="F20" s="708" t="s">
        <v>688</v>
      </c>
      <c r="G20" s="1102"/>
      <c r="H20" s="709"/>
      <c r="I20" s="709"/>
      <c r="J20" s="709"/>
      <c r="K20" s="709">
        <v>100</v>
      </c>
      <c r="L20" s="709"/>
      <c r="M20" s="709">
        <f>K20</f>
        <v>100</v>
      </c>
    </row>
    <row r="21" spans="1:15" ht="12" customHeight="1" x14ac:dyDescent="0.25">
      <c r="A21" s="706">
        <f t="shared" si="4"/>
        <v>44502.531249999993</v>
      </c>
      <c r="B21" s="685">
        <f t="shared" si="0"/>
        <v>44502.177083333321</v>
      </c>
      <c r="C21" s="707">
        <v>4.1666666666666664E-2</v>
      </c>
      <c r="D21" s="327"/>
      <c r="E21" s="685">
        <f t="shared" si="5"/>
        <v>44502.218749999985</v>
      </c>
      <c r="F21" s="708" t="s">
        <v>689</v>
      </c>
      <c r="G21" s="1102"/>
      <c r="H21" s="709"/>
      <c r="I21" s="709"/>
      <c r="J21" s="709"/>
      <c r="K21" s="709">
        <v>100</v>
      </c>
      <c r="L21" s="709"/>
      <c r="M21" s="709">
        <v>100</v>
      </c>
    </row>
    <row r="22" spans="1:15" ht="12" customHeight="1" x14ac:dyDescent="0.25">
      <c r="A22" s="31">
        <f>IF(D14 = "",A14+C14,A14+D14)</f>
        <v>44502.40625</v>
      </c>
      <c r="B22" s="37">
        <f>IF(D14 = "",B14+C14,B14+D14)</f>
        <v>44502.40625</v>
      </c>
      <c r="C22" s="172">
        <v>3.125E-2</v>
      </c>
      <c r="D22" s="327" t="str">
        <f t="shared" si="1"/>
        <v/>
      </c>
      <c r="E22" s="37">
        <f t="shared" si="5"/>
        <v>44502.4375</v>
      </c>
      <c r="F22" s="264" t="s">
        <v>690</v>
      </c>
      <c r="G22" s="35"/>
      <c r="H22" s="393"/>
      <c r="I22" s="393"/>
      <c r="J22" s="393"/>
      <c r="K22" s="393"/>
      <c r="L22" s="393"/>
      <c r="M22" s="393"/>
    </row>
    <row r="23" spans="1:15" ht="12" customHeight="1" x14ac:dyDescent="0.25">
      <c r="A23" s="31">
        <f t="shared" ref="A23:A27" si="6">IF(D22 = "",A22+C22,A22+D22)</f>
        <v>44502.4375</v>
      </c>
      <c r="B23" s="37">
        <f t="shared" ref="B23:B35" si="7">IF(D22 = "",B22+C22,B22+D22)</f>
        <v>44502.4375</v>
      </c>
      <c r="C23" s="172">
        <v>0.89583333333333337</v>
      </c>
      <c r="D23" s="327" t="str">
        <f t="shared" si="1"/>
        <v/>
      </c>
      <c r="E23" s="37">
        <f t="shared" si="5"/>
        <v>44503.333333333336</v>
      </c>
      <c r="F23" s="264" t="s">
        <v>691</v>
      </c>
      <c r="G23" s="39"/>
      <c r="H23" s="778"/>
      <c r="I23" s="778"/>
      <c r="J23" s="778"/>
      <c r="K23" s="1074">
        <v>300</v>
      </c>
      <c r="L23" s="778"/>
      <c r="M23" s="778"/>
    </row>
    <row r="24" spans="1:15" ht="12" customHeight="1" x14ac:dyDescent="0.25">
      <c r="A24" s="31">
        <f t="shared" si="6"/>
        <v>44503.333333333336</v>
      </c>
      <c r="B24" s="37">
        <f t="shared" si="7"/>
        <v>44503.333333333336</v>
      </c>
      <c r="C24" s="170">
        <v>0.41666666666666669</v>
      </c>
      <c r="D24" s="327" t="str">
        <f t="shared" si="1"/>
        <v/>
      </c>
      <c r="E24" s="37">
        <f t="shared" si="5"/>
        <v>44503.75</v>
      </c>
      <c r="F24" s="264" t="s">
        <v>548</v>
      </c>
      <c r="G24" s="35"/>
      <c r="H24" s="778"/>
      <c r="I24" s="778"/>
      <c r="J24" s="778"/>
      <c r="K24" s="1074"/>
      <c r="L24" s="778"/>
      <c r="M24" s="778"/>
      <c r="N24" s="1066" t="s">
        <v>630</v>
      </c>
      <c r="O24" s="1067"/>
    </row>
    <row r="25" spans="1:15" ht="12" customHeight="1" x14ac:dyDescent="0.25">
      <c r="A25" s="31">
        <f>IF(D24 = "",A24+C24,A24+D24)</f>
        <v>44503.75</v>
      </c>
      <c r="B25" s="37">
        <f>IF(D24 = "",B24+C24,B24+D24)</f>
        <v>44503.75</v>
      </c>
      <c r="C25" s="170">
        <v>0.1875</v>
      </c>
      <c r="D25" s="327" t="str">
        <f t="shared" si="1"/>
        <v/>
      </c>
      <c r="E25" s="37">
        <f t="shared" si="5"/>
        <v>44503.9375</v>
      </c>
      <c r="F25" s="264" t="s">
        <v>549</v>
      </c>
      <c r="G25" s="35"/>
      <c r="H25" s="778"/>
      <c r="I25" s="1075">
        <v>467.03699999999998</v>
      </c>
      <c r="J25" s="778"/>
      <c r="K25" s="1074"/>
      <c r="L25" s="778"/>
      <c r="M25" s="778"/>
      <c r="N25" s="268" t="s">
        <v>682</v>
      </c>
      <c r="O25" s="343">
        <f>SUM(M24:M26)</f>
        <v>767.03700000000003</v>
      </c>
    </row>
    <row r="26" spans="1:15" ht="12" customHeight="1" x14ac:dyDescent="0.25">
      <c r="A26" s="31">
        <f t="shared" si="6"/>
        <v>44503.9375</v>
      </c>
      <c r="B26" s="37">
        <f t="shared" si="7"/>
        <v>44503.9375</v>
      </c>
      <c r="C26" s="170">
        <v>1.0208333333333333</v>
      </c>
      <c r="D26" s="327"/>
      <c r="E26" s="37">
        <f t="shared" si="5"/>
        <v>44504.958333333336</v>
      </c>
      <c r="F26" s="264" t="s">
        <v>692</v>
      </c>
      <c r="G26" s="35"/>
      <c r="H26" s="778"/>
      <c r="I26" s="1076"/>
      <c r="J26" s="778"/>
      <c r="K26" s="1074"/>
      <c r="L26" s="778"/>
      <c r="M26" s="778">
        <f>I25+K23</f>
        <v>767.03700000000003</v>
      </c>
      <c r="N26" s="268" t="s">
        <v>682</v>
      </c>
      <c r="O26" s="343">
        <f>SUM(M24:M26)</f>
        <v>767.03700000000003</v>
      </c>
    </row>
    <row r="27" spans="1:15" ht="12" customHeight="1" x14ac:dyDescent="0.25">
      <c r="A27" s="410">
        <f t="shared" si="6"/>
        <v>44504.958333333336</v>
      </c>
      <c r="B27" s="329">
        <f>IF(D26 = "",B26+C26,B26+D26)</f>
        <v>44504.958333333336</v>
      </c>
      <c r="C27" s="173">
        <v>1.3958333333333333</v>
      </c>
      <c r="D27" s="468" t="str">
        <f t="shared" si="1"/>
        <v/>
      </c>
      <c r="E27" s="329">
        <f t="shared" si="5"/>
        <v>44506.354166666672</v>
      </c>
      <c r="F27" s="353" t="s">
        <v>551</v>
      </c>
      <c r="G27" s="178"/>
      <c r="H27" s="779"/>
      <c r="I27" s="394"/>
      <c r="J27" s="779"/>
      <c r="K27" s="779"/>
      <c r="L27" s="779"/>
      <c r="M27" s="779"/>
    </row>
    <row r="28" spans="1:15" ht="12" hidden="1" customHeight="1" x14ac:dyDescent="0.25">
      <c r="A28" s="322">
        <f>A27</f>
        <v>44504.958333333336</v>
      </c>
      <c r="B28" s="323">
        <f>B27</f>
        <v>44504.958333333336</v>
      </c>
      <c r="C28" s="400">
        <v>1.0416666666666666E-2</v>
      </c>
      <c r="D28" s="400" t="str">
        <f t="shared" si="1"/>
        <v/>
      </c>
      <c r="E28" s="323">
        <f t="shared" si="5"/>
        <v>44504.96875</v>
      </c>
      <c r="F28" s="531" t="s">
        <v>2558</v>
      </c>
      <c r="G28" s="533"/>
      <c r="H28" s="392"/>
      <c r="I28" s="392"/>
      <c r="J28" s="392"/>
      <c r="K28" s="392"/>
      <c r="L28" s="392"/>
      <c r="M28" s="392"/>
    </row>
    <row r="29" spans="1:15" ht="12" hidden="1" customHeight="1" x14ac:dyDescent="0.25">
      <c r="A29" s="322">
        <f>A28+C28</f>
        <v>44504.96875</v>
      </c>
      <c r="B29" s="323">
        <f>B28+C28</f>
        <v>44504.96875</v>
      </c>
      <c r="C29" s="400">
        <v>2.0833333333333332E-2</v>
      </c>
      <c r="D29" s="400" t="str">
        <f t="shared" si="1"/>
        <v/>
      </c>
      <c r="E29" s="323">
        <f t="shared" si="5"/>
        <v>44504.989583333336</v>
      </c>
      <c r="F29" s="531" t="s">
        <v>2559</v>
      </c>
      <c r="G29" s="533"/>
      <c r="H29" s="392"/>
      <c r="I29" s="392"/>
      <c r="J29" s="392"/>
      <c r="K29" s="392"/>
      <c r="L29" s="392"/>
      <c r="M29" s="392"/>
    </row>
    <row r="30" spans="1:15" ht="12" hidden="1" customHeight="1" x14ac:dyDescent="0.25">
      <c r="A30" s="322">
        <f t="shared" ref="A30:A31" si="8">A29+C29</f>
        <v>44504.989583333336</v>
      </c>
      <c r="B30" s="323">
        <f>B29+C29</f>
        <v>44504.989583333336</v>
      </c>
      <c r="C30" s="400">
        <v>0.1875</v>
      </c>
      <c r="D30" s="400"/>
      <c r="E30" s="323">
        <f t="shared" si="5"/>
        <v>44505.177083333336</v>
      </c>
      <c r="F30" s="531" t="s">
        <v>2560</v>
      </c>
      <c r="G30" s="533"/>
      <c r="H30" s="392"/>
      <c r="I30" s="392"/>
      <c r="J30" s="392"/>
      <c r="K30" s="392"/>
      <c r="L30" s="392"/>
      <c r="M30" s="392"/>
    </row>
    <row r="31" spans="1:15" ht="12" hidden="1" customHeight="1" x14ac:dyDescent="0.25">
      <c r="A31" s="322">
        <f t="shared" si="8"/>
        <v>44505.177083333336</v>
      </c>
      <c r="B31" s="323">
        <f>B30+C30</f>
        <v>44505.177083333336</v>
      </c>
      <c r="C31" s="400">
        <v>6.25E-2</v>
      </c>
      <c r="D31" s="400"/>
      <c r="E31" s="323">
        <f t="shared" si="5"/>
        <v>44505.239583333336</v>
      </c>
      <c r="F31" s="531" t="s">
        <v>520</v>
      </c>
      <c r="G31" s="533"/>
      <c r="H31" s="392"/>
      <c r="I31" s="392"/>
      <c r="J31" s="392"/>
      <c r="K31" s="392"/>
      <c r="L31" s="392"/>
      <c r="M31" s="392"/>
    </row>
    <row r="32" spans="1:15" ht="12" customHeight="1" x14ac:dyDescent="0.25">
      <c r="A32" s="534">
        <f t="shared" ref="A32" si="9">A27+C27</f>
        <v>44506.354166666672</v>
      </c>
      <c r="B32" s="535">
        <f>IF(D27 = "",B27+C27,B27+D27)</f>
        <v>44506.354166666672</v>
      </c>
      <c r="C32" s="536">
        <v>2</v>
      </c>
      <c r="D32" s="537"/>
      <c r="E32" s="535">
        <f t="shared" si="5"/>
        <v>44508.354166666672</v>
      </c>
      <c r="F32" s="538" t="s">
        <v>693</v>
      </c>
      <c r="G32" s="539"/>
      <c r="H32" s="540"/>
      <c r="I32" s="540"/>
      <c r="J32" s="540"/>
      <c r="K32" s="540"/>
      <c r="L32" s="540"/>
      <c r="M32" s="540"/>
    </row>
    <row r="33" spans="1:13" ht="12" customHeight="1" x14ac:dyDescent="0.25">
      <c r="A33" s="330">
        <f t="shared" ref="A33:A35" si="10">IF(D32 = "",A32+C32,A32+D32)</f>
        <v>44508.354166666672</v>
      </c>
      <c r="B33" s="331">
        <f t="shared" si="7"/>
        <v>44508.354166666672</v>
      </c>
      <c r="C33" s="354">
        <v>1.1458333333333333</v>
      </c>
      <c r="D33" s="470" t="str">
        <f t="shared" si="1"/>
        <v/>
      </c>
      <c r="E33" s="331">
        <f t="shared" si="5"/>
        <v>44509.500000000007</v>
      </c>
      <c r="F33" s="355" t="s">
        <v>551</v>
      </c>
      <c r="G33" s="356"/>
      <c r="H33" s="780"/>
      <c r="I33" s="780"/>
      <c r="J33" s="780"/>
      <c r="K33" s="780"/>
      <c r="L33" s="780"/>
      <c r="M33" s="780"/>
    </row>
    <row r="34" spans="1:13" ht="12" customHeight="1" x14ac:dyDescent="0.25">
      <c r="A34" s="31">
        <f t="shared" si="10"/>
        <v>44509.500000000007</v>
      </c>
      <c r="B34" s="37">
        <f t="shared" si="7"/>
        <v>44509.500000000007</v>
      </c>
      <c r="C34" s="170">
        <v>1.5</v>
      </c>
      <c r="D34" s="327" t="str">
        <f t="shared" si="1"/>
        <v/>
      </c>
      <c r="E34" s="37">
        <f t="shared" si="5"/>
        <v>44511.000000000007</v>
      </c>
      <c r="F34" s="320" t="s">
        <v>694</v>
      </c>
      <c r="G34" s="35"/>
      <c r="H34" s="778"/>
      <c r="I34" s="778"/>
      <c r="J34" s="778"/>
      <c r="K34" s="778"/>
      <c r="L34" s="778"/>
      <c r="M34" s="778"/>
    </row>
    <row r="35" spans="1:13" ht="12" customHeight="1" x14ac:dyDescent="0.25">
      <c r="A35" s="31">
        <f t="shared" si="10"/>
        <v>44511.000000000007</v>
      </c>
      <c r="B35" s="37">
        <f t="shared" si="7"/>
        <v>44511.000000000007</v>
      </c>
      <c r="C35" s="170">
        <v>0.125</v>
      </c>
      <c r="D35" s="327" t="str">
        <f t="shared" si="1"/>
        <v/>
      </c>
      <c r="E35" s="37">
        <f t="shared" si="5"/>
        <v>44511.125000000007</v>
      </c>
      <c r="F35" s="264" t="s">
        <v>554</v>
      </c>
      <c r="G35" s="35"/>
      <c r="H35" s="397"/>
      <c r="I35" s="397"/>
      <c r="J35" s="397"/>
      <c r="K35" s="397"/>
      <c r="L35" s="397"/>
      <c r="M35" s="397"/>
    </row>
    <row r="36" spans="1:13" ht="21" x14ac:dyDescent="0.55000000000000004">
      <c r="A36" s="34"/>
      <c r="B36" s="33" t="s">
        <v>534</v>
      </c>
      <c r="C36" s="32">
        <f>SUM(C11:C14,C22:C27,C33:C35)</f>
        <v>7.7291666666666661</v>
      </c>
      <c r="D36" s="32">
        <f>SUM(D11:D14,D22:D27,D33:D35)</f>
        <v>0</v>
      </c>
      <c r="G36" s="243" t="s">
        <v>535</v>
      </c>
      <c r="H36" s="350">
        <f>SUM(H11:H26)</f>
        <v>761.4</v>
      </c>
      <c r="I36" s="350">
        <f>SUM(I11:I26)</f>
        <v>517.03700000000003</v>
      </c>
      <c r="J36" s="350">
        <f>SUM(J11:J26)</f>
        <v>94.9</v>
      </c>
      <c r="K36" s="351">
        <f>SUM(K11:K35)</f>
        <v>650</v>
      </c>
      <c r="L36" s="351">
        <f>SUM(L11:L35)</f>
        <v>856.3</v>
      </c>
      <c r="M36" s="351">
        <f>SUM(M11:M35)</f>
        <v>1167.037</v>
      </c>
    </row>
    <row r="37" spans="1:13" x14ac:dyDescent="0.25">
      <c r="B37" s="31" t="s">
        <v>536</v>
      </c>
      <c r="C37" s="30">
        <f>(C36*60)/1440</f>
        <v>0.32204861111111105</v>
      </c>
      <c r="D37" s="30">
        <f>(D36*60)/1440</f>
        <v>0</v>
      </c>
      <c r="G37" s="26"/>
      <c r="H37" s="26"/>
      <c r="I37" s="26"/>
      <c r="J37" s="26"/>
      <c r="K37" s="26"/>
      <c r="L37" s="26"/>
      <c r="M37" s="26"/>
    </row>
    <row r="38" spans="1:13" x14ac:dyDescent="0.25">
      <c r="F38" s="26"/>
      <c r="G38" s="26"/>
      <c r="H38" s="26"/>
      <c r="I38" s="26"/>
      <c r="J38" s="26"/>
      <c r="K38" s="26"/>
      <c r="L38" s="26"/>
    </row>
    <row r="39" spans="1:13" x14ac:dyDescent="0.25">
      <c r="F39" s="26"/>
      <c r="G39" s="26"/>
      <c r="H39" s="26"/>
      <c r="I39" s="26"/>
      <c r="J39" s="26"/>
      <c r="K39" s="26"/>
      <c r="L39" s="26"/>
    </row>
    <row r="40" spans="1:13" ht="11.9" hidden="1" customHeight="1" x14ac:dyDescent="0.25">
      <c r="A40" s="1072" t="s">
        <v>555</v>
      </c>
      <c r="B40" s="1073"/>
      <c r="F40" s="26"/>
      <c r="G40" s="26"/>
      <c r="H40" s="26"/>
      <c r="I40" s="26"/>
      <c r="J40" s="26"/>
      <c r="K40" s="26"/>
      <c r="L40" s="26"/>
    </row>
    <row r="41" spans="1:13" hidden="1" x14ac:dyDescent="0.25">
      <c r="A41" s="781" t="s">
        <v>556</v>
      </c>
      <c r="B41" s="29" t="e">
        <f>MAX(A24,#REF!)</f>
        <v>#REF!</v>
      </c>
      <c r="F41" s="26"/>
      <c r="G41" s="26"/>
      <c r="H41" s="26"/>
      <c r="I41" s="26"/>
      <c r="J41" s="26"/>
      <c r="K41" s="26"/>
      <c r="L41" s="26"/>
    </row>
    <row r="42" spans="1:13" hidden="1" x14ac:dyDescent="0.25">
      <c r="A42" s="781" t="s">
        <v>557</v>
      </c>
      <c r="B42" s="28" t="e">
        <f>MAX((#REF!+#REF!),(B24+C24))</f>
        <v>#REF!</v>
      </c>
      <c r="F42" s="26"/>
      <c r="G42" s="26"/>
      <c r="H42" s="26"/>
      <c r="I42" s="26"/>
      <c r="J42" s="26"/>
      <c r="K42" s="26"/>
      <c r="L42" s="26"/>
    </row>
    <row r="43" spans="1:13" x14ac:dyDescent="0.25">
      <c r="F43" s="26"/>
      <c r="G43" s="26"/>
      <c r="H43" s="26"/>
      <c r="I43" s="26"/>
      <c r="J43" s="26"/>
      <c r="K43" s="26"/>
      <c r="L43" s="26"/>
    </row>
    <row r="44" spans="1:13" x14ac:dyDescent="0.25">
      <c r="F44" s="26"/>
      <c r="G44" s="26"/>
      <c r="H44" s="26"/>
      <c r="I44" s="26"/>
      <c r="J44" s="26"/>
      <c r="K44" s="26"/>
      <c r="L44" s="26"/>
    </row>
    <row r="45" spans="1:13" x14ac:dyDescent="0.25">
      <c r="F45" s="26"/>
      <c r="G45" s="26"/>
      <c r="H45" s="26"/>
      <c r="I45" s="26"/>
      <c r="J45" s="26"/>
      <c r="K45" s="26"/>
      <c r="L45" s="26"/>
    </row>
    <row r="46" spans="1:13" x14ac:dyDescent="0.25">
      <c r="F46" s="26"/>
      <c r="G46" s="26"/>
      <c r="H46" s="26"/>
      <c r="I46" s="26"/>
      <c r="J46" s="26"/>
      <c r="K46" s="26"/>
      <c r="L46" s="26"/>
    </row>
    <row r="47" spans="1:13" x14ac:dyDescent="0.25">
      <c r="C47" s="27"/>
      <c r="F47" s="26"/>
      <c r="G47" s="26"/>
      <c r="H47" s="26"/>
      <c r="I47" s="26"/>
      <c r="J47" s="26"/>
      <c r="K47" s="26"/>
      <c r="L47" s="26"/>
    </row>
    <row r="48" spans="1:13" x14ac:dyDescent="0.25">
      <c r="F48" s="26"/>
      <c r="G48" s="26"/>
      <c r="H48" s="26"/>
      <c r="I48" s="26"/>
      <c r="J48" s="26"/>
      <c r="K48" s="26"/>
      <c r="L48" s="26"/>
    </row>
    <row r="49" spans="5:12" x14ac:dyDescent="0.25">
      <c r="F49" s="26"/>
      <c r="G49" s="26"/>
      <c r="H49" s="26"/>
      <c r="I49" s="26"/>
      <c r="J49" s="26"/>
      <c r="K49" s="26"/>
      <c r="L49" s="26"/>
    </row>
    <row r="50" spans="5:12" x14ac:dyDescent="0.25">
      <c r="F50" s="26"/>
      <c r="G50" s="26"/>
      <c r="H50" s="26"/>
      <c r="I50" s="26"/>
      <c r="J50" s="26"/>
      <c r="K50" s="26"/>
      <c r="L50" s="26"/>
    </row>
    <row r="51" spans="5:12" x14ac:dyDescent="0.25">
      <c r="F51" s="26"/>
      <c r="G51" s="26"/>
      <c r="H51" s="26"/>
      <c r="I51" s="26"/>
      <c r="J51" s="26"/>
      <c r="K51" s="26"/>
      <c r="L51" s="26"/>
    </row>
    <row r="52" spans="5:12" x14ac:dyDescent="0.25">
      <c r="F52" s="26"/>
      <c r="G52" s="26"/>
      <c r="H52" s="26"/>
      <c r="I52" s="26"/>
      <c r="J52" s="26"/>
      <c r="K52" s="26"/>
      <c r="L52" s="26"/>
    </row>
    <row r="53" spans="5:12" x14ac:dyDescent="0.25">
      <c r="F53" s="26"/>
      <c r="G53" s="26"/>
      <c r="H53" s="26"/>
      <c r="I53" s="26"/>
      <c r="J53" s="26"/>
      <c r="K53" s="26"/>
      <c r="L53" s="26"/>
    </row>
    <row r="54" spans="5:12" x14ac:dyDescent="0.25">
      <c r="F54" s="26"/>
      <c r="G54" s="26"/>
      <c r="H54" s="26"/>
      <c r="I54" s="26"/>
      <c r="J54" s="26"/>
      <c r="K54" s="26"/>
      <c r="L54" s="26"/>
    </row>
    <row r="55" spans="5:12" x14ac:dyDescent="0.25">
      <c r="F55" s="26"/>
      <c r="G55" s="26"/>
      <c r="H55" s="26"/>
      <c r="I55" s="26"/>
      <c r="J55" s="26"/>
      <c r="K55" s="26"/>
      <c r="L55" s="26"/>
    </row>
    <row r="56" spans="5:12" x14ac:dyDescent="0.25">
      <c r="F56" s="26"/>
      <c r="G56" s="26"/>
      <c r="H56" s="26"/>
      <c r="I56" s="26"/>
      <c r="J56" s="26"/>
      <c r="K56" s="26"/>
      <c r="L56" s="26"/>
    </row>
    <row r="57" spans="5:12" x14ac:dyDescent="0.25">
      <c r="F57" s="26"/>
      <c r="G57" s="26"/>
      <c r="H57" s="26"/>
      <c r="I57" s="26"/>
      <c r="J57" s="26"/>
      <c r="K57" s="26"/>
      <c r="L57" s="26"/>
    </row>
    <row r="58" spans="5:12" x14ac:dyDescent="0.25">
      <c r="E58" s="26"/>
    </row>
    <row r="59" spans="5:12" x14ac:dyDescent="0.25">
      <c r="E59" s="26"/>
    </row>
  </sheetData>
  <mergeCells count="10">
    <mergeCell ref="K23:K26"/>
    <mergeCell ref="N24:O24"/>
    <mergeCell ref="I25:I26"/>
    <mergeCell ref="A40:B40"/>
    <mergeCell ref="A1:B1"/>
    <mergeCell ref="A5:D5"/>
    <mergeCell ref="N11:O11"/>
    <mergeCell ref="A15:M15"/>
    <mergeCell ref="G16:G21"/>
    <mergeCell ref="N16:O16"/>
  </mergeCells>
  <pageMargins left="0.75" right="0.75" top="1" bottom="1" header="0.5" footer="0.5"/>
  <pageSetup orientation="portrait" r:id="rId1"/>
  <headerFooter alignWithMargins="0">
    <oddFooter>&amp;R&amp;"Arial,Regular"&amp;08&amp;K7F7F7FAmgen Proprietary - Confidential   &amp;C&amp;"Arial,Regular"&amp;08&amp;K7F7F7FAmgen Proprietary - For Internal Use Only</oddFooter>
    <evenFooter>&amp;R&amp;"Arial,Regular"&amp;08&amp;K7F7F7FAmgen Proprietary - Confidential   &amp;C&amp;"Arial,Regular"&amp;08&amp;K7F7F7FAmgen Proprietary - For Internal Use Only</evenFooter>
    <firstFooter>&amp;R&amp;"Arial,Regular"&amp;08&amp;K7F7F7FAmgen Proprietary - Confidential   &amp;C&amp;"Arial,Regular"&amp;08&amp;K7F7F7FAmgen Proprietary - For Internal Use Only</firstFooter>
  </headerFooter>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76408-F274-4F68-B3FE-D2251BD9045F}">
  <sheetPr codeName="Sheet51">
    <pageSetUpPr autoPageBreaks="0"/>
  </sheetPr>
  <dimension ref="A1:O59"/>
  <sheetViews>
    <sheetView topLeftCell="A7" zoomScale="110" zoomScaleNormal="110" workbookViewId="0">
      <selection activeCell="B7" sqref="B7"/>
    </sheetView>
  </sheetViews>
  <sheetFormatPr defaultColWidth="23.453125" defaultRowHeight="11.5" x14ac:dyDescent="0.25"/>
  <cols>
    <col min="1" max="1" width="26" style="25" customWidth="1"/>
    <col min="2" max="2" width="28.453125" style="25" customWidth="1"/>
    <col min="3" max="3" width="25" style="25" customWidth="1"/>
    <col min="4" max="4" width="17.54296875" style="25" customWidth="1"/>
    <col min="5" max="5" width="23.453125" style="25" customWidth="1"/>
    <col min="6" max="6" width="67.54296875" style="25" bestFit="1" customWidth="1"/>
    <col min="7" max="7" width="41.453125" style="25" bestFit="1" customWidth="1"/>
    <col min="8" max="8" width="16.54296875" style="25" customWidth="1"/>
    <col min="9" max="9" width="14.453125" style="25" customWidth="1"/>
    <col min="10" max="10" width="11.54296875" style="25" customWidth="1"/>
    <col min="11" max="11" width="12.453125" style="25" customWidth="1"/>
    <col min="12" max="12" width="13.54296875" style="25" customWidth="1"/>
    <col min="13" max="13" width="13.453125" style="25" customWidth="1"/>
    <col min="14" max="16384" width="23.453125" style="25"/>
  </cols>
  <sheetData>
    <row r="1" spans="1:15" x14ac:dyDescent="0.25">
      <c r="A1" s="1100" t="s">
        <v>479</v>
      </c>
      <c r="B1" s="1100"/>
    </row>
    <row r="2" spans="1:15" x14ac:dyDescent="0.25">
      <c r="A2" s="781" t="s">
        <v>480</v>
      </c>
      <c r="B2" s="31">
        <f>A11</f>
        <v>44515.395833333336</v>
      </c>
    </row>
    <row r="3" spans="1:15" x14ac:dyDescent="0.25">
      <c r="A3" s="781" t="s">
        <v>482</v>
      </c>
      <c r="B3" s="541">
        <f>A11</f>
        <v>44515.395833333336</v>
      </c>
    </row>
    <row r="5" spans="1:15" x14ac:dyDescent="0.25">
      <c r="A5" s="1100" t="s">
        <v>484</v>
      </c>
      <c r="B5" s="1100"/>
      <c r="C5" s="1100"/>
      <c r="D5" s="1100"/>
    </row>
    <row r="6" spans="1:15" x14ac:dyDescent="0.25">
      <c r="A6" s="781" t="s">
        <v>485</v>
      </c>
      <c r="B6" s="781" t="s">
        <v>486</v>
      </c>
      <c r="C6" s="781" t="s">
        <v>487</v>
      </c>
      <c r="D6" s="781" t="s">
        <v>488</v>
      </c>
    </row>
    <row r="7" spans="1:15" x14ac:dyDescent="0.25">
      <c r="A7" s="324" t="str">
        <f>F13</f>
        <v>IPC: Reaction Conversion</v>
      </c>
      <c r="B7" s="325">
        <f>INDEX($B$11:$B$66,MATCH(A7,$F$11:$F$66,0))</f>
        <v>44515.875</v>
      </c>
      <c r="C7" s="272">
        <f>INDEX($B$11:$B$66,MATCH(A7,$F$11:$F$66,0))</f>
        <v>44515.875</v>
      </c>
      <c r="D7" s="405"/>
    </row>
    <row r="8" spans="1:15" x14ac:dyDescent="0.25">
      <c r="A8" s="324" t="str">
        <f>F34</f>
        <v>IPC: GC, LC, KF</v>
      </c>
      <c r="B8" s="325">
        <f>A34</f>
        <v>44523.500000000007</v>
      </c>
      <c r="C8" s="272">
        <f>INDEX($B$11:$B$66,MATCH(A8,$F$11:$F$66,0))</f>
        <v>44523.500000000007</v>
      </c>
      <c r="D8" s="405"/>
      <c r="E8" s="399"/>
    </row>
    <row r="10" spans="1:15" ht="23" x14ac:dyDescent="0.25">
      <c r="A10" s="749" t="s">
        <v>492</v>
      </c>
      <c r="B10" s="749" t="s">
        <v>493</v>
      </c>
      <c r="C10" s="749" t="s">
        <v>494</v>
      </c>
      <c r="D10" s="86" t="s">
        <v>495</v>
      </c>
      <c r="E10" s="749" t="s">
        <v>540</v>
      </c>
      <c r="F10" s="749" t="s">
        <v>541</v>
      </c>
      <c r="G10" s="749" t="s">
        <v>498</v>
      </c>
      <c r="H10" s="184" t="s">
        <v>92</v>
      </c>
      <c r="I10" s="184" t="s">
        <v>248</v>
      </c>
      <c r="J10" s="184" t="s">
        <v>267</v>
      </c>
      <c r="K10" s="184" t="s">
        <v>677</v>
      </c>
      <c r="L10" s="184" t="s">
        <v>678</v>
      </c>
      <c r="M10" s="184" t="s">
        <v>501</v>
      </c>
    </row>
    <row r="11" spans="1:15" ht="12" customHeight="1" x14ac:dyDescent="0.25">
      <c r="A11" s="31">
        <v>44515.395833333336</v>
      </c>
      <c r="B11" s="38">
        <f>A11</f>
        <v>44515.395833333336</v>
      </c>
      <c r="C11" s="170">
        <v>0.22916666666666666</v>
      </c>
      <c r="D11" s="327" t="str">
        <f>IF(_xlfn.ISFORMULA(E11)=TRUE,"",E11-B11)</f>
        <v/>
      </c>
      <c r="E11" s="37">
        <f>B11+C11</f>
        <v>44515.625</v>
      </c>
      <c r="F11" s="264" t="s">
        <v>679</v>
      </c>
      <c r="G11" s="78"/>
      <c r="H11" s="352"/>
      <c r="I11" s="352"/>
      <c r="J11" s="352"/>
      <c r="K11" s="352"/>
      <c r="L11" s="352"/>
      <c r="M11" s="352"/>
      <c r="N11" s="1066" t="s">
        <v>609</v>
      </c>
      <c r="O11" s="1067"/>
    </row>
    <row r="12" spans="1:15" ht="12" customHeight="1" x14ac:dyDescent="0.25">
      <c r="A12" s="31">
        <f>IF(D11 = "",A11+C11,A11+D11)</f>
        <v>44515.625</v>
      </c>
      <c r="B12" s="37">
        <f t="shared" ref="B12:B21" si="0">IF(D11 = "",B11+C11,B11+D11)</f>
        <v>44515.625</v>
      </c>
      <c r="C12" s="170">
        <v>0.25</v>
      </c>
      <c r="D12" s="327" t="str">
        <f t="shared" ref="D12:D35" si="1">IF(_xlfn.ISFORMULA(E12)=TRUE,"",E12-B12)</f>
        <v/>
      </c>
      <c r="E12" s="37">
        <f t="shared" ref="E12:E14" si="2">B12+C12</f>
        <v>44515.875</v>
      </c>
      <c r="F12" s="264" t="s">
        <v>680</v>
      </c>
      <c r="G12" s="35"/>
      <c r="H12" s="778"/>
      <c r="I12" s="778"/>
      <c r="J12" s="778"/>
      <c r="K12" s="778"/>
      <c r="L12" s="778"/>
      <c r="M12" s="778"/>
      <c r="N12" s="268" t="s">
        <v>681</v>
      </c>
      <c r="O12" s="343">
        <f>SUM(L11:L14)</f>
        <v>606.29999999999995</v>
      </c>
    </row>
    <row r="13" spans="1:15" ht="12" customHeight="1" x14ac:dyDescent="0.25">
      <c r="A13" s="31">
        <f t="shared" ref="A13" si="3">IF(D12 = "",A12+C12,A12+D12)</f>
        <v>44515.875</v>
      </c>
      <c r="B13" s="37">
        <f t="shared" si="0"/>
        <v>44515.875</v>
      </c>
      <c r="C13" s="170">
        <v>0.13541666666666666</v>
      </c>
      <c r="D13" s="327" t="str">
        <f t="shared" si="1"/>
        <v/>
      </c>
      <c r="E13" s="37">
        <f t="shared" si="2"/>
        <v>44516.010416666664</v>
      </c>
      <c r="F13" s="320" t="s">
        <v>567</v>
      </c>
      <c r="G13" s="39"/>
      <c r="H13" s="778"/>
      <c r="I13" s="778"/>
      <c r="J13" s="778"/>
      <c r="K13" s="778"/>
      <c r="L13" s="778"/>
      <c r="M13" s="778"/>
      <c r="N13" s="268" t="s">
        <v>682</v>
      </c>
      <c r="O13" s="343">
        <f>SUM(M11:M14)</f>
        <v>0</v>
      </c>
    </row>
    <row r="14" spans="1:15" ht="12" customHeight="1" x14ac:dyDescent="0.25">
      <c r="A14" s="31">
        <f>IF(D13 = "",A13+C13,A13+D13)</f>
        <v>44516.010416666664</v>
      </c>
      <c r="B14" s="37">
        <f t="shared" si="0"/>
        <v>44516.010416666664</v>
      </c>
      <c r="C14" s="170">
        <v>0.39583333333333331</v>
      </c>
      <c r="D14" s="327" t="str">
        <f t="shared" si="1"/>
        <v/>
      </c>
      <c r="E14" s="37">
        <f t="shared" si="2"/>
        <v>44516.40625</v>
      </c>
      <c r="F14" s="321" t="s">
        <v>683</v>
      </c>
      <c r="G14" s="35"/>
      <c r="H14" s="778">
        <v>511.4</v>
      </c>
      <c r="I14" s="778"/>
      <c r="J14" s="778">
        <v>94.9</v>
      </c>
      <c r="K14" s="778"/>
      <c r="L14" s="778">
        <f>H14+J14</f>
        <v>606.29999999999995</v>
      </c>
      <c r="M14" s="778"/>
    </row>
    <row r="15" spans="1:15" ht="12" customHeight="1" x14ac:dyDescent="0.25">
      <c r="A15" s="1097" t="s">
        <v>2554</v>
      </c>
      <c r="B15" s="1098"/>
      <c r="C15" s="1098"/>
      <c r="D15" s="1098"/>
      <c r="E15" s="1098"/>
      <c r="F15" s="1098"/>
      <c r="G15" s="1098"/>
      <c r="H15" s="1098"/>
      <c r="I15" s="1098"/>
      <c r="J15" s="1098"/>
      <c r="K15" s="1098"/>
      <c r="L15" s="1098"/>
      <c r="M15" s="1099"/>
    </row>
    <row r="16" spans="1:15" ht="12" customHeight="1" x14ac:dyDescent="0.25">
      <c r="A16" s="706">
        <f>IF(D14 = "",A14+C14,A14+D14)</f>
        <v>44516.40625</v>
      </c>
      <c r="B16" s="685">
        <f>A14+"1:00"</f>
        <v>44516.052083333328</v>
      </c>
      <c r="C16" s="707">
        <v>2.0833333333333332E-2</v>
      </c>
      <c r="D16" s="327" t="str">
        <f t="shared" si="1"/>
        <v/>
      </c>
      <c r="E16" s="685">
        <f>B16+C16</f>
        <v>44516.072916666664</v>
      </c>
      <c r="F16" s="708" t="s">
        <v>684</v>
      </c>
      <c r="G16" s="1101" t="s">
        <v>685</v>
      </c>
      <c r="H16" s="709"/>
      <c r="I16" s="709">
        <v>50</v>
      </c>
      <c r="J16" s="709"/>
      <c r="K16" s="709"/>
      <c r="L16" s="709"/>
      <c r="M16" s="709">
        <f>I16</f>
        <v>50</v>
      </c>
      <c r="N16" s="1066" t="s">
        <v>624</v>
      </c>
      <c r="O16" s="1067"/>
    </row>
    <row r="17" spans="1:15" ht="12" customHeight="1" x14ac:dyDescent="0.25">
      <c r="A17" s="706">
        <f t="shared" ref="A17:A21" si="4">IF(D16 = "",A16+C16,A16+D16)</f>
        <v>44516.427083333336</v>
      </c>
      <c r="B17" s="685">
        <f t="shared" si="0"/>
        <v>44516.072916666664</v>
      </c>
      <c r="C17" s="707">
        <v>1.0416666666666666E-2</v>
      </c>
      <c r="D17" s="327" t="str">
        <f t="shared" si="1"/>
        <v/>
      </c>
      <c r="E17" s="685">
        <f t="shared" ref="E17:E35" si="5">B17+C17</f>
        <v>44516.083333333328</v>
      </c>
      <c r="F17" s="708" t="s">
        <v>2555</v>
      </c>
      <c r="G17" s="1102"/>
      <c r="H17" s="709">
        <v>150</v>
      </c>
      <c r="I17" s="709"/>
      <c r="J17" s="709"/>
      <c r="K17" s="709"/>
      <c r="L17" s="709">
        <f>H17</f>
        <v>150</v>
      </c>
      <c r="M17" s="709"/>
      <c r="N17" s="268" t="s">
        <v>681</v>
      </c>
      <c r="O17" s="343">
        <f>SUM(L16:L23)</f>
        <v>250</v>
      </c>
    </row>
    <row r="18" spans="1:15" ht="12" customHeight="1" x14ac:dyDescent="0.25">
      <c r="A18" s="706">
        <f t="shared" si="4"/>
        <v>44516.4375</v>
      </c>
      <c r="B18" s="685">
        <f t="shared" si="0"/>
        <v>44516.083333333328</v>
      </c>
      <c r="C18" s="707">
        <v>4.1666666666666664E-2</v>
      </c>
      <c r="D18" s="327" t="str">
        <f t="shared" si="1"/>
        <v/>
      </c>
      <c r="E18" s="685">
        <f t="shared" si="5"/>
        <v>44516.124999999993</v>
      </c>
      <c r="F18" s="708" t="s">
        <v>2556</v>
      </c>
      <c r="G18" s="1102"/>
      <c r="H18" s="709">
        <v>100</v>
      </c>
      <c r="I18" s="709"/>
      <c r="J18" s="709"/>
      <c r="K18" s="709"/>
      <c r="L18" s="709">
        <v>100</v>
      </c>
      <c r="M18" s="709"/>
      <c r="N18" s="268" t="s">
        <v>682</v>
      </c>
      <c r="O18" s="343">
        <f>SUM(M16:M23)</f>
        <v>400</v>
      </c>
    </row>
    <row r="19" spans="1:15" ht="12" customHeight="1" x14ac:dyDescent="0.25">
      <c r="A19" s="706">
        <f t="shared" si="4"/>
        <v>44516.479166666664</v>
      </c>
      <c r="B19" s="685">
        <f t="shared" si="0"/>
        <v>44516.124999999993</v>
      </c>
      <c r="C19" s="707">
        <v>1.0416666666666666E-2</v>
      </c>
      <c r="D19" s="327" t="str">
        <f t="shared" si="1"/>
        <v/>
      </c>
      <c r="E19" s="685">
        <f t="shared" si="5"/>
        <v>44516.135416666657</v>
      </c>
      <c r="F19" s="708" t="s">
        <v>2557</v>
      </c>
      <c r="G19" s="1102"/>
      <c r="H19" s="709"/>
      <c r="I19" s="709"/>
      <c r="J19" s="709"/>
      <c r="K19" s="709">
        <v>150</v>
      </c>
      <c r="L19" s="709"/>
      <c r="M19" s="709">
        <v>150</v>
      </c>
    </row>
    <row r="20" spans="1:15" ht="12" customHeight="1" x14ac:dyDescent="0.25">
      <c r="A20" s="706">
        <f t="shared" si="4"/>
        <v>44516.489583333328</v>
      </c>
      <c r="B20" s="685">
        <f t="shared" si="0"/>
        <v>44516.135416666657</v>
      </c>
      <c r="C20" s="707">
        <v>4.1666666666666664E-2</v>
      </c>
      <c r="D20" s="327"/>
      <c r="E20" s="685">
        <f t="shared" si="5"/>
        <v>44516.177083333321</v>
      </c>
      <c r="F20" s="708" t="s">
        <v>688</v>
      </c>
      <c r="G20" s="1102"/>
      <c r="H20" s="709"/>
      <c r="I20" s="709"/>
      <c r="J20" s="709"/>
      <c r="K20" s="709">
        <v>100</v>
      </c>
      <c r="L20" s="709"/>
      <c r="M20" s="709">
        <f>K20</f>
        <v>100</v>
      </c>
    </row>
    <row r="21" spans="1:15" ht="12" customHeight="1" x14ac:dyDescent="0.25">
      <c r="A21" s="706">
        <f t="shared" si="4"/>
        <v>44516.531249999993</v>
      </c>
      <c r="B21" s="685">
        <f t="shared" si="0"/>
        <v>44516.177083333321</v>
      </c>
      <c r="C21" s="707">
        <v>4.1666666666666664E-2</v>
      </c>
      <c r="D21" s="327"/>
      <c r="E21" s="685">
        <f t="shared" si="5"/>
        <v>44516.218749999985</v>
      </c>
      <c r="F21" s="708" t="s">
        <v>689</v>
      </c>
      <c r="G21" s="1102"/>
      <c r="H21" s="709"/>
      <c r="I21" s="709"/>
      <c r="J21" s="709"/>
      <c r="K21" s="709">
        <v>100</v>
      </c>
      <c r="L21" s="709"/>
      <c r="M21" s="709">
        <v>100</v>
      </c>
    </row>
    <row r="22" spans="1:15" ht="12" customHeight="1" x14ac:dyDescent="0.25">
      <c r="A22" s="31">
        <f>IF(D14 = "",A14+C14,A14+D14)</f>
        <v>44516.40625</v>
      </c>
      <c r="B22" s="37">
        <f>IF(D14 = "",B14+C14,B14+D14)</f>
        <v>44516.40625</v>
      </c>
      <c r="C22" s="172">
        <v>3.125E-2</v>
      </c>
      <c r="D22" s="327" t="str">
        <f t="shared" si="1"/>
        <v/>
      </c>
      <c r="E22" s="37">
        <f t="shared" si="5"/>
        <v>44516.4375</v>
      </c>
      <c r="F22" s="264" t="s">
        <v>690</v>
      </c>
      <c r="G22" s="35"/>
      <c r="H22" s="393"/>
      <c r="I22" s="393"/>
      <c r="J22" s="393"/>
      <c r="K22" s="393"/>
      <c r="L22" s="393"/>
      <c r="M22" s="393"/>
    </row>
    <row r="23" spans="1:15" ht="12" customHeight="1" x14ac:dyDescent="0.25">
      <c r="A23" s="31">
        <f t="shared" ref="A23:A27" si="6">IF(D22 = "",A22+C22,A22+D22)</f>
        <v>44516.4375</v>
      </c>
      <c r="B23" s="37">
        <f t="shared" ref="B23:B35" si="7">IF(D22 = "",B22+C22,B22+D22)</f>
        <v>44516.4375</v>
      </c>
      <c r="C23" s="172">
        <v>0.89583333333333337</v>
      </c>
      <c r="D23" s="327" t="str">
        <f t="shared" si="1"/>
        <v/>
      </c>
      <c r="E23" s="37">
        <f t="shared" si="5"/>
        <v>44517.333333333336</v>
      </c>
      <c r="F23" s="264" t="s">
        <v>691</v>
      </c>
      <c r="G23" s="39"/>
      <c r="H23" s="778"/>
      <c r="I23" s="778"/>
      <c r="J23" s="778"/>
      <c r="K23" s="1074">
        <v>300</v>
      </c>
      <c r="L23" s="778"/>
      <c r="M23" s="778"/>
    </row>
    <row r="24" spans="1:15" ht="12" customHeight="1" x14ac:dyDescent="0.25">
      <c r="A24" s="31">
        <f t="shared" si="6"/>
        <v>44517.333333333336</v>
      </c>
      <c r="B24" s="37">
        <f t="shared" si="7"/>
        <v>44517.333333333336</v>
      </c>
      <c r="C24" s="170">
        <v>0.41666666666666669</v>
      </c>
      <c r="D24" s="327" t="str">
        <f t="shared" si="1"/>
        <v/>
      </c>
      <c r="E24" s="37">
        <f t="shared" si="5"/>
        <v>44517.75</v>
      </c>
      <c r="F24" s="264" t="s">
        <v>548</v>
      </c>
      <c r="G24" s="35"/>
      <c r="H24" s="778"/>
      <c r="I24" s="778"/>
      <c r="J24" s="778"/>
      <c r="K24" s="1074"/>
      <c r="L24" s="778"/>
      <c r="M24" s="778"/>
      <c r="N24" s="1066" t="s">
        <v>630</v>
      </c>
      <c r="O24" s="1067"/>
    </row>
    <row r="25" spans="1:15" ht="12" customHeight="1" x14ac:dyDescent="0.25">
      <c r="A25" s="31">
        <f>IF(D24 = "",A24+C24,A24+D24)</f>
        <v>44517.75</v>
      </c>
      <c r="B25" s="37">
        <f>IF(D24 = "",B24+C24,B24+D24)</f>
        <v>44517.75</v>
      </c>
      <c r="C25" s="170">
        <v>0.1875</v>
      </c>
      <c r="D25" s="327" t="str">
        <f t="shared" si="1"/>
        <v/>
      </c>
      <c r="E25" s="37">
        <f t="shared" si="5"/>
        <v>44517.9375</v>
      </c>
      <c r="F25" s="264" t="s">
        <v>549</v>
      </c>
      <c r="G25" s="35"/>
      <c r="H25" s="778"/>
      <c r="I25" s="1075">
        <v>467.03699999999998</v>
      </c>
      <c r="J25" s="778"/>
      <c r="K25" s="1074"/>
      <c r="L25" s="778"/>
      <c r="M25" s="778"/>
      <c r="N25" s="268" t="s">
        <v>682</v>
      </c>
      <c r="O25" s="343">
        <f>SUM(M24:M26)</f>
        <v>767.03700000000003</v>
      </c>
    </row>
    <row r="26" spans="1:15" ht="12" customHeight="1" x14ac:dyDescent="0.25">
      <c r="A26" s="31">
        <f t="shared" si="6"/>
        <v>44517.9375</v>
      </c>
      <c r="B26" s="37">
        <f t="shared" si="7"/>
        <v>44517.9375</v>
      </c>
      <c r="C26" s="170">
        <v>1.0208333333333333</v>
      </c>
      <c r="D26" s="327"/>
      <c r="E26" s="37">
        <f t="shared" si="5"/>
        <v>44518.958333333336</v>
      </c>
      <c r="F26" s="264" t="s">
        <v>692</v>
      </c>
      <c r="G26" s="35"/>
      <c r="H26" s="778"/>
      <c r="I26" s="1076"/>
      <c r="J26" s="778"/>
      <c r="K26" s="1074"/>
      <c r="L26" s="778"/>
      <c r="M26" s="778">
        <f>I25+K23</f>
        <v>767.03700000000003</v>
      </c>
      <c r="N26" s="268" t="s">
        <v>682</v>
      </c>
      <c r="O26" s="343">
        <f>SUM(M24:M26)</f>
        <v>767.03700000000003</v>
      </c>
    </row>
    <row r="27" spans="1:15" ht="12" customHeight="1" x14ac:dyDescent="0.25">
      <c r="A27" s="410">
        <f t="shared" si="6"/>
        <v>44518.958333333336</v>
      </c>
      <c r="B27" s="329">
        <f>IF(D26 = "",B26+C26,B26+D26)</f>
        <v>44518.958333333336</v>
      </c>
      <c r="C27" s="173">
        <v>1.3958333333333333</v>
      </c>
      <c r="D27" s="468" t="str">
        <f t="shared" si="1"/>
        <v/>
      </c>
      <c r="E27" s="329">
        <f t="shared" si="5"/>
        <v>44520.354166666672</v>
      </c>
      <c r="F27" s="353" t="s">
        <v>551</v>
      </c>
      <c r="G27" s="178"/>
      <c r="H27" s="779"/>
      <c r="I27" s="394"/>
      <c r="J27" s="779"/>
      <c r="K27" s="779"/>
      <c r="L27" s="779"/>
      <c r="M27" s="779"/>
    </row>
    <row r="28" spans="1:15" ht="12" hidden="1" customHeight="1" x14ac:dyDescent="0.25">
      <c r="A28" s="322">
        <f>A27</f>
        <v>44518.958333333336</v>
      </c>
      <c r="B28" s="323">
        <f>B27</f>
        <v>44518.958333333336</v>
      </c>
      <c r="C28" s="400">
        <v>1.0416666666666666E-2</v>
      </c>
      <c r="D28" s="400" t="str">
        <f t="shared" si="1"/>
        <v/>
      </c>
      <c r="E28" s="323">
        <f t="shared" si="5"/>
        <v>44518.96875</v>
      </c>
      <c r="F28" s="531" t="s">
        <v>2558</v>
      </c>
      <c r="G28" s="533"/>
      <c r="H28" s="392"/>
      <c r="I28" s="392"/>
      <c r="J28" s="392"/>
      <c r="K28" s="392"/>
      <c r="L28" s="392"/>
      <c r="M28" s="392"/>
    </row>
    <row r="29" spans="1:15" ht="12" hidden="1" customHeight="1" x14ac:dyDescent="0.25">
      <c r="A29" s="322">
        <f>A28+C28</f>
        <v>44518.96875</v>
      </c>
      <c r="B29" s="323">
        <f>B28+C28</f>
        <v>44518.96875</v>
      </c>
      <c r="C29" s="400">
        <v>2.0833333333333332E-2</v>
      </c>
      <c r="D29" s="400" t="str">
        <f t="shared" si="1"/>
        <v/>
      </c>
      <c r="E29" s="323">
        <f t="shared" si="5"/>
        <v>44518.989583333336</v>
      </c>
      <c r="F29" s="531" t="s">
        <v>2559</v>
      </c>
      <c r="G29" s="533"/>
      <c r="H29" s="392"/>
      <c r="I29" s="392"/>
      <c r="J29" s="392"/>
      <c r="K29" s="392"/>
      <c r="L29" s="392"/>
      <c r="M29" s="392"/>
    </row>
    <row r="30" spans="1:15" ht="12" hidden="1" customHeight="1" x14ac:dyDescent="0.25">
      <c r="A30" s="322">
        <f t="shared" ref="A30:A31" si="8">A29+C29</f>
        <v>44518.989583333336</v>
      </c>
      <c r="B30" s="323">
        <f>B29+C29</f>
        <v>44518.989583333336</v>
      </c>
      <c r="C30" s="400">
        <v>0.1875</v>
      </c>
      <c r="D30" s="400"/>
      <c r="E30" s="323">
        <f t="shared" si="5"/>
        <v>44519.177083333336</v>
      </c>
      <c r="F30" s="531" t="s">
        <v>2560</v>
      </c>
      <c r="G30" s="533"/>
      <c r="H30" s="392"/>
      <c r="I30" s="392"/>
      <c r="J30" s="392"/>
      <c r="K30" s="392"/>
      <c r="L30" s="392"/>
      <c r="M30" s="392"/>
    </row>
    <row r="31" spans="1:15" ht="12" hidden="1" customHeight="1" x14ac:dyDescent="0.25">
      <c r="A31" s="322">
        <f t="shared" si="8"/>
        <v>44519.177083333336</v>
      </c>
      <c r="B31" s="323">
        <f>B30+C30</f>
        <v>44519.177083333336</v>
      </c>
      <c r="C31" s="400">
        <v>6.25E-2</v>
      </c>
      <c r="D31" s="400"/>
      <c r="E31" s="323">
        <f t="shared" si="5"/>
        <v>44519.239583333336</v>
      </c>
      <c r="F31" s="531" t="s">
        <v>520</v>
      </c>
      <c r="G31" s="533"/>
      <c r="H31" s="392"/>
      <c r="I31" s="392"/>
      <c r="J31" s="392"/>
      <c r="K31" s="392"/>
      <c r="L31" s="392"/>
      <c r="M31" s="392"/>
    </row>
    <row r="32" spans="1:15" ht="12" customHeight="1" x14ac:dyDescent="0.25">
      <c r="A32" s="534">
        <f t="shared" ref="A32" si="9">A27+C27</f>
        <v>44520.354166666672</v>
      </c>
      <c r="B32" s="535">
        <f>IF(D27 = "",B27+C27,B27+D27)</f>
        <v>44520.354166666672</v>
      </c>
      <c r="C32" s="536">
        <v>2</v>
      </c>
      <c r="D32" s="537"/>
      <c r="E32" s="535">
        <f t="shared" si="5"/>
        <v>44522.354166666672</v>
      </c>
      <c r="F32" s="538" t="s">
        <v>693</v>
      </c>
      <c r="G32" s="539"/>
      <c r="H32" s="540"/>
      <c r="I32" s="540"/>
      <c r="J32" s="540"/>
      <c r="K32" s="540"/>
      <c r="L32" s="540"/>
      <c r="M32" s="540"/>
    </row>
    <row r="33" spans="1:13" ht="12" customHeight="1" x14ac:dyDescent="0.25">
      <c r="A33" s="330">
        <f t="shared" ref="A33:A35" si="10">IF(D32 = "",A32+C32,A32+D32)</f>
        <v>44522.354166666672</v>
      </c>
      <c r="B33" s="331">
        <f t="shared" si="7"/>
        <v>44522.354166666672</v>
      </c>
      <c r="C33" s="354">
        <v>1.1458333333333333</v>
      </c>
      <c r="D33" s="470" t="str">
        <f t="shared" si="1"/>
        <v/>
      </c>
      <c r="E33" s="331">
        <f t="shared" si="5"/>
        <v>44523.500000000007</v>
      </c>
      <c r="F33" s="355" t="s">
        <v>551</v>
      </c>
      <c r="G33" s="356"/>
      <c r="H33" s="780"/>
      <c r="I33" s="780"/>
      <c r="J33" s="780"/>
      <c r="K33" s="780"/>
      <c r="L33" s="780"/>
      <c r="M33" s="780"/>
    </row>
    <row r="34" spans="1:13" ht="12" customHeight="1" x14ac:dyDescent="0.25">
      <c r="A34" s="31">
        <f t="shared" si="10"/>
        <v>44523.500000000007</v>
      </c>
      <c r="B34" s="37">
        <f t="shared" si="7"/>
        <v>44523.500000000007</v>
      </c>
      <c r="C34" s="170">
        <v>1.5</v>
      </c>
      <c r="D34" s="327" t="str">
        <f t="shared" si="1"/>
        <v/>
      </c>
      <c r="E34" s="37">
        <f t="shared" si="5"/>
        <v>44525.000000000007</v>
      </c>
      <c r="F34" s="320" t="s">
        <v>694</v>
      </c>
      <c r="G34" s="35"/>
      <c r="H34" s="778"/>
      <c r="I34" s="778"/>
      <c r="J34" s="778"/>
      <c r="K34" s="778"/>
      <c r="L34" s="778"/>
      <c r="M34" s="778"/>
    </row>
    <row r="35" spans="1:13" ht="12" customHeight="1" x14ac:dyDescent="0.25">
      <c r="A35" s="31">
        <f t="shared" si="10"/>
        <v>44525.000000000007</v>
      </c>
      <c r="B35" s="37">
        <f t="shared" si="7"/>
        <v>44525.000000000007</v>
      </c>
      <c r="C35" s="170">
        <v>0.125</v>
      </c>
      <c r="D35" s="327" t="str">
        <f t="shared" si="1"/>
        <v/>
      </c>
      <c r="E35" s="37">
        <f t="shared" si="5"/>
        <v>44525.125000000007</v>
      </c>
      <c r="F35" s="264" t="s">
        <v>554</v>
      </c>
      <c r="G35" s="35"/>
      <c r="H35" s="397"/>
      <c r="I35" s="397"/>
      <c r="J35" s="397"/>
      <c r="K35" s="397"/>
      <c r="L35" s="397"/>
      <c r="M35" s="397"/>
    </row>
    <row r="36" spans="1:13" ht="21" x14ac:dyDescent="0.55000000000000004">
      <c r="A36" s="34"/>
      <c r="B36" s="33" t="s">
        <v>534</v>
      </c>
      <c r="C36" s="32">
        <f>SUM(C11:C14,C22:C27,C33:C35)</f>
        <v>7.7291666666666661</v>
      </c>
      <c r="D36" s="32">
        <f>SUM(D11:D14,D22:D27,D33:D35)</f>
        <v>0</v>
      </c>
      <c r="G36" s="243" t="s">
        <v>535</v>
      </c>
      <c r="H36" s="350">
        <f>SUM(H11:H26)</f>
        <v>761.4</v>
      </c>
      <c r="I36" s="350">
        <f>SUM(I11:I26)</f>
        <v>517.03700000000003</v>
      </c>
      <c r="J36" s="350">
        <f>SUM(J11:J26)</f>
        <v>94.9</v>
      </c>
      <c r="K36" s="351">
        <f>SUM(K11:K35)</f>
        <v>650</v>
      </c>
      <c r="L36" s="351">
        <f>SUM(L11:L35)</f>
        <v>856.3</v>
      </c>
      <c r="M36" s="351">
        <f>SUM(M11:M35)</f>
        <v>1167.037</v>
      </c>
    </row>
    <row r="37" spans="1:13" x14ac:dyDescent="0.25">
      <c r="B37" s="31" t="s">
        <v>536</v>
      </c>
      <c r="C37" s="30">
        <f>(C36*60)/1440</f>
        <v>0.32204861111111105</v>
      </c>
      <c r="D37" s="30">
        <f>(D36*60)/1440</f>
        <v>0</v>
      </c>
      <c r="G37" s="26"/>
      <c r="H37" s="26"/>
      <c r="I37" s="26"/>
      <c r="J37" s="26"/>
      <c r="K37" s="26"/>
      <c r="L37" s="26"/>
      <c r="M37" s="26"/>
    </row>
    <row r="38" spans="1:13" x14ac:dyDescent="0.25">
      <c r="F38" s="26"/>
      <c r="G38" s="26"/>
      <c r="H38" s="26"/>
      <c r="I38" s="26"/>
      <c r="J38" s="26"/>
      <c r="K38" s="26"/>
      <c r="L38" s="26"/>
    </row>
    <row r="39" spans="1:13" x14ac:dyDescent="0.25">
      <c r="F39" s="26"/>
      <c r="G39" s="26"/>
      <c r="H39" s="26"/>
      <c r="I39" s="26"/>
      <c r="J39" s="26"/>
      <c r="K39" s="26"/>
      <c r="L39" s="26"/>
    </row>
    <row r="40" spans="1:13" ht="11.9" hidden="1" customHeight="1" x14ac:dyDescent="0.25">
      <c r="A40" s="1072" t="s">
        <v>555</v>
      </c>
      <c r="B40" s="1073"/>
      <c r="F40" s="26"/>
      <c r="G40" s="26"/>
      <c r="H40" s="26"/>
      <c r="I40" s="26"/>
      <c r="J40" s="26"/>
      <c r="K40" s="26"/>
      <c r="L40" s="26"/>
    </row>
    <row r="41" spans="1:13" hidden="1" x14ac:dyDescent="0.25">
      <c r="A41" s="781" t="s">
        <v>556</v>
      </c>
      <c r="B41" s="29" t="e">
        <f>MAX(A24,#REF!)</f>
        <v>#REF!</v>
      </c>
      <c r="F41" s="26"/>
      <c r="G41" s="26"/>
      <c r="H41" s="26"/>
      <c r="I41" s="26"/>
      <c r="J41" s="26"/>
      <c r="K41" s="26"/>
      <c r="L41" s="26"/>
    </row>
    <row r="42" spans="1:13" hidden="1" x14ac:dyDescent="0.25">
      <c r="A42" s="781" t="s">
        <v>557</v>
      </c>
      <c r="B42" s="28" t="e">
        <f>MAX((#REF!+#REF!),(B24+C24))</f>
        <v>#REF!</v>
      </c>
      <c r="F42" s="26"/>
      <c r="G42" s="26"/>
      <c r="H42" s="26"/>
      <c r="I42" s="26"/>
      <c r="J42" s="26"/>
      <c r="K42" s="26"/>
      <c r="L42" s="26"/>
    </row>
    <row r="43" spans="1:13" x14ac:dyDescent="0.25">
      <c r="F43" s="26"/>
      <c r="G43" s="26"/>
      <c r="H43" s="26"/>
      <c r="I43" s="26"/>
      <c r="J43" s="26"/>
      <c r="K43" s="26"/>
      <c r="L43" s="26"/>
    </row>
    <row r="44" spans="1:13" x14ac:dyDescent="0.25">
      <c r="F44" s="26"/>
      <c r="G44" s="26"/>
      <c r="H44" s="26"/>
      <c r="I44" s="26"/>
      <c r="J44" s="26"/>
      <c r="K44" s="26"/>
      <c r="L44" s="26"/>
    </row>
    <row r="45" spans="1:13" x14ac:dyDescent="0.25">
      <c r="F45" s="26"/>
      <c r="G45" s="26"/>
      <c r="H45" s="26"/>
      <c r="I45" s="26"/>
      <c r="J45" s="26"/>
      <c r="K45" s="26"/>
      <c r="L45" s="26"/>
    </row>
    <row r="46" spans="1:13" x14ac:dyDescent="0.25">
      <c r="F46" s="26"/>
      <c r="G46" s="26"/>
      <c r="H46" s="26"/>
      <c r="I46" s="26"/>
      <c r="J46" s="26"/>
      <c r="K46" s="26"/>
      <c r="L46" s="26"/>
    </row>
    <row r="47" spans="1:13" x14ac:dyDescent="0.25">
      <c r="C47" s="27"/>
      <c r="F47" s="26"/>
      <c r="G47" s="26"/>
      <c r="H47" s="26"/>
      <c r="I47" s="26"/>
      <c r="J47" s="26"/>
      <c r="K47" s="26"/>
      <c r="L47" s="26"/>
    </row>
    <row r="48" spans="1:13" x14ac:dyDescent="0.25">
      <c r="F48" s="26"/>
      <c r="G48" s="26"/>
      <c r="H48" s="26"/>
      <c r="I48" s="26"/>
      <c r="J48" s="26"/>
      <c r="K48" s="26"/>
      <c r="L48" s="26"/>
    </row>
    <row r="49" spans="5:12" x14ac:dyDescent="0.25">
      <c r="F49" s="26"/>
      <c r="G49" s="26"/>
      <c r="H49" s="26"/>
      <c r="I49" s="26"/>
      <c r="J49" s="26"/>
      <c r="K49" s="26"/>
      <c r="L49" s="26"/>
    </row>
    <row r="50" spans="5:12" x14ac:dyDescent="0.25">
      <c r="F50" s="26"/>
      <c r="G50" s="26"/>
      <c r="H50" s="26"/>
      <c r="I50" s="26"/>
      <c r="J50" s="26"/>
      <c r="K50" s="26"/>
      <c r="L50" s="26"/>
    </row>
    <row r="51" spans="5:12" x14ac:dyDescent="0.25">
      <c r="F51" s="26"/>
      <c r="G51" s="26"/>
      <c r="H51" s="26"/>
      <c r="I51" s="26"/>
      <c r="J51" s="26"/>
      <c r="K51" s="26"/>
      <c r="L51" s="26"/>
    </row>
    <row r="52" spans="5:12" x14ac:dyDescent="0.25">
      <c r="F52" s="26"/>
      <c r="G52" s="26"/>
      <c r="H52" s="26"/>
      <c r="I52" s="26"/>
      <c r="J52" s="26"/>
      <c r="K52" s="26"/>
      <c r="L52" s="26"/>
    </row>
    <row r="53" spans="5:12" x14ac:dyDescent="0.25">
      <c r="F53" s="26"/>
      <c r="G53" s="26"/>
      <c r="H53" s="26"/>
      <c r="I53" s="26"/>
      <c r="J53" s="26"/>
      <c r="K53" s="26"/>
      <c r="L53" s="26"/>
    </row>
    <row r="54" spans="5:12" x14ac:dyDescent="0.25">
      <c r="F54" s="26"/>
      <c r="G54" s="26"/>
      <c r="H54" s="26"/>
      <c r="I54" s="26"/>
      <c r="J54" s="26"/>
      <c r="K54" s="26"/>
      <c r="L54" s="26"/>
    </row>
    <row r="55" spans="5:12" x14ac:dyDescent="0.25">
      <c r="F55" s="26"/>
      <c r="G55" s="26"/>
      <c r="H55" s="26"/>
      <c r="I55" s="26"/>
      <c r="J55" s="26"/>
      <c r="K55" s="26"/>
      <c r="L55" s="26"/>
    </row>
    <row r="56" spans="5:12" x14ac:dyDescent="0.25">
      <c r="F56" s="26"/>
      <c r="G56" s="26"/>
      <c r="H56" s="26"/>
      <c r="I56" s="26"/>
      <c r="J56" s="26"/>
      <c r="K56" s="26"/>
      <c r="L56" s="26"/>
    </row>
    <row r="57" spans="5:12" x14ac:dyDescent="0.25">
      <c r="F57" s="26"/>
      <c r="G57" s="26"/>
      <c r="H57" s="26"/>
      <c r="I57" s="26"/>
      <c r="J57" s="26"/>
      <c r="K57" s="26"/>
      <c r="L57" s="26"/>
    </row>
    <row r="58" spans="5:12" x14ac:dyDescent="0.25">
      <c r="E58" s="26"/>
    </row>
    <row r="59" spans="5:12" x14ac:dyDescent="0.25">
      <c r="E59" s="26"/>
    </row>
  </sheetData>
  <mergeCells count="10">
    <mergeCell ref="K23:K26"/>
    <mergeCell ref="N24:O24"/>
    <mergeCell ref="I25:I26"/>
    <mergeCell ref="A40:B40"/>
    <mergeCell ref="A1:B1"/>
    <mergeCell ref="A5:D5"/>
    <mergeCell ref="N11:O11"/>
    <mergeCell ref="A15:M15"/>
    <mergeCell ref="G16:G21"/>
    <mergeCell ref="N16:O16"/>
  </mergeCells>
  <pageMargins left="0.75" right="0.75" top="1" bottom="1" header="0.5" footer="0.5"/>
  <pageSetup orientation="portrait" r:id="rId1"/>
  <headerFooter alignWithMargins="0">
    <oddFooter>&amp;R&amp;"Arial,Regular"&amp;08&amp;K7F7F7FAmgen Proprietary - Confidential   &amp;C&amp;"Arial,Regular"&amp;08&amp;K7F7F7FAmgen Proprietary - For Internal Use Only</oddFooter>
    <evenFooter>&amp;R&amp;"Arial,Regular"&amp;08&amp;K7F7F7FAmgen Proprietary - Confidential   &amp;C&amp;"Arial,Regular"&amp;08&amp;K7F7F7FAmgen Proprietary - For Internal Use Only</evenFooter>
    <firstFooter>&amp;R&amp;"Arial,Regular"&amp;08&amp;K7F7F7FAmgen Proprietary - Confidential   &amp;C&amp;"Arial,Regular"&amp;08&amp;K7F7F7FAmgen Proprietary - For Internal Use Only</firstFooter>
  </headerFooter>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9AE6AD-00E5-4242-BF00-D276FC4AEB7F}">
  <sheetPr codeName="Sheet54">
    <pageSetUpPr autoPageBreaks="0"/>
  </sheetPr>
  <dimension ref="A1:O59"/>
  <sheetViews>
    <sheetView topLeftCell="A4" zoomScale="110" zoomScaleNormal="110" workbookViewId="0">
      <selection activeCell="E47" sqref="E47"/>
    </sheetView>
  </sheetViews>
  <sheetFormatPr defaultColWidth="23.453125" defaultRowHeight="11.5" x14ac:dyDescent="0.25"/>
  <cols>
    <col min="1" max="1" width="26" style="25" customWidth="1"/>
    <col min="2" max="2" width="28.453125" style="25" customWidth="1"/>
    <col min="3" max="3" width="25" style="25" customWidth="1"/>
    <col min="4" max="4" width="17.54296875" style="25" customWidth="1"/>
    <col min="5" max="5" width="23.453125" style="25" customWidth="1"/>
    <col min="6" max="6" width="67.54296875" style="25" bestFit="1" customWidth="1"/>
    <col min="7" max="7" width="41.453125" style="25" bestFit="1" customWidth="1"/>
    <col min="8" max="8" width="16.54296875" style="25" customWidth="1"/>
    <col min="9" max="9" width="14.453125" style="25" customWidth="1"/>
    <col min="10" max="10" width="11.54296875" style="25" customWidth="1"/>
    <col min="11" max="11" width="12.453125" style="25" customWidth="1"/>
    <col min="12" max="12" width="13.54296875" style="25" customWidth="1"/>
    <col min="13" max="13" width="13.453125" style="25" customWidth="1"/>
    <col min="14" max="16384" width="23.453125" style="25"/>
  </cols>
  <sheetData>
    <row r="1" spans="1:15" x14ac:dyDescent="0.25">
      <c r="A1" s="1100" t="s">
        <v>479</v>
      </c>
      <c r="B1" s="1100"/>
    </row>
    <row r="2" spans="1:15" x14ac:dyDescent="0.25">
      <c r="A2" s="781" t="s">
        <v>480</v>
      </c>
      <c r="B2" s="31">
        <f>A11</f>
        <v>44536.395833333336</v>
      </c>
      <c r="C2" s="719"/>
    </row>
    <row r="3" spans="1:15" x14ac:dyDescent="0.25">
      <c r="A3" s="781" t="s">
        <v>482</v>
      </c>
      <c r="B3" s="541">
        <f>A11</f>
        <v>44536.395833333336</v>
      </c>
    </row>
    <row r="5" spans="1:15" x14ac:dyDescent="0.25">
      <c r="A5" s="1100" t="s">
        <v>484</v>
      </c>
      <c r="B5" s="1100"/>
      <c r="C5" s="1100"/>
      <c r="D5" s="1100"/>
    </row>
    <row r="6" spans="1:15" x14ac:dyDescent="0.25">
      <c r="A6" s="781" t="s">
        <v>485</v>
      </c>
      <c r="B6" s="781" t="s">
        <v>486</v>
      </c>
      <c r="C6" s="781" t="s">
        <v>487</v>
      </c>
      <c r="D6" s="781" t="s">
        <v>488</v>
      </c>
    </row>
    <row r="7" spans="1:15" x14ac:dyDescent="0.25">
      <c r="A7" s="324" t="str">
        <f>F13</f>
        <v>IPC: Reaction Conversion</v>
      </c>
      <c r="B7" s="325">
        <f>INDEX($B$11:$B$66,MATCH(A7,$F$11:$F$66,0))</f>
        <v>44536.875</v>
      </c>
      <c r="C7" s="272">
        <f>INDEX($B$11:$B$66,MATCH(A7,$F$11:$F$66,0))</f>
        <v>44536.875</v>
      </c>
      <c r="D7" s="405" t="s">
        <v>2658</v>
      </c>
    </row>
    <row r="8" spans="1:15" x14ac:dyDescent="0.25">
      <c r="A8" s="324" t="str">
        <f>F34</f>
        <v>IPC: GC, LC, KF</v>
      </c>
      <c r="B8" s="325">
        <f>A34</f>
        <v>44544.500000000007</v>
      </c>
      <c r="C8" s="272">
        <f>INDEX($B$11:$B$66,MATCH(A8,$F$11:$F$66,0))</f>
        <v>44544.500000000007</v>
      </c>
      <c r="D8" s="405"/>
      <c r="E8" s="399"/>
    </row>
    <row r="10" spans="1:15" ht="23" x14ac:dyDescent="0.25">
      <c r="A10" s="749" t="s">
        <v>492</v>
      </c>
      <c r="B10" s="749" t="s">
        <v>493</v>
      </c>
      <c r="C10" s="749" t="s">
        <v>494</v>
      </c>
      <c r="D10" s="86" t="s">
        <v>495</v>
      </c>
      <c r="E10" s="749" t="s">
        <v>540</v>
      </c>
      <c r="F10" s="749" t="s">
        <v>541</v>
      </c>
      <c r="G10" s="749" t="s">
        <v>498</v>
      </c>
      <c r="H10" s="184" t="s">
        <v>92</v>
      </c>
      <c r="I10" s="184" t="s">
        <v>248</v>
      </c>
      <c r="J10" s="184" t="s">
        <v>267</v>
      </c>
      <c r="K10" s="184" t="s">
        <v>677</v>
      </c>
      <c r="L10" s="184" t="s">
        <v>678</v>
      </c>
      <c r="M10" s="184" t="s">
        <v>501</v>
      </c>
    </row>
    <row r="11" spans="1:15" ht="12" customHeight="1" x14ac:dyDescent="0.25">
      <c r="A11" s="31">
        <v>44536.395833333336</v>
      </c>
      <c r="B11" s="38">
        <f>A11</f>
        <v>44536.395833333336</v>
      </c>
      <c r="C11" s="170">
        <v>0.22916666666666666</v>
      </c>
      <c r="D11" s="327" t="str">
        <f>IF(_xlfn.ISFORMULA(E11)=TRUE,"",E11-B11)</f>
        <v/>
      </c>
      <c r="E11" s="37">
        <f>B11+C11</f>
        <v>44536.625</v>
      </c>
      <c r="F11" s="264" t="s">
        <v>679</v>
      </c>
      <c r="G11" s="78"/>
      <c r="H11" s="352"/>
      <c r="I11" s="352"/>
      <c r="J11" s="352"/>
      <c r="K11" s="352"/>
      <c r="L11" s="352"/>
      <c r="M11" s="352"/>
      <c r="N11" s="1066" t="s">
        <v>609</v>
      </c>
      <c r="O11" s="1067"/>
    </row>
    <row r="12" spans="1:15" ht="12" customHeight="1" x14ac:dyDescent="0.25">
      <c r="A12" s="31">
        <f>IF(D11 = "",A11+C11,A11+D11)</f>
        <v>44536.625</v>
      </c>
      <c r="B12" s="37">
        <f t="shared" ref="B12:B21" si="0">IF(D11 = "",B11+C11,B11+D11)</f>
        <v>44536.625</v>
      </c>
      <c r="C12" s="170">
        <v>0.25</v>
      </c>
      <c r="D12" s="327" t="str">
        <f t="shared" ref="D12:D35" si="1">IF(_xlfn.ISFORMULA(E12)=TRUE,"",E12-B12)</f>
        <v/>
      </c>
      <c r="E12" s="37">
        <f t="shared" ref="E12:E14" si="2">B12+C12</f>
        <v>44536.875</v>
      </c>
      <c r="F12" s="264" t="s">
        <v>680</v>
      </c>
      <c r="G12" s="35"/>
      <c r="H12" s="778"/>
      <c r="I12" s="778"/>
      <c r="J12" s="778"/>
      <c r="K12" s="778"/>
      <c r="L12" s="778"/>
      <c r="M12" s="778"/>
      <c r="N12" s="268" t="s">
        <v>681</v>
      </c>
      <c r="O12" s="343">
        <f>SUM(L11:L14)</f>
        <v>606.29999999999995</v>
      </c>
    </row>
    <row r="13" spans="1:15" ht="12" customHeight="1" x14ac:dyDescent="0.25">
      <c r="A13" s="31">
        <f t="shared" ref="A13" si="3">IF(D12 = "",A12+C12,A12+D12)</f>
        <v>44536.875</v>
      </c>
      <c r="B13" s="37">
        <f t="shared" si="0"/>
        <v>44536.875</v>
      </c>
      <c r="C13" s="170">
        <v>0.13541666666666666</v>
      </c>
      <c r="D13" s="327" t="str">
        <f t="shared" si="1"/>
        <v/>
      </c>
      <c r="E13" s="37">
        <f t="shared" si="2"/>
        <v>44537.010416666664</v>
      </c>
      <c r="F13" s="320" t="s">
        <v>567</v>
      </c>
      <c r="G13" s="39"/>
      <c r="H13" s="778"/>
      <c r="I13" s="778"/>
      <c r="J13" s="778"/>
      <c r="K13" s="778"/>
      <c r="L13" s="778"/>
      <c r="M13" s="778"/>
      <c r="N13" s="268" t="s">
        <v>682</v>
      </c>
      <c r="O13" s="343">
        <f>SUM(M11:M14)</f>
        <v>0</v>
      </c>
    </row>
    <row r="14" spans="1:15" ht="12" customHeight="1" x14ac:dyDescent="0.25">
      <c r="A14" s="31">
        <f>IF(D13 = "",A13+C13,A13+D13)</f>
        <v>44537.010416666664</v>
      </c>
      <c r="B14" s="37">
        <f t="shared" si="0"/>
        <v>44537.010416666664</v>
      </c>
      <c r="C14" s="170">
        <v>0.39583333333333331</v>
      </c>
      <c r="D14" s="327" t="str">
        <f t="shared" si="1"/>
        <v/>
      </c>
      <c r="E14" s="37">
        <f t="shared" si="2"/>
        <v>44537.40625</v>
      </c>
      <c r="F14" s="321" t="s">
        <v>683</v>
      </c>
      <c r="G14" s="35"/>
      <c r="H14" s="778">
        <v>511.4</v>
      </c>
      <c r="I14" s="778"/>
      <c r="J14" s="778">
        <v>94.9</v>
      </c>
      <c r="K14" s="778"/>
      <c r="L14" s="778">
        <f>H14+J14</f>
        <v>606.29999999999995</v>
      </c>
      <c r="M14" s="778"/>
    </row>
    <row r="15" spans="1:15" ht="12" customHeight="1" x14ac:dyDescent="0.25">
      <c r="A15" s="1097" t="s">
        <v>2554</v>
      </c>
      <c r="B15" s="1098"/>
      <c r="C15" s="1098"/>
      <c r="D15" s="1098"/>
      <c r="E15" s="1098"/>
      <c r="F15" s="1098"/>
      <c r="G15" s="1098"/>
      <c r="H15" s="1098"/>
      <c r="I15" s="1098"/>
      <c r="J15" s="1098"/>
      <c r="K15" s="1098"/>
      <c r="L15" s="1098"/>
      <c r="M15" s="1099"/>
    </row>
    <row r="16" spans="1:15" ht="12" customHeight="1" x14ac:dyDescent="0.25">
      <c r="A16" s="706">
        <f>IF(D14 = "",A14+C14,A14+D14)</f>
        <v>44537.40625</v>
      </c>
      <c r="B16" s="685">
        <f>A14+"1:00"</f>
        <v>44537.052083333328</v>
      </c>
      <c r="C16" s="707">
        <v>2.0833333333333332E-2</v>
      </c>
      <c r="D16" s="327" t="str">
        <f t="shared" si="1"/>
        <v/>
      </c>
      <c r="E16" s="685">
        <f>B16+C16</f>
        <v>44537.072916666664</v>
      </c>
      <c r="F16" s="708" t="s">
        <v>684</v>
      </c>
      <c r="G16" s="1101" t="s">
        <v>685</v>
      </c>
      <c r="H16" s="709"/>
      <c r="I16" s="709">
        <v>50</v>
      </c>
      <c r="J16" s="709"/>
      <c r="K16" s="709"/>
      <c r="L16" s="709"/>
      <c r="M16" s="709">
        <f>I16</f>
        <v>50</v>
      </c>
      <c r="N16" s="1066" t="s">
        <v>624</v>
      </c>
      <c r="O16" s="1067"/>
    </row>
    <row r="17" spans="1:15" ht="12" customHeight="1" x14ac:dyDescent="0.25">
      <c r="A17" s="706">
        <f t="shared" ref="A17:A21" si="4">IF(D16 = "",A16+C16,A16+D16)</f>
        <v>44537.427083333336</v>
      </c>
      <c r="B17" s="685">
        <f t="shared" si="0"/>
        <v>44537.072916666664</v>
      </c>
      <c r="C17" s="707">
        <v>1.0416666666666666E-2</v>
      </c>
      <c r="D17" s="327" t="str">
        <f t="shared" si="1"/>
        <v/>
      </c>
      <c r="E17" s="685">
        <f t="shared" ref="E17:E35" si="5">B17+C17</f>
        <v>44537.083333333328</v>
      </c>
      <c r="F17" s="708" t="s">
        <v>2555</v>
      </c>
      <c r="G17" s="1102"/>
      <c r="H17" s="709">
        <v>150</v>
      </c>
      <c r="I17" s="709"/>
      <c r="J17" s="709"/>
      <c r="K17" s="709"/>
      <c r="L17" s="709">
        <f>H17</f>
        <v>150</v>
      </c>
      <c r="M17" s="709"/>
      <c r="N17" s="268" t="s">
        <v>681</v>
      </c>
      <c r="O17" s="343">
        <f>SUM(L16:L23)</f>
        <v>250</v>
      </c>
    </row>
    <row r="18" spans="1:15" ht="12" customHeight="1" x14ac:dyDescent="0.25">
      <c r="A18" s="706">
        <f t="shared" si="4"/>
        <v>44537.4375</v>
      </c>
      <c r="B18" s="685">
        <f t="shared" si="0"/>
        <v>44537.083333333328</v>
      </c>
      <c r="C18" s="707">
        <v>4.1666666666666664E-2</v>
      </c>
      <c r="D18" s="327" t="str">
        <f t="shared" si="1"/>
        <v/>
      </c>
      <c r="E18" s="685">
        <f t="shared" si="5"/>
        <v>44537.124999999993</v>
      </c>
      <c r="F18" s="708" t="s">
        <v>2556</v>
      </c>
      <c r="G18" s="1102"/>
      <c r="H18" s="709">
        <v>100</v>
      </c>
      <c r="I18" s="709"/>
      <c r="J18" s="709"/>
      <c r="K18" s="709"/>
      <c r="L18" s="709">
        <v>100</v>
      </c>
      <c r="M18" s="709"/>
      <c r="N18" s="268" t="s">
        <v>682</v>
      </c>
      <c r="O18" s="343">
        <f>SUM(M16:M23)</f>
        <v>400</v>
      </c>
    </row>
    <row r="19" spans="1:15" ht="12" customHeight="1" x14ac:dyDescent="0.25">
      <c r="A19" s="706">
        <f t="shared" si="4"/>
        <v>44537.479166666664</v>
      </c>
      <c r="B19" s="685">
        <f t="shared" si="0"/>
        <v>44537.124999999993</v>
      </c>
      <c r="C19" s="707">
        <v>1.0416666666666666E-2</v>
      </c>
      <c r="D19" s="327" t="str">
        <f t="shared" si="1"/>
        <v/>
      </c>
      <c r="E19" s="685">
        <f t="shared" si="5"/>
        <v>44537.135416666657</v>
      </c>
      <c r="F19" s="708" t="s">
        <v>2557</v>
      </c>
      <c r="G19" s="1102"/>
      <c r="H19" s="709"/>
      <c r="I19" s="709"/>
      <c r="J19" s="709"/>
      <c r="K19" s="709">
        <v>150</v>
      </c>
      <c r="L19" s="709"/>
      <c r="M19" s="709">
        <v>150</v>
      </c>
    </row>
    <row r="20" spans="1:15" ht="12" customHeight="1" x14ac:dyDescent="0.25">
      <c r="A20" s="706">
        <f t="shared" si="4"/>
        <v>44537.489583333328</v>
      </c>
      <c r="B20" s="685">
        <f t="shared" si="0"/>
        <v>44537.135416666657</v>
      </c>
      <c r="C20" s="707">
        <v>4.1666666666666664E-2</v>
      </c>
      <c r="D20" s="327"/>
      <c r="E20" s="685">
        <f t="shared" si="5"/>
        <v>44537.177083333321</v>
      </c>
      <c r="F20" s="708" t="s">
        <v>688</v>
      </c>
      <c r="G20" s="1102"/>
      <c r="H20" s="709"/>
      <c r="I20" s="709"/>
      <c r="J20" s="709"/>
      <c r="K20" s="709">
        <v>100</v>
      </c>
      <c r="L20" s="709"/>
      <c r="M20" s="709">
        <f>K20</f>
        <v>100</v>
      </c>
    </row>
    <row r="21" spans="1:15" ht="12" customHeight="1" x14ac:dyDescent="0.25">
      <c r="A21" s="706">
        <f t="shared" si="4"/>
        <v>44537.531249999993</v>
      </c>
      <c r="B21" s="685">
        <f t="shared" si="0"/>
        <v>44537.177083333321</v>
      </c>
      <c r="C21" s="707">
        <v>4.1666666666666664E-2</v>
      </c>
      <c r="D21" s="327"/>
      <c r="E21" s="685">
        <f t="shared" si="5"/>
        <v>44537.218749999985</v>
      </c>
      <c r="F21" s="708" t="s">
        <v>689</v>
      </c>
      <c r="G21" s="1102"/>
      <c r="H21" s="709"/>
      <c r="I21" s="709"/>
      <c r="J21" s="709"/>
      <c r="K21" s="709">
        <v>100</v>
      </c>
      <c r="L21" s="709"/>
      <c r="M21" s="709">
        <v>100</v>
      </c>
    </row>
    <row r="22" spans="1:15" ht="12" customHeight="1" x14ac:dyDescent="0.25">
      <c r="A22" s="31">
        <f>IF(D14 = "",A14+C14,A14+D14)</f>
        <v>44537.40625</v>
      </c>
      <c r="B22" s="37">
        <f>IF(D14 = "",B14+C14,B14+D14)</f>
        <v>44537.40625</v>
      </c>
      <c r="C22" s="172">
        <v>3.125E-2</v>
      </c>
      <c r="D22" s="327" t="str">
        <f t="shared" si="1"/>
        <v/>
      </c>
      <c r="E22" s="37">
        <f t="shared" si="5"/>
        <v>44537.4375</v>
      </c>
      <c r="F22" s="264" t="s">
        <v>690</v>
      </c>
      <c r="G22" s="35"/>
      <c r="H22" s="393"/>
      <c r="I22" s="393"/>
      <c r="J22" s="393"/>
      <c r="K22" s="393"/>
      <c r="L22" s="393"/>
      <c r="M22" s="393"/>
    </row>
    <row r="23" spans="1:15" ht="12" customHeight="1" x14ac:dyDescent="0.25">
      <c r="A23" s="31">
        <f t="shared" ref="A23:A27" si="6">IF(D22 = "",A22+C22,A22+D22)</f>
        <v>44537.4375</v>
      </c>
      <c r="B23" s="37">
        <f t="shared" ref="B23:B35" si="7">IF(D22 = "",B22+C22,B22+D22)</f>
        <v>44537.4375</v>
      </c>
      <c r="C23" s="172">
        <v>0.89583333333333337</v>
      </c>
      <c r="D23" s="327" t="str">
        <f t="shared" si="1"/>
        <v/>
      </c>
      <c r="E23" s="37">
        <f t="shared" si="5"/>
        <v>44538.333333333336</v>
      </c>
      <c r="F23" s="264" t="s">
        <v>691</v>
      </c>
      <c r="G23" s="39"/>
      <c r="H23" s="778"/>
      <c r="I23" s="778"/>
      <c r="J23" s="778"/>
      <c r="K23" s="1074">
        <v>300</v>
      </c>
      <c r="L23" s="778"/>
      <c r="M23" s="778"/>
    </row>
    <row r="24" spans="1:15" ht="12" customHeight="1" x14ac:dyDescent="0.25">
      <c r="A24" s="31">
        <f t="shared" si="6"/>
        <v>44538.333333333336</v>
      </c>
      <c r="B24" s="37">
        <f t="shared" si="7"/>
        <v>44538.333333333336</v>
      </c>
      <c r="C24" s="170">
        <v>0.41666666666666669</v>
      </c>
      <c r="D24" s="327" t="str">
        <f t="shared" si="1"/>
        <v/>
      </c>
      <c r="E24" s="37">
        <f t="shared" si="5"/>
        <v>44538.75</v>
      </c>
      <c r="F24" s="264" t="s">
        <v>548</v>
      </c>
      <c r="G24" s="35"/>
      <c r="H24" s="778"/>
      <c r="I24" s="778"/>
      <c r="J24" s="778"/>
      <c r="K24" s="1074"/>
      <c r="L24" s="778"/>
      <c r="M24" s="778"/>
      <c r="N24" s="1066" t="s">
        <v>630</v>
      </c>
      <c r="O24" s="1067"/>
    </row>
    <row r="25" spans="1:15" ht="12" customHeight="1" x14ac:dyDescent="0.25">
      <c r="A25" s="31">
        <f>IF(D24 = "",A24+C24,A24+D24)</f>
        <v>44538.75</v>
      </c>
      <c r="B25" s="37">
        <f>IF(D24 = "",B24+C24,B24+D24)</f>
        <v>44538.75</v>
      </c>
      <c r="C25" s="170">
        <v>0.1875</v>
      </c>
      <c r="D25" s="327" t="str">
        <f t="shared" si="1"/>
        <v/>
      </c>
      <c r="E25" s="37">
        <f t="shared" si="5"/>
        <v>44538.9375</v>
      </c>
      <c r="F25" s="264" t="s">
        <v>549</v>
      </c>
      <c r="G25" s="35"/>
      <c r="H25" s="778"/>
      <c r="I25" s="1075">
        <v>467.03699999999998</v>
      </c>
      <c r="J25" s="778"/>
      <c r="K25" s="1074"/>
      <c r="L25" s="778"/>
      <c r="M25" s="778"/>
      <c r="N25" s="268" t="s">
        <v>682</v>
      </c>
      <c r="O25" s="343">
        <f>SUM(M24:M26)</f>
        <v>767.03700000000003</v>
      </c>
    </row>
    <row r="26" spans="1:15" ht="12" customHeight="1" x14ac:dyDescent="0.25">
      <c r="A26" s="31">
        <f t="shared" si="6"/>
        <v>44538.9375</v>
      </c>
      <c r="B26" s="37">
        <f t="shared" si="7"/>
        <v>44538.9375</v>
      </c>
      <c r="C26" s="170">
        <v>1.0208333333333333</v>
      </c>
      <c r="D26" s="327"/>
      <c r="E26" s="37">
        <f t="shared" si="5"/>
        <v>44539.958333333336</v>
      </c>
      <c r="F26" s="264" t="s">
        <v>692</v>
      </c>
      <c r="G26" s="35"/>
      <c r="H26" s="778"/>
      <c r="I26" s="1076"/>
      <c r="J26" s="778"/>
      <c r="K26" s="1074"/>
      <c r="L26" s="778"/>
      <c r="M26" s="778">
        <f>I25+K23</f>
        <v>767.03700000000003</v>
      </c>
      <c r="N26" s="268" t="s">
        <v>682</v>
      </c>
      <c r="O26" s="343">
        <f>SUM(M24:M26)</f>
        <v>767.03700000000003</v>
      </c>
    </row>
    <row r="27" spans="1:15" ht="12" customHeight="1" x14ac:dyDescent="0.25">
      <c r="A27" s="410">
        <f t="shared" si="6"/>
        <v>44539.958333333336</v>
      </c>
      <c r="B27" s="329">
        <f>IF(D26 = "",B26+C26,B26+D26)</f>
        <v>44539.958333333336</v>
      </c>
      <c r="C27" s="173">
        <v>1.3958333333333333</v>
      </c>
      <c r="D27" s="468" t="str">
        <f t="shared" si="1"/>
        <v/>
      </c>
      <c r="E27" s="329">
        <f t="shared" si="5"/>
        <v>44541.354166666672</v>
      </c>
      <c r="F27" s="353" t="s">
        <v>551</v>
      </c>
      <c r="G27" s="178"/>
      <c r="H27" s="779"/>
      <c r="I27" s="394"/>
      <c r="J27" s="779"/>
      <c r="K27" s="779"/>
      <c r="L27" s="779"/>
      <c r="M27" s="779"/>
    </row>
    <row r="28" spans="1:15" ht="12" hidden="1" customHeight="1" x14ac:dyDescent="0.25">
      <c r="A28" s="322">
        <f>A27</f>
        <v>44539.958333333336</v>
      </c>
      <c r="B28" s="323">
        <f>B27</f>
        <v>44539.958333333336</v>
      </c>
      <c r="C28" s="400">
        <v>1.0416666666666666E-2</v>
      </c>
      <c r="D28" s="400" t="str">
        <f t="shared" si="1"/>
        <v/>
      </c>
      <c r="E28" s="323">
        <f t="shared" si="5"/>
        <v>44539.96875</v>
      </c>
      <c r="F28" s="531" t="s">
        <v>2558</v>
      </c>
      <c r="G28" s="533"/>
      <c r="H28" s="392"/>
      <c r="I28" s="392"/>
      <c r="J28" s="392"/>
      <c r="K28" s="392"/>
      <c r="L28" s="392"/>
      <c r="M28" s="392"/>
    </row>
    <row r="29" spans="1:15" ht="12" hidden="1" customHeight="1" x14ac:dyDescent="0.25">
      <c r="A29" s="322">
        <f>A28+C28</f>
        <v>44539.96875</v>
      </c>
      <c r="B29" s="323">
        <f>B28+C28</f>
        <v>44539.96875</v>
      </c>
      <c r="C29" s="400">
        <v>2.0833333333333332E-2</v>
      </c>
      <c r="D29" s="400" t="str">
        <f t="shared" si="1"/>
        <v/>
      </c>
      <c r="E29" s="323">
        <f t="shared" si="5"/>
        <v>44539.989583333336</v>
      </c>
      <c r="F29" s="531" t="s">
        <v>2559</v>
      </c>
      <c r="G29" s="533"/>
      <c r="H29" s="392"/>
      <c r="I29" s="392"/>
      <c r="J29" s="392"/>
      <c r="K29" s="392"/>
      <c r="L29" s="392"/>
      <c r="M29" s="392"/>
    </row>
    <row r="30" spans="1:15" ht="12" hidden="1" customHeight="1" x14ac:dyDescent="0.25">
      <c r="A30" s="322">
        <f t="shared" ref="A30:A31" si="8">A29+C29</f>
        <v>44539.989583333336</v>
      </c>
      <c r="B30" s="323">
        <f>B29+C29</f>
        <v>44539.989583333336</v>
      </c>
      <c r="C30" s="400">
        <v>0.1875</v>
      </c>
      <c r="D30" s="400"/>
      <c r="E30" s="323">
        <f t="shared" si="5"/>
        <v>44540.177083333336</v>
      </c>
      <c r="F30" s="531" t="s">
        <v>2560</v>
      </c>
      <c r="G30" s="533"/>
      <c r="H30" s="392"/>
      <c r="I30" s="392"/>
      <c r="J30" s="392"/>
      <c r="K30" s="392"/>
      <c r="L30" s="392"/>
      <c r="M30" s="392"/>
    </row>
    <row r="31" spans="1:15" ht="12" hidden="1" customHeight="1" x14ac:dyDescent="0.25">
      <c r="A31" s="322">
        <f t="shared" si="8"/>
        <v>44540.177083333336</v>
      </c>
      <c r="B31" s="323">
        <f>B30+C30</f>
        <v>44540.177083333336</v>
      </c>
      <c r="C31" s="400">
        <v>6.25E-2</v>
      </c>
      <c r="D31" s="400"/>
      <c r="E31" s="323">
        <f t="shared" si="5"/>
        <v>44540.239583333336</v>
      </c>
      <c r="F31" s="531" t="s">
        <v>520</v>
      </c>
      <c r="G31" s="533"/>
      <c r="H31" s="392"/>
      <c r="I31" s="392"/>
      <c r="J31" s="392"/>
      <c r="K31" s="392"/>
      <c r="L31" s="392"/>
      <c r="M31" s="392"/>
    </row>
    <row r="32" spans="1:15" ht="12" customHeight="1" x14ac:dyDescent="0.25">
      <c r="A32" s="534">
        <f t="shared" ref="A32" si="9">A27+C27</f>
        <v>44541.354166666672</v>
      </c>
      <c r="B32" s="535">
        <f>IF(D27 = "",B27+C27,B27+D27)</f>
        <v>44541.354166666672</v>
      </c>
      <c r="C32" s="536">
        <v>2</v>
      </c>
      <c r="D32" s="537"/>
      <c r="E32" s="535">
        <f t="shared" si="5"/>
        <v>44543.354166666672</v>
      </c>
      <c r="F32" s="538" t="s">
        <v>693</v>
      </c>
      <c r="G32" s="539"/>
      <c r="H32" s="540"/>
      <c r="I32" s="540"/>
      <c r="J32" s="540"/>
      <c r="K32" s="540"/>
      <c r="L32" s="540"/>
      <c r="M32" s="540"/>
    </row>
    <row r="33" spans="1:13" ht="12" customHeight="1" x14ac:dyDescent="0.25">
      <c r="A33" s="330">
        <f t="shared" ref="A33:A35" si="10">IF(D32 = "",A32+C32,A32+D32)</f>
        <v>44543.354166666672</v>
      </c>
      <c r="B33" s="331">
        <f t="shared" si="7"/>
        <v>44543.354166666672</v>
      </c>
      <c r="C33" s="354">
        <v>1.1458333333333333</v>
      </c>
      <c r="D33" s="470" t="str">
        <f t="shared" si="1"/>
        <v/>
      </c>
      <c r="E33" s="331">
        <f t="shared" si="5"/>
        <v>44544.500000000007</v>
      </c>
      <c r="F33" s="355" t="s">
        <v>551</v>
      </c>
      <c r="G33" s="356"/>
      <c r="H33" s="780"/>
      <c r="I33" s="780"/>
      <c r="J33" s="780"/>
      <c r="K33" s="780"/>
      <c r="L33" s="780"/>
      <c r="M33" s="780"/>
    </row>
    <row r="34" spans="1:13" ht="12" customHeight="1" x14ac:dyDescent="0.25">
      <c r="A34" s="31">
        <f t="shared" si="10"/>
        <v>44544.500000000007</v>
      </c>
      <c r="B34" s="37">
        <f t="shared" si="7"/>
        <v>44544.500000000007</v>
      </c>
      <c r="C34" s="170">
        <v>1.5</v>
      </c>
      <c r="D34" s="327" t="str">
        <f t="shared" si="1"/>
        <v/>
      </c>
      <c r="E34" s="37">
        <f t="shared" si="5"/>
        <v>44546.000000000007</v>
      </c>
      <c r="F34" s="320" t="s">
        <v>694</v>
      </c>
      <c r="G34" s="35"/>
      <c r="H34" s="778"/>
      <c r="I34" s="778"/>
      <c r="J34" s="778"/>
      <c r="K34" s="778"/>
      <c r="L34" s="778"/>
      <c r="M34" s="778"/>
    </row>
    <row r="35" spans="1:13" ht="12" customHeight="1" x14ac:dyDescent="0.25">
      <c r="A35" s="31">
        <f t="shared" si="10"/>
        <v>44546.000000000007</v>
      </c>
      <c r="B35" s="37">
        <f t="shared" si="7"/>
        <v>44546.000000000007</v>
      </c>
      <c r="C35" s="170">
        <v>0.125</v>
      </c>
      <c r="D35" s="327" t="str">
        <f t="shared" si="1"/>
        <v/>
      </c>
      <c r="E35" s="37">
        <f t="shared" si="5"/>
        <v>44546.125000000007</v>
      </c>
      <c r="F35" s="264" t="s">
        <v>554</v>
      </c>
      <c r="G35" s="35"/>
      <c r="H35" s="397"/>
      <c r="I35" s="397"/>
      <c r="J35" s="397"/>
      <c r="K35" s="397"/>
      <c r="L35" s="397"/>
      <c r="M35" s="397"/>
    </row>
    <row r="36" spans="1:13" ht="21" x14ac:dyDescent="0.55000000000000004">
      <c r="A36" s="34"/>
      <c r="B36" s="33" t="s">
        <v>534</v>
      </c>
      <c r="C36" s="32">
        <f>SUM(C11:C14,C22:C27,C33:C35)</f>
        <v>7.7291666666666661</v>
      </c>
      <c r="D36" s="32">
        <f>SUM(D11:D14,D22:D27,D33:D35)</f>
        <v>0</v>
      </c>
      <c r="G36" s="243" t="s">
        <v>535</v>
      </c>
      <c r="H36" s="350">
        <f>SUM(H11:H26)</f>
        <v>761.4</v>
      </c>
      <c r="I36" s="350">
        <f>SUM(I11:I26)</f>
        <v>517.03700000000003</v>
      </c>
      <c r="J36" s="350">
        <f>SUM(J11:J26)</f>
        <v>94.9</v>
      </c>
      <c r="K36" s="351">
        <f>SUM(K11:K35)</f>
        <v>650</v>
      </c>
      <c r="L36" s="351">
        <f>SUM(L11:L35)</f>
        <v>856.3</v>
      </c>
      <c r="M36" s="351">
        <f>SUM(M11:M35)</f>
        <v>1167.037</v>
      </c>
    </row>
    <row r="37" spans="1:13" x14ac:dyDescent="0.25">
      <c r="B37" s="31" t="s">
        <v>536</v>
      </c>
      <c r="C37" s="30">
        <f>(C36*60)/1440</f>
        <v>0.32204861111111105</v>
      </c>
      <c r="D37" s="30">
        <f>(D36*60)/1440</f>
        <v>0</v>
      </c>
      <c r="G37" s="26"/>
      <c r="H37" s="26"/>
      <c r="I37" s="26"/>
      <c r="J37" s="26"/>
      <c r="K37" s="26"/>
      <c r="L37" s="26"/>
      <c r="M37" s="26"/>
    </row>
    <row r="38" spans="1:13" x14ac:dyDescent="0.25">
      <c r="F38" s="26"/>
      <c r="G38" s="26"/>
      <c r="H38" s="26"/>
      <c r="I38" s="26"/>
      <c r="J38" s="26"/>
      <c r="K38" s="26"/>
      <c r="L38" s="26"/>
    </row>
    <row r="39" spans="1:13" x14ac:dyDescent="0.25">
      <c r="F39" s="26"/>
      <c r="G39" s="26"/>
      <c r="H39" s="26"/>
      <c r="I39" s="26"/>
      <c r="J39" s="26"/>
      <c r="K39" s="26"/>
      <c r="L39" s="26"/>
    </row>
    <row r="40" spans="1:13" ht="11.9" hidden="1" customHeight="1" x14ac:dyDescent="0.25">
      <c r="A40" s="1072" t="s">
        <v>555</v>
      </c>
      <c r="B40" s="1073"/>
      <c r="F40" s="26"/>
      <c r="G40" s="26"/>
      <c r="H40" s="26"/>
      <c r="I40" s="26"/>
      <c r="J40" s="26"/>
      <c r="K40" s="26"/>
      <c r="L40" s="26"/>
    </row>
    <row r="41" spans="1:13" hidden="1" x14ac:dyDescent="0.25">
      <c r="A41" s="781" t="s">
        <v>556</v>
      </c>
      <c r="B41" s="29" t="e">
        <f>MAX(A24,#REF!)</f>
        <v>#REF!</v>
      </c>
      <c r="F41" s="26"/>
      <c r="G41" s="26"/>
      <c r="H41" s="26"/>
      <c r="I41" s="26"/>
      <c r="J41" s="26"/>
      <c r="K41" s="26"/>
      <c r="L41" s="26"/>
    </row>
    <row r="42" spans="1:13" hidden="1" x14ac:dyDescent="0.25">
      <c r="A42" s="781" t="s">
        <v>557</v>
      </c>
      <c r="B42" s="28" t="e">
        <f>MAX((#REF!+#REF!),(B24+C24))</f>
        <v>#REF!</v>
      </c>
      <c r="F42" s="26"/>
      <c r="G42" s="26"/>
      <c r="H42" s="26"/>
      <c r="I42" s="26"/>
      <c r="J42" s="26"/>
      <c r="K42" s="26"/>
      <c r="L42" s="26"/>
    </row>
    <row r="43" spans="1:13" x14ac:dyDescent="0.25">
      <c r="F43" s="26"/>
      <c r="G43" s="26"/>
      <c r="H43" s="26"/>
      <c r="I43" s="26"/>
      <c r="J43" s="26"/>
      <c r="K43" s="26"/>
      <c r="L43" s="26"/>
    </row>
    <row r="44" spans="1:13" x14ac:dyDescent="0.25">
      <c r="F44" s="26"/>
      <c r="G44" s="26"/>
      <c r="H44" s="26"/>
      <c r="I44" s="26"/>
      <c r="J44" s="26"/>
      <c r="K44" s="26"/>
      <c r="L44" s="26"/>
    </row>
    <row r="45" spans="1:13" x14ac:dyDescent="0.25">
      <c r="F45" s="26"/>
      <c r="G45" s="26"/>
      <c r="H45" s="26"/>
      <c r="I45" s="26"/>
      <c r="J45" s="26"/>
      <c r="K45" s="26"/>
      <c r="L45" s="26"/>
    </row>
    <row r="46" spans="1:13" x14ac:dyDescent="0.25">
      <c r="F46" s="26"/>
      <c r="G46" s="26"/>
      <c r="H46" s="26"/>
      <c r="I46" s="26"/>
      <c r="J46" s="26"/>
      <c r="K46" s="26"/>
      <c r="L46" s="26"/>
    </row>
    <row r="47" spans="1:13" x14ac:dyDescent="0.25">
      <c r="C47" s="27"/>
      <c r="F47" s="26"/>
      <c r="G47" s="26"/>
      <c r="H47" s="26"/>
      <c r="I47" s="26"/>
      <c r="J47" s="26"/>
      <c r="K47" s="26"/>
      <c r="L47" s="26"/>
    </row>
    <row r="48" spans="1:13" x14ac:dyDescent="0.25">
      <c r="F48" s="26"/>
      <c r="G48" s="26"/>
      <c r="H48" s="26"/>
      <c r="I48" s="26"/>
      <c r="J48" s="26"/>
      <c r="K48" s="26"/>
      <c r="L48" s="26"/>
    </row>
    <row r="49" spans="5:12" x14ac:dyDescent="0.25">
      <c r="F49" s="26"/>
      <c r="G49" s="26"/>
      <c r="H49" s="26"/>
      <c r="I49" s="26"/>
      <c r="J49" s="26"/>
      <c r="K49" s="26"/>
      <c r="L49" s="26"/>
    </row>
    <row r="50" spans="5:12" x14ac:dyDescent="0.25">
      <c r="F50" s="26"/>
      <c r="G50" s="26"/>
      <c r="H50" s="26"/>
      <c r="I50" s="26"/>
      <c r="J50" s="26"/>
      <c r="K50" s="26"/>
      <c r="L50" s="26"/>
    </row>
    <row r="51" spans="5:12" x14ac:dyDescent="0.25">
      <c r="F51" s="26"/>
      <c r="G51" s="26"/>
      <c r="H51" s="26"/>
      <c r="I51" s="26"/>
      <c r="J51" s="26"/>
      <c r="K51" s="26"/>
      <c r="L51" s="26"/>
    </row>
    <row r="52" spans="5:12" x14ac:dyDescent="0.25">
      <c r="F52" s="26"/>
      <c r="G52" s="26"/>
      <c r="H52" s="26"/>
      <c r="I52" s="26"/>
      <c r="J52" s="26"/>
      <c r="K52" s="26"/>
      <c r="L52" s="26"/>
    </row>
    <row r="53" spans="5:12" x14ac:dyDescent="0.25">
      <c r="F53" s="26"/>
      <c r="G53" s="26"/>
      <c r="H53" s="26"/>
      <c r="I53" s="26"/>
      <c r="J53" s="26"/>
      <c r="K53" s="26"/>
      <c r="L53" s="26"/>
    </row>
    <row r="54" spans="5:12" x14ac:dyDescent="0.25">
      <c r="F54" s="26"/>
      <c r="G54" s="26"/>
      <c r="H54" s="26"/>
      <c r="I54" s="26"/>
      <c r="J54" s="26"/>
      <c r="K54" s="26"/>
      <c r="L54" s="26"/>
    </row>
    <row r="55" spans="5:12" x14ac:dyDescent="0.25">
      <c r="F55" s="26"/>
      <c r="G55" s="26"/>
      <c r="H55" s="26"/>
      <c r="I55" s="26"/>
      <c r="J55" s="26"/>
      <c r="K55" s="26"/>
      <c r="L55" s="26"/>
    </row>
    <row r="56" spans="5:12" x14ac:dyDescent="0.25">
      <c r="F56" s="26"/>
      <c r="G56" s="26"/>
      <c r="H56" s="26"/>
      <c r="I56" s="26"/>
      <c r="J56" s="26"/>
      <c r="K56" s="26"/>
      <c r="L56" s="26"/>
    </row>
    <row r="57" spans="5:12" x14ac:dyDescent="0.25">
      <c r="F57" s="26"/>
      <c r="G57" s="26"/>
      <c r="H57" s="26"/>
      <c r="I57" s="26"/>
      <c r="J57" s="26"/>
      <c r="K57" s="26"/>
      <c r="L57" s="26"/>
    </row>
    <row r="58" spans="5:12" x14ac:dyDescent="0.25">
      <c r="E58" s="26"/>
    </row>
    <row r="59" spans="5:12" x14ac:dyDescent="0.25">
      <c r="E59" s="26"/>
    </row>
  </sheetData>
  <mergeCells count="10">
    <mergeCell ref="K23:K26"/>
    <mergeCell ref="N24:O24"/>
    <mergeCell ref="I25:I26"/>
    <mergeCell ref="A40:B40"/>
    <mergeCell ref="A1:B1"/>
    <mergeCell ref="A5:D5"/>
    <mergeCell ref="N11:O11"/>
    <mergeCell ref="A15:M15"/>
    <mergeCell ref="G16:G21"/>
    <mergeCell ref="N16:O16"/>
  </mergeCells>
  <pageMargins left="0.75" right="0.75" top="1" bottom="1" header="0.5" footer="0.5"/>
  <pageSetup orientation="portrait" r:id="rId1"/>
  <headerFooter alignWithMargins="0">
    <oddFooter>&amp;R&amp;"Arial,Regular"&amp;08&amp;K7F7F7FAmgen Proprietary - Confidential   &amp;C&amp;"Arial,Regular"&amp;08&amp;K7F7F7FAmgen Proprietary - For Internal Use Only</oddFooter>
    <evenFooter>&amp;R&amp;"Arial,Regular"&amp;08&amp;K7F7F7FAmgen Proprietary - Confidential   &amp;C&amp;"Arial,Regular"&amp;08&amp;K7F7F7FAmgen Proprietary - For Internal Use Only</evenFooter>
    <firstFooter>&amp;R&amp;"Arial,Regular"&amp;08&amp;K7F7F7FAmgen Proprietary - Confidential   &amp;C&amp;"Arial,Regular"&amp;08&amp;K7F7F7FAmgen Proprietary - For Internal Use Only</firstFooter>
  </headerFooter>
</worksheet>
</file>

<file path=xl/worksheets/sheet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68E32A-7F64-4098-8D7A-5BA88185BD4B}">
  <sheetPr codeName="Sheet113">
    <pageSetUpPr autoPageBreaks="0"/>
  </sheetPr>
  <dimension ref="A1:O98"/>
  <sheetViews>
    <sheetView zoomScale="120" zoomScaleNormal="120" workbookViewId="0">
      <selection activeCell="F33" sqref="F33"/>
    </sheetView>
  </sheetViews>
  <sheetFormatPr defaultColWidth="23.453125" defaultRowHeight="11.5" x14ac:dyDescent="0.25"/>
  <cols>
    <col min="1" max="1" width="47.453125" style="25" bestFit="1" customWidth="1"/>
    <col min="2" max="2" width="35" style="25" customWidth="1"/>
    <col min="3" max="3" width="14" style="25" customWidth="1"/>
    <col min="4" max="4" width="18.453125" style="25" customWidth="1"/>
    <col min="5" max="5" width="15.453125" style="25" bestFit="1" customWidth="1"/>
    <col min="6" max="6" width="93.54296875" style="25" customWidth="1"/>
    <col min="7" max="8" width="5.453125" style="25" bestFit="1" customWidth="1"/>
    <col min="9" max="9" width="7.453125" style="25" bestFit="1" customWidth="1"/>
    <col min="10" max="10" width="5.54296875" style="25" bestFit="1" customWidth="1"/>
    <col min="11" max="11" width="6.54296875" style="25" customWidth="1"/>
    <col min="12" max="12" width="7" style="25" bestFit="1" customWidth="1"/>
    <col min="13" max="13" width="7.54296875" style="25" bestFit="1" customWidth="1"/>
    <col min="14" max="14" width="17.453125" style="25" bestFit="1" customWidth="1"/>
    <col min="15" max="15" width="5.54296875" style="25" bestFit="1" customWidth="1"/>
    <col min="16" max="16384" width="23.453125" style="25"/>
  </cols>
  <sheetData>
    <row r="1" spans="1:15" ht="12" thickBot="1" x14ac:dyDescent="0.3">
      <c r="A1" s="1064" t="s">
        <v>479</v>
      </c>
      <c r="B1" s="1065"/>
    </row>
    <row r="2" spans="1:15" x14ac:dyDescent="0.25">
      <c r="A2" s="43" t="s">
        <v>480</v>
      </c>
      <c r="B2" s="289">
        <v>44634.46875</v>
      </c>
    </row>
    <row r="3" spans="1:15" ht="12" thickBot="1" x14ac:dyDescent="0.3">
      <c r="A3" s="42" t="s">
        <v>482</v>
      </c>
      <c r="B3" s="290">
        <f>B2</f>
        <v>44634.46875</v>
      </c>
    </row>
    <row r="5" spans="1:15" x14ac:dyDescent="0.25">
      <c r="A5" s="328" t="s">
        <v>484</v>
      </c>
      <c r="B5" s="328"/>
      <c r="C5" s="328"/>
      <c r="D5" s="328"/>
    </row>
    <row r="6" spans="1:15" ht="23" x14ac:dyDescent="0.25">
      <c r="A6" s="781" t="s">
        <v>485</v>
      </c>
      <c r="B6" s="781" t="s">
        <v>486</v>
      </c>
      <c r="C6" s="781" t="s">
        <v>487</v>
      </c>
      <c r="D6" s="781" t="s">
        <v>488</v>
      </c>
    </row>
    <row r="7" spans="1:15" x14ac:dyDescent="0.25">
      <c r="A7" s="41" t="str">
        <f>F35</f>
        <v xml:space="preserve">   Sample for drug substance analysis (PR-024 in Methanol)</v>
      </c>
      <c r="B7" s="40">
        <f>INDEX($A$14:$A$87,MATCH(A7,$F$14:$F$87,0))</f>
        <v>44636.21875</v>
      </c>
      <c r="C7" s="37">
        <f>INDEX($B$14:$B$87,MATCH(A7,$F$14:$F$87,0))</f>
        <v>44636.21875</v>
      </c>
      <c r="D7" s="297"/>
    </row>
    <row r="8" spans="1:15" x14ac:dyDescent="0.25">
      <c r="A8" s="41" t="str">
        <f>F47</f>
        <v xml:space="preserve">   Sample for Residual Solvent Methanol (Ethyl Acetate)</v>
      </c>
      <c r="B8" s="40">
        <f>INDEX($A$14:$A$87,MATCH(A8,$F$14:$F$87,0))</f>
        <v>44636.909722222234</v>
      </c>
      <c r="C8" s="37">
        <f>INDEX($B$14:$B$87,MATCH(A8,$F$14:$F$87,0))</f>
        <v>44636.909722222234</v>
      </c>
      <c r="D8" s="297"/>
      <c r="E8" s="901" t="s">
        <v>2659</v>
      </c>
    </row>
    <row r="9" spans="1:15" x14ac:dyDescent="0.25">
      <c r="A9" s="41" t="str">
        <f>F65</f>
        <v xml:space="preserve">   FD Sample for drug substance analysis (PR-024 in Methanol)</v>
      </c>
      <c r="B9" s="40">
        <f>INDEX($A$14:$A$87,MATCH(A9,$F$14:$F$87,0))</f>
        <v>44637.875000000022</v>
      </c>
      <c r="C9" s="37">
        <f>INDEX($B$14:$B$87,MATCH(A9,$F$14:$F$87,0))</f>
        <v>44637.875000000022</v>
      </c>
      <c r="D9" s="371"/>
    </row>
    <row r="10" spans="1:15" x14ac:dyDescent="0.25">
      <c r="A10" s="41" t="str">
        <f>F74</f>
        <v xml:space="preserve">   Sampling of Residual Solvent (Acetone in  Ethyl Acetate)</v>
      </c>
      <c r="B10" s="40">
        <f>E74</f>
        <v>44638.298611111124</v>
      </c>
      <c r="C10" s="718">
        <f>E74</f>
        <v>44638.298611111124</v>
      </c>
      <c r="D10" s="371"/>
      <c r="E10" s="901" t="s">
        <v>2660</v>
      </c>
    </row>
    <row r="12" spans="1:15" ht="30.65" customHeight="1" x14ac:dyDescent="0.25">
      <c r="A12" s="749" t="s">
        <v>492</v>
      </c>
      <c r="B12" s="749" t="s">
        <v>576</v>
      </c>
      <c r="C12" s="749" t="s">
        <v>494</v>
      </c>
      <c r="D12" s="749" t="s">
        <v>495</v>
      </c>
      <c r="E12" s="749" t="s">
        <v>560</v>
      </c>
      <c r="F12" s="749" t="s">
        <v>541</v>
      </c>
      <c r="G12" s="749" t="s">
        <v>498</v>
      </c>
      <c r="H12" s="781" t="s">
        <v>92</v>
      </c>
      <c r="I12" s="781" t="s">
        <v>96</v>
      </c>
      <c r="J12" s="781" t="s">
        <v>577</v>
      </c>
      <c r="K12" s="781" t="s">
        <v>500</v>
      </c>
      <c r="L12" s="278" t="s">
        <v>108</v>
      </c>
      <c r="M12" s="278" t="s">
        <v>114</v>
      </c>
    </row>
    <row r="13" spans="1:15" x14ac:dyDescent="0.25">
      <c r="A13" s="279" t="s">
        <v>578</v>
      </c>
      <c r="B13" s="279"/>
      <c r="C13" s="279"/>
      <c r="D13" s="279"/>
      <c r="E13" s="279"/>
      <c r="F13" s="279"/>
      <c r="G13" s="279"/>
      <c r="H13" s="777"/>
      <c r="I13" s="777"/>
      <c r="J13" s="777"/>
      <c r="K13" s="777"/>
      <c r="L13" s="777"/>
      <c r="M13" s="777"/>
    </row>
    <row r="14" spans="1:15" x14ac:dyDescent="0.25">
      <c r="A14" s="31">
        <f>B2</f>
        <v>44634.46875</v>
      </c>
      <c r="B14" s="332">
        <f>B2</f>
        <v>44634.46875</v>
      </c>
      <c r="C14" s="170">
        <v>2.4305555555555556E-2</v>
      </c>
      <c r="D14" s="327" t="str">
        <f t="shared" ref="D14:D73" si="0">IF(_xlfn.ISFORMULA(E14)=TRUE,"",E14-B14)</f>
        <v/>
      </c>
      <c r="E14" s="37">
        <f>B14+C14</f>
        <v>44634.493055555555</v>
      </c>
      <c r="F14" s="584" t="s">
        <v>608</v>
      </c>
      <c r="G14" s="477"/>
      <c r="H14" s="585"/>
      <c r="I14" s="585"/>
      <c r="J14" s="585"/>
      <c r="K14" s="478">
        <v>126.26262626262626</v>
      </c>
      <c r="L14" s="479">
        <f>SUM(H14:K14)</f>
        <v>126.26262626262626</v>
      </c>
      <c r="M14" s="478"/>
      <c r="N14" s="1096"/>
      <c r="O14" s="1096"/>
    </row>
    <row r="15" spans="1:15" ht="12.75" customHeight="1" x14ac:dyDescent="0.25">
      <c r="A15" s="31">
        <f t="shared" ref="A15:A50" si="1">IF(D14 = "",A14+C14,A14+D14)</f>
        <v>44634.493055555555</v>
      </c>
      <c r="B15" s="37">
        <f t="shared" ref="B15:B49" si="2">IF(D14 = "",B14+C14,B14+D14)</f>
        <v>44634.493055555555</v>
      </c>
      <c r="C15" s="170">
        <v>1.7361111111111112E-2</v>
      </c>
      <c r="D15" s="327">
        <v>5.9027777777777783E-2</v>
      </c>
      <c r="E15" s="37">
        <f t="shared" ref="E15:E50" si="3">B15+C15</f>
        <v>44634.510416666664</v>
      </c>
      <c r="F15" s="584" t="s">
        <v>610</v>
      </c>
      <c r="G15" s="480"/>
      <c r="H15" s="481"/>
      <c r="I15" s="481"/>
      <c r="J15" s="481">
        <v>110.86474501108647</v>
      </c>
      <c r="K15" s="481"/>
      <c r="L15" s="479">
        <f t="shared" ref="L15:L70" si="4">SUM(H15:K15)</f>
        <v>110.86474501108647</v>
      </c>
      <c r="M15" s="478"/>
      <c r="N15" s="586"/>
      <c r="O15" s="587"/>
    </row>
    <row r="16" spans="1:15" ht="12.75" customHeight="1" x14ac:dyDescent="0.25">
      <c r="A16" s="31">
        <f t="shared" si="1"/>
        <v>44634.552083333336</v>
      </c>
      <c r="B16" s="37">
        <f t="shared" si="2"/>
        <v>44634.552083333336</v>
      </c>
      <c r="C16" s="170">
        <v>4.1666666666666664E-2</v>
      </c>
      <c r="D16" s="327"/>
      <c r="E16" s="37">
        <f t="shared" si="3"/>
        <v>44634.59375</v>
      </c>
      <c r="F16" s="584" t="s">
        <v>612</v>
      </c>
      <c r="G16" s="480"/>
      <c r="H16" s="481"/>
      <c r="I16" s="481"/>
      <c r="J16" s="481">
        <v>150</v>
      </c>
      <c r="K16" s="481"/>
      <c r="L16" s="479">
        <f t="shared" si="4"/>
        <v>150</v>
      </c>
      <c r="M16" s="478"/>
      <c r="N16" s="586" t="s">
        <v>2536</v>
      </c>
      <c r="O16" s="587"/>
    </row>
    <row r="17" spans="1:15" ht="12.75" customHeight="1" x14ac:dyDescent="0.25">
      <c r="A17" s="31">
        <f t="shared" si="1"/>
        <v>44634.59375</v>
      </c>
      <c r="B17" s="37">
        <f t="shared" si="2"/>
        <v>44634.59375</v>
      </c>
      <c r="C17" s="170">
        <v>5.2083333333333336E-2</v>
      </c>
      <c r="D17" s="327" t="str">
        <f t="shared" si="0"/>
        <v/>
      </c>
      <c r="E17" s="37">
        <f t="shared" si="3"/>
        <v>44634.645833333336</v>
      </c>
      <c r="F17" s="584" t="s">
        <v>2542</v>
      </c>
      <c r="G17" s="480"/>
      <c r="H17" s="481">
        <v>60</v>
      </c>
      <c r="I17" s="481"/>
      <c r="J17" s="481"/>
      <c r="K17" s="481"/>
      <c r="L17" s="479"/>
      <c r="M17" s="481">
        <v>60</v>
      </c>
      <c r="N17" s="586" t="s">
        <v>2536</v>
      </c>
      <c r="O17" s="587"/>
    </row>
    <row r="18" spans="1:15" ht="13.5" customHeight="1" x14ac:dyDescent="0.25">
      <c r="A18" s="31">
        <f t="shared" si="1"/>
        <v>44634.645833333336</v>
      </c>
      <c r="B18" s="37">
        <f t="shared" si="2"/>
        <v>44634.645833333336</v>
      </c>
      <c r="C18" s="170">
        <v>2.0833333333333332E-2</v>
      </c>
      <c r="D18" s="327">
        <v>4.1666666666666664E-2</v>
      </c>
      <c r="E18" s="37">
        <f t="shared" si="3"/>
        <v>44634.666666666672</v>
      </c>
      <c r="F18" s="584" t="s">
        <v>616</v>
      </c>
      <c r="G18" s="480"/>
      <c r="H18" s="481"/>
      <c r="I18" s="481">
        <v>30</v>
      </c>
      <c r="J18" s="481"/>
      <c r="K18" s="481"/>
      <c r="L18" s="479">
        <f t="shared" si="4"/>
        <v>30</v>
      </c>
      <c r="M18" s="478"/>
      <c r="N18" s="586" t="s">
        <v>2536</v>
      </c>
      <c r="O18" s="587"/>
    </row>
    <row r="19" spans="1:15" x14ac:dyDescent="0.25">
      <c r="A19" s="31">
        <f t="shared" si="1"/>
        <v>44634.6875</v>
      </c>
      <c r="B19" s="37">
        <f t="shared" si="2"/>
        <v>44634.6875</v>
      </c>
      <c r="C19" s="170">
        <v>5.2083333333333336E-2</v>
      </c>
      <c r="D19" s="327" t="str">
        <f t="shared" si="0"/>
        <v/>
      </c>
      <c r="E19" s="37">
        <f t="shared" si="3"/>
        <v>44634.739583333336</v>
      </c>
      <c r="F19" s="584" t="s">
        <v>618</v>
      </c>
      <c r="G19" s="480"/>
      <c r="H19" s="481"/>
      <c r="I19" s="481"/>
      <c r="J19" s="481">
        <v>30</v>
      </c>
      <c r="K19" s="481"/>
      <c r="L19" s="479">
        <f t="shared" si="4"/>
        <v>30</v>
      </c>
      <c r="M19" s="478"/>
      <c r="N19" s="586" t="s">
        <v>2536</v>
      </c>
    </row>
    <row r="20" spans="1:15" x14ac:dyDescent="0.25">
      <c r="A20" s="31">
        <f t="shared" si="1"/>
        <v>44634.739583333336</v>
      </c>
      <c r="B20" s="37">
        <f t="shared" si="2"/>
        <v>44634.739583333336</v>
      </c>
      <c r="C20" s="170">
        <v>1.3888888888888888E-2</v>
      </c>
      <c r="D20" s="327" t="str">
        <f t="shared" si="0"/>
        <v/>
      </c>
      <c r="E20" s="37">
        <f t="shared" si="3"/>
        <v>44634.753472222226</v>
      </c>
      <c r="F20" s="584" t="s">
        <v>619</v>
      </c>
      <c r="G20" s="480"/>
      <c r="H20" s="481"/>
      <c r="I20" s="481"/>
      <c r="J20" s="481"/>
      <c r="K20" s="481">
        <v>54.229797979797979</v>
      </c>
      <c r="L20" s="479">
        <f t="shared" si="4"/>
        <v>54.229797979797979</v>
      </c>
      <c r="M20" s="478"/>
    </row>
    <row r="21" spans="1:15" ht="13.5" customHeight="1" x14ac:dyDescent="0.25">
      <c r="A21" s="31">
        <f t="shared" si="1"/>
        <v>44634.753472222226</v>
      </c>
      <c r="B21" s="37">
        <f t="shared" si="2"/>
        <v>44634.753472222226</v>
      </c>
      <c r="C21" s="170">
        <v>3.125E-2</v>
      </c>
      <c r="D21" s="327" t="str">
        <f t="shared" si="0"/>
        <v/>
      </c>
      <c r="E21" s="37">
        <f t="shared" si="3"/>
        <v>44634.784722222226</v>
      </c>
      <c r="F21" s="584" t="s">
        <v>620</v>
      </c>
      <c r="G21" s="480"/>
      <c r="H21" s="481"/>
      <c r="I21" s="481">
        <v>501.63599783163266</v>
      </c>
      <c r="J21" s="481"/>
      <c r="K21" s="481"/>
      <c r="L21" s="479">
        <f t="shared" si="4"/>
        <v>501.63599783163266</v>
      </c>
      <c r="M21" s="478"/>
      <c r="N21" s="586"/>
      <c r="O21" s="587"/>
    </row>
    <row r="22" spans="1:15" ht="13.5" hidden="1" customHeight="1" x14ac:dyDescent="0.25">
      <c r="A22" s="604">
        <f t="shared" si="1"/>
        <v>44634.784722222226</v>
      </c>
      <c r="B22" s="605">
        <f t="shared" si="2"/>
        <v>44634.784722222226</v>
      </c>
      <c r="C22" s="562">
        <v>0</v>
      </c>
      <c r="D22" s="562"/>
      <c r="E22" s="605">
        <f t="shared" si="3"/>
        <v>44634.784722222226</v>
      </c>
      <c r="F22" s="606" t="s">
        <v>693</v>
      </c>
      <c r="G22" s="480"/>
      <c r="H22" s="481"/>
      <c r="I22" s="481"/>
      <c r="J22" s="481"/>
      <c r="K22" s="481"/>
      <c r="L22" s="588"/>
      <c r="M22" s="481"/>
    </row>
    <row r="23" spans="1:15" ht="13.5" customHeight="1" x14ac:dyDescent="0.25">
      <c r="A23" s="31">
        <f t="shared" si="1"/>
        <v>44634.784722222226</v>
      </c>
      <c r="B23" s="37">
        <f t="shared" si="2"/>
        <v>44634.784722222226</v>
      </c>
      <c r="C23" s="170">
        <v>0.4375</v>
      </c>
      <c r="D23" s="327">
        <v>0.35416666666666669</v>
      </c>
      <c r="E23" s="37">
        <f t="shared" si="3"/>
        <v>44635.222222222226</v>
      </c>
      <c r="F23" s="584" t="s">
        <v>621</v>
      </c>
      <c r="G23" s="480"/>
      <c r="H23" s="481">
        <v>450</v>
      </c>
      <c r="I23" s="481"/>
      <c r="J23" s="481"/>
      <c r="K23" s="481"/>
      <c r="L23" s="588"/>
      <c r="M23" s="481">
        <v>450</v>
      </c>
    </row>
    <row r="24" spans="1:15" ht="13.5" hidden="1" customHeight="1" x14ac:dyDescent="0.25">
      <c r="A24" s="604">
        <f t="shared" si="1"/>
        <v>44635.138888888891</v>
      </c>
      <c r="B24" s="605">
        <f t="shared" si="2"/>
        <v>44635.138888888891</v>
      </c>
      <c r="C24" s="562">
        <v>0</v>
      </c>
      <c r="D24" s="562"/>
      <c r="E24" s="605">
        <f t="shared" si="3"/>
        <v>44635.138888888891</v>
      </c>
      <c r="F24" s="606" t="s">
        <v>693</v>
      </c>
      <c r="G24" s="480"/>
      <c r="H24" s="481"/>
      <c r="I24" s="481"/>
      <c r="J24" s="481"/>
      <c r="K24" s="481"/>
      <c r="L24" s="588"/>
      <c r="M24" s="481"/>
    </row>
    <row r="25" spans="1:15" x14ac:dyDescent="0.25">
      <c r="A25" s="31">
        <f t="shared" si="1"/>
        <v>44635.138888888891</v>
      </c>
      <c r="B25" s="37">
        <f t="shared" si="2"/>
        <v>44635.138888888891</v>
      </c>
      <c r="C25" s="170">
        <v>0.2638888888888889</v>
      </c>
      <c r="D25" s="327" t="str">
        <f t="shared" si="0"/>
        <v/>
      </c>
      <c r="E25" s="37">
        <f t="shared" si="3"/>
        <v>44635.402777777781</v>
      </c>
      <c r="F25" s="584" t="s">
        <v>622</v>
      </c>
      <c r="G25" s="589"/>
      <c r="H25" s="481"/>
      <c r="I25" s="481">
        <v>270</v>
      </c>
      <c r="J25" s="481"/>
      <c r="K25" s="481"/>
      <c r="L25" s="479">
        <f t="shared" si="4"/>
        <v>270</v>
      </c>
      <c r="M25" s="478"/>
    </row>
    <row r="26" spans="1:15" ht="12" hidden="1" thickBot="1" x14ac:dyDescent="0.3">
      <c r="A26" s="31">
        <f t="shared" si="1"/>
        <v>44635.402777777781</v>
      </c>
      <c r="B26" s="37">
        <f t="shared" si="2"/>
        <v>44635.402777777781</v>
      </c>
      <c r="C26" s="520">
        <v>0</v>
      </c>
      <c r="D26" s="520" t="str">
        <f t="shared" si="0"/>
        <v/>
      </c>
      <c r="E26" s="37">
        <f t="shared" si="3"/>
        <v>44635.402777777781</v>
      </c>
      <c r="F26" s="590" t="s">
        <v>2543</v>
      </c>
      <c r="G26" s="591"/>
      <c r="H26" s="592"/>
      <c r="I26" s="592"/>
      <c r="J26" s="592"/>
      <c r="K26" s="592"/>
      <c r="L26" s="593"/>
      <c r="M26" s="594"/>
    </row>
    <row r="27" spans="1:15" ht="12.65" customHeight="1" x14ac:dyDescent="0.25">
      <c r="A27" s="31">
        <f t="shared" si="1"/>
        <v>44635.402777777781</v>
      </c>
      <c r="B27" s="37">
        <f t="shared" si="2"/>
        <v>44635.402777777781</v>
      </c>
      <c r="C27" s="354">
        <v>0.2638888888888889</v>
      </c>
      <c r="D27" s="470">
        <v>0.31597222222222221</v>
      </c>
      <c r="E27" s="37">
        <f t="shared" si="3"/>
        <v>44635.666666666672</v>
      </c>
      <c r="F27" s="595" t="s">
        <v>623</v>
      </c>
      <c r="G27" s="596"/>
      <c r="H27" s="597"/>
      <c r="I27" s="597">
        <v>270</v>
      </c>
      <c r="J27" s="597"/>
      <c r="K27" s="597"/>
      <c r="L27" s="598">
        <f t="shared" si="4"/>
        <v>270</v>
      </c>
      <c r="M27" s="599"/>
      <c r="N27" s="1096"/>
      <c r="O27" s="1096"/>
    </row>
    <row r="28" spans="1:15" ht="12.75" customHeight="1" x14ac:dyDescent="0.25">
      <c r="A28" s="31">
        <f t="shared" si="1"/>
        <v>44635.71875</v>
      </c>
      <c r="B28" s="37">
        <f>IF(D27 = "",B27+C27,B27+D27)</f>
        <v>44635.71875</v>
      </c>
      <c r="C28" s="170">
        <v>0.25694444444444448</v>
      </c>
      <c r="D28" s="327" t="str">
        <f t="shared" si="0"/>
        <v/>
      </c>
      <c r="E28" s="37">
        <f t="shared" si="3"/>
        <v>44635.975694444445</v>
      </c>
      <c r="F28" s="584" t="s">
        <v>625</v>
      </c>
      <c r="G28" s="589"/>
      <c r="H28" s="481"/>
      <c r="I28" s="481"/>
      <c r="J28" s="481"/>
      <c r="K28" s="481">
        <v>450</v>
      </c>
      <c r="L28" s="479">
        <f t="shared" si="4"/>
        <v>450</v>
      </c>
      <c r="M28" s="478"/>
      <c r="N28" s="586"/>
      <c r="O28" s="587"/>
    </row>
    <row r="29" spans="1:15" ht="12.75" customHeight="1" x14ac:dyDescent="0.25">
      <c r="A29" s="31">
        <f t="shared" si="1"/>
        <v>44635.975694444445</v>
      </c>
      <c r="B29" s="37">
        <f t="shared" si="2"/>
        <v>44635.975694444445</v>
      </c>
      <c r="C29" s="170">
        <v>6.25E-2</v>
      </c>
      <c r="D29" s="327" t="str">
        <f t="shared" si="0"/>
        <v/>
      </c>
      <c r="E29" s="37">
        <f t="shared" si="3"/>
        <v>44636.038194444445</v>
      </c>
      <c r="F29" s="584" t="s">
        <v>589</v>
      </c>
      <c r="G29" s="589"/>
      <c r="H29" s="481"/>
      <c r="I29" s="481"/>
      <c r="J29" s="481"/>
      <c r="K29" s="481"/>
      <c r="L29" s="479"/>
      <c r="M29" s="478"/>
      <c r="N29" s="586"/>
      <c r="O29" s="587"/>
    </row>
    <row r="30" spans="1:15" ht="12.75" hidden="1" customHeight="1" x14ac:dyDescent="0.25">
      <c r="A30" s="31">
        <f t="shared" si="1"/>
        <v>44636.038194444445</v>
      </c>
      <c r="B30" s="37">
        <f t="shared" si="2"/>
        <v>44636.038194444445</v>
      </c>
      <c r="C30" s="562">
        <v>0</v>
      </c>
      <c r="D30" s="562"/>
      <c r="E30" s="37">
        <f t="shared" si="3"/>
        <v>44636.038194444445</v>
      </c>
      <c r="F30" s="606" t="s">
        <v>2544</v>
      </c>
      <c r="G30" s="480"/>
      <c r="H30" s="481"/>
      <c r="I30" s="481"/>
      <c r="J30" s="481"/>
      <c r="K30" s="481"/>
      <c r="L30" s="479"/>
      <c r="M30" s="478"/>
      <c r="N30" s="586"/>
      <c r="O30" s="587"/>
    </row>
    <row r="31" spans="1:15" x14ac:dyDescent="0.25">
      <c r="A31" s="31">
        <f>IF(D29 = "",A29+C29,A29+D29)</f>
        <v>44636.038194444445</v>
      </c>
      <c r="B31" s="37">
        <f t="shared" si="2"/>
        <v>44636.038194444445</v>
      </c>
      <c r="C31" s="170">
        <v>4.1666666666666664E-2</v>
      </c>
      <c r="D31" s="327" t="str">
        <f t="shared" si="0"/>
        <v/>
      </c>
      <c r="E31" s="37">
        <f t="shared" si="3"/>
        <v>44636.079861111109</v>
      </c>
      <c r="F31" s="584" t="s">
        <v>627</v>
      </c>
      <c r="G31" s="480"/>
      <c r="H31" s="481"/>
      <c r="I31" s="481"/>
      <c r="J31" s="481"/>
      <c r="K31" s="481">
        <v>461.78450126262624</v>
      </c>
      <c r="L31" s="479">
        <f t="shared" si="4"/>
        <v>461.78450126262624</v>
      </c>
      <c r="M31" s="478"/>
    </row>
    <row r="32" spans="1:15" x14ac:dyDescent="0.25">
      <c r="A32" s="31">
        <f t="shared" si="1"/>
        <v>44636.079861111109</v>
      </c>
      <c r="B32" s="37">
        <f t="shared" si="2"/>
        <v>44636.079861111109</v>
      </c>
      <c r="C32" s="170">
        <v>8.3333333333333329E-2</v>
      </c>
      <c r="D32" s="327"/>
      <c r="E32" s="37">
        <f t="shared" si="3"/>
        <v>44636.163194444445</v>
      </c>
      <c r="F32" s="584" t="s">
        <v>589</v>
      </c>
      <c r="G32" s="480"/>
      <c r="H32" s="481"/>
      <c r="I32" s="481"/>
      <c r="J32" s="481"/>
      <c r="K32" s="481"/>
      <c r="L32" s="479"/>
      <c r="M32" s="478"/>
      <c r="N32" s="1096"/>
      <c r="O32" s="1096"/>
    </row>
    <row r="33" spans="1:15" x14ac:dyDescent="0.25">
      <c r="A33" s="31">
        <f t="shared" si="1"/>
        <v>44636.163194444445</v>
      </c>
      <c r="B33" s="37">
        <f t="shared" si="2"/>
        <v>44636.163194444445</v>
      </c>
      <c r="C33" s="170">
        <v>2.0833333333333332E-2</v>
      </c>
      <c r="D33" s="327"/>
      <c r="E33" s="37">
        <f t="shared" si="3"/>
        <v>44636.184027777781</v>
      </c>
      <c r="F33" s="584" t="s">
        <v>628</v>
      </c>
      <c r="G33" s="480"/>
      <c r="H33" s="481"/>
      <c r="I33" s="481"/>
      <c r="J33" s="481"/>
      <c r="K33" s="481"/>
      <c r="L33" s="479"/>
      <c r="M33" s="478"/>
      <c r="N33" s="586" t="s">
        <v>2536</v>
      </c>
      <c r="O33" s="587"/>
    </row>
    <row r="34" spans="1:15" x14ac:dyDescent="0.25">
      <c r="A34" s="31">
        <f t="shared" si="1"/>
        <v>44636.184027777781</v>
      </c>
      <c r="B34" s="37">
        <f t="shared" si="2"/>
        <v>44636.184027777781</v>
      </c>
      <c r="C34" s="170">
        <v>3.4722222222222224E-2</v>
      </c>
      <c r="D34" s="327" t="str">
        <f t="shared" si="0"/>
        <v/>
      </c>
      <c r="E34" s="37">
        <f t="shared" si="3"/>
        <v>44636.21875</v>
      </c>
      <c r="F34" s="584" t="s">
        <v>2463</v>
      </c>
      <c r="G34" s="480"/>
      <c r="H34" s="481"/>
      <c r="I34" s="481"/>
      <c r="J34" s="481"/>
      <c r="K34" s="481">
        <v>48.729924242424239</v>
      </c>
      <c r="L34" s="479">
        <f t="shared" si="4"/>
        <v>48.729924242424239</v>
      </c>
      <c r="M34" s="478"/>
      <c r="N34" s="586"/>
      <c r="O34" s="587"/>
    </row>
    <row r="35" spans="1:15" x14ac:dyDescent="0.25">
      <c r="A35" s="31">
        <f t="shared" si="1"/>
        <v>44636.21875</v>
      </c>
      <c r="B35" s="37">
        <f t="shared" si="2"/>
        <v>44636.21875</v>
      </c>
      <c r="C35" s="170">
        <v>0</v>
      </c>
      <c r="D35" s="327"/>
      <c r="E35" s="37">
        <f t="shared" si="3"/>
        <v>44636.21875</v>
      </c>
      <c r="F35" s="600" t="s">
        <v>631</v>
      </c>
      <c r="G35" s="480"/>
      <c r="H35" s="481"/>
      <c r="I35" s="481"/>
      <c r="J35" s="481"/>
      <c r="K35" s="481"/>
      <c r="L35" s="479"/>
      <c r="M35" s="478"/>
      <c r="N35" s="586" t="s">
        <v>2536</v>
      </c>
      <c r="O35" s="587"/>
    </row>
    <row r="36" spans="1:15" x14ac:dyDescent="0.25">
      <c r="A36" s="31">
        <f t="shared" si="1"/>
        <v>44636.21875</v>
      </c>
      <c r="B36" s="37">
        <f t="shared" si="2"/>
        <v>44636.21875</v>
      </c>
      <c r="C36" s="170">
        <v>1.3888888888888888E-2</v>
      </c>
      <c r="D36" s="327"/>
      <c r="E36" s="37">
        <f t="shared" si="3"/>
        <v>44636.232638888891</v>
      </c>
      <c r="F36" s="584" t="s">
        <v>2545</v>
      </c>
      <c r="G36" s="480"/>
      <c r="H36" s="481"/>
      <c r="I36" s="481"/>
      <c r="J36" s="481"/>
      <c r="K36" s="481"/>
      <c r="L36" s="479"/>
      <c r="M36" s="478"/>
      <c r="N36" s="586"/>
      <c r="O36" s="587"/>
    </row>
    <row r="37" spans="1:15" x14ac:dyDescent="0.25">
      <c r="A37" s="31">
        <f t="shared" si="1"/>
        <v>44636.232638888891</v>
      </c>
      <c r="B37" s="37">
        <f t="shared" si="2"/>
        <v>44636.232638888891</v>
      </c>
      <c r="C37" s="170">
        <v>1.3888888888888888E-2</v>
      </c>
      <c r="D37" s="327"/>
      <c r="E37" s="37">
        <f t="shared" si="3"/>
        <v>44636.246527777781</v>
      </c>
      <c r="F37" s="584" t="s">
        <v>2463</v>
      </c>
      <c r="G37" s="480"/>
      <c r="H37" s="481"/>
      <c r="I37" s="481"/>
      <c r="J37" s="481"/>
      <c r="K37" s="481"/>
      <c r="L37" s="479"/>
      <c r="M37" s="478"/>
      <c r="N37" s="586"/>
      <c r="O37" s="587"/>
    </row>
    <row r="38" spans="1:15" x14ac:dyDescent="0.25">
      <c r="A38" s="31">
        <f t="shared" si="1"/>
        <v>44636.246527777781</v>
      </c>
      <c r="B38" s="37">
        <f t="shared" si="2"/>
        <v>44636.246527777781</v>
      </c>
      <c r="C38" s="170">
        <v>1.3888888888888888E-2</v>
      </c>
      <c r="D38" s="327"/>
      <c r="E38" s="37">
        <f t="shared" si="3"/>
        <v>44636.260416666672</v>
      </c>
      <c r="F38" s="600" t="s">
        <v>2546</v>
      </c>
      <c r="G38" s="480"/>
      <c r="H38" s="481"/>
      <c r="I38" s="481"/>
      <c r="J38" s="481"/>
      <c r="K38" s="481"/>
      <c r="L38" s="479"/>
      <c r="M38" s="478"/>
      <c r="N38" s="586" t="s">
        <v>2536</v>
      </c>
      <c r="O38" s="587"/>
    </row>
    <row r="39" spans="1:15" x14ac:dyDescent="0.25">
      <c r="A39" s="31">
        <f t="shared" si="1"/>
        <v>44636.260416666672</v>
      </c>
      <c r="B39" s="37">
        <f t="shared" si="2"/>
        <v>44636.260416666672</v>
      </c>
      <c r="C39" s="170">
        <v>0.11458333333333333</v>
      </c>
      <c r="D39" s="327"/>
      <c r="E39" s="37">
        <f t="shared" si="3"/>
        <v>44636.375000000007</v>
      </c>
      <c r="F39" s="601" t="s">
        <v>589</v>
      </c>
      <c r="G39" s="480"/>
      <c r="H39" s="481"/>
      <c r="I39" s="481"/>
      <c r="J39" s="481"/>
      <c r="K39" s="481"/>
      <c r="L39" s="479"/>
      <c r="M39" s="478"/>
    </row>
    <row r="40" spans="1:15" s="267" customFormat="1" ht="14.9" hidden="1" customHeight="1" x14ac:dyDescent="0.25">
      <c r="A40" s="31">
        <f t="shared" si="1"/>
        <v>44636.375000000007</v>
      </c>
      <c r="B40" s="37">
        <f t="shared" si="2"/>
        <v>44636.375000000007</v>
      </c>
      <c r="C40" s="280"/>
      <c r="D40" s="280"/>
      <c r="E40" s="37">
        <f t="shared" si="3"/>
        <v>44636.375000000007</v>
      </c>
      <c r="F40" s="280"/>
      <c r="G40" s="280"/>
      <c r="H40" s="284"/>
      <c r="I40" s="284"/>
      <c r="J40" s="284"/>
      <c r="K40" s="284"/>
      <c r="L40" s="285"/>
      <c r="M40" s="341"/>
    </row>
    <row r="41" spans="1:15" x14ac:dyDescent="0.25">
      <c r="A41" s="31">
        <f t="shared" si="1"/>
        <v>44636.375000000007</v>
      </c>
      <c r="B41" s="37">
        <f t="shared" si="2"/>
        <v>44636.375000000007</v>
      </c>
      <c r="C41" s="170">
        <v>1.3888888888888888E-2</v>
      </c>
      <c r="D41" s="327"/>
      <c r="E41" s="37">
        <f t="shared" si="3"/>
        <v>44636.388888888898</v>
      </c>
      <c r="F41" s="482" t="s">
        <v>632</v>
      </c>
      <c r="G41" s="480"/>
      <c r="H41" s="481"/>
      <c r="I41" s="481"/>
      <c r="J41" s="481">
        <v>53.22811529933481</v>
      </c>
      <c r="K41" s="481"/>
      <c r="L41" s="479">
        <f t="shared" si="4"/>
        <v>53.22811529933481</v>
      </c>
      <c r="M41" s="478"/>
    </row>
    <row r="42" spans="1:15" x14ac:dyDescent="0.25">
      <c r="A42" s="31">
        <f t="shared" si="1"/>
        <v>44636.388888888898</v>
      </c>
      <c r="B42" s="37">
        <f t="shared" si="2"/>
        <v>44636.388888888898</v>
      </c>
      <c r="C42" s="170">
        <v>0.125</v>
      </c>
      <c r="D42" s="327"/>
      <c r="E42" s="37">
        <f t="shared" si="3"/>
        <v>44636.513888888898</v>
      </c>
      <c r="F42" s="482" t="s">
        <v>633</v>
      </c>
      <c r="G42" s="480"/>
      <c r="H42" s="481"/>
      <c r="I42" s="481"/>
      <c r="J42" s="481">
        <v>402.40454545454548</v>
      </c>
      <c r="K42" s="481"/>
      <c r="L42" s="479">
        <f t="shared" si="4"/>
        <v>402.40454545454548</v>
      </c>
      <c r="M42" s="478"/>
    </row>
    <row r="43" spans="1:15" x14ac:dyDescent="0.25">
      <c r="A43" s="31">
        <f t="shared" si="1"/>
        <v>44636.513888888898</v>
      </c>
      <c r="B43" s="37">
        <f t="shared" si="2"/>
        <v>44636.513888888898</v>
      </c>
      <c r="C43" s="170">
        <v>0.125</v>
      </c>
      <c r="D43" s="327"/>
      <c r="E43" s="37">
        <f t="shared" si="3"/>
        <v>44636.638888888898</v>
      </c>
      <c r="F43" s="482" t="s">
        <v>634</v>
      </c>
      <c r="G43" s="480"/>
      <c r="H43" s="481"/>
      <c r="I43" s="481"/>
      <c r="J43" s="481">
        <v>401.28492239467846</v>
      </c>
      <c r="K43" s="481"/>
      <c r="L43" s="479">
        <f t="shared" si="4"/>
        <v>401.28492239467846</v>
      </c>
      <c r="M43" s="478"/>
    </row>
    <row r="44" spans="1:15" x14ac:dyDescent="0.25">
      <c r="A44" s="31">
        <f t="shared" si="1"/>
        <v>44636.638888888898</v>
      </c>
      <c r="B44" s="37">
        <f t="shared" si="2"/>
        <v>44636.638888888898</v>
      </c>
      <c r="C44" s="170">
        <v>0.125</v>
      </c>
      <c r="D44" s="327"/>
      <c r="E44" s="37">
        <f t="shared" si="3"/>
        <v>44636.763888888898</v>
      </c>
      <c r="F44" s="482" t="s">
        <v>635</v>
      </c>
      <c r="G44" s="480"/>
      <c r="H44" s="481"/>
      <c r="I44" s="481"/>
      <c r="J44" s="481">
        <v>401.58048780487803</v>
      </c>
      <c r="K44" s="481"/>
      <c r="L44" s="479">
        <f t="shared" si="4"/>
        <v>401.58048780487803</v>
      </c>
      <c r="M44" s="478"/>
    </row>
    <row r="45" spans="1:15" x14ac:dyDescent="0.25">
      <c r="A45" s="31">
        <f t="shared" si="1"/>
        <v>44636.763888888898</v>
      </c>
      <c r="B45" s="37">
        <f t="shared" si="2"/>
        <v>44636.763888888898</v>
      </c>
      <c r="C45" s="170">
        <v>0.125</v>
      </c>
      <c r="D45" s="327"/>
      <c r="E45" s="37">
        <f t="shared" si="3"/>
        <v>44636.888888888898</v>
      </c>
      <c r="F45" s="482" t="s">
        <v>636</v>
      </c>
      <c r="G45" s="480"/>
      <c r="H45" s="481"/>
      <c r="I45" s="481"/>
      <c r="J45" s="481">
        <v>302.87261640798226</v>
      </c>
      <c r="K45" s="481"/>
      <c r="L45" s="479">
        <f t="shared" si="4"/>
        <v>302.87261640798226</v>
      </c>
      <c r="M45" s="478"/>
      <c r="N45" s="586"/>
      <c r="O45" s="587"/>
    </row>
    <row r="46" spans="1:15" x14ac:dyDescent="0.25">
      <c r="A46" s="31">
        <f t="shared" si="1"/>
        <v>44636.888888888898</v>
      </c>
      <c r="B46" s="37">
        <f t="shared" si="2"/>
        <v>44636.888888888898</v>
      </c>
      <c r="C46" s="170">
        <v>2.0833333333333332E-2</v>
      </c>
      <c r="D46" s="327" t="str">
        <f t="shared" si="0"/>
        <v/>
      </c>
      <c r="E46" s="37">
        <f t="shared" si="3"/>
        <v>44636.909722222234</v>
      </c>
      <c r="F46" s="482" t="s">
        <v>2463</v>
      </c>
      <c r="G46" s="480"/>
      <c r="H46" s="481"/>
      <c r="I46" s="481"/>
      <c r="J46" s="481"/>
      <c r="K46" s="481"/>
      <c r="L46" s="479"/>
      <c r="M46" s="478"/>
      <c r="N46" s="1096"/>
      <c r="O46" s="1096"/>
    </row>
    <row r="47" spans="1:15" x14ac:dyDescent="0.25">
      <c r="A47" s="31">
        <f t="shared" si="1"/>
        <v>44636.909722222234</v>
      </c>
      <c r="B47" s="37">
        <f t="shared" si="2"/>
        <v>44636.909722222234</v>
      </c>
      <c r="C47" s="170">
        <v>0</v>
      </c>
      <c r="D47" s="327"/>
      <c r="E47" s="37">
        <f t="shared" si="3"/>
        <v>44636.909722222234</v>
      </c>
      <c r="F47" s="710" t="s">
        <v>638</v>
      </c>
      <c r="G47" s="480"/>
      <c r="H47" s="481"/>
      <c r="I47" s="481"/>
      <c r="J47" s="481"/>
      <c r="K47" s="481"/>
      <c r="L47" s="479"/>
      <c r="M47" s="478"/>
      <c r="N47" s="586" t="s">
        <v>2536</v>
      </c>
      <c r="O47" s="587"/>
    </row>
    <row r="48" spans="1:15" x14ac:dyDescent="0.25">
      <c r="A48" s="31">
        <f t="shared" si="1"/>
        <v>44636.909722222234</v>
      </c>
      <c r="B48" s="37">
        <f t="shared" si="2"/>
        <v>44636.909722222234</v>
      </c>
      <c r="C48" s="170">
        <v>6.5972222222222224E-2</v>
      </c>
      <c r="D48" s="327" t="str">
        <f t="shared" si="0"/>
        <v/>
      </c>
      <c r="E48" s="37">
        <f t="shared" si="3"/>
        <v>44636.975694444453</v>
      </c>
      <c r="F48" s="482" t="s">
        <v>639</v>
      </c>
      <c r="G48" s="480"/>
      <c r="H48" s="481"/>
      <c r="I48" s="481"/>
      <c r="J48" s="481"/>
      <c r="K48" s="481"/>
      <c r="L48" s="479"/>
      <c r="M48" s="478"/>
      <c r="N48" s="586"/>
      <c r="O48" s="587"/>
    </row>
    <row r="49" spans="1:15" x14ac:dyDescent="0.25">
      <c r="A49" s="31">
        <f t="shared" si="1"/>
        <v>44636.975694444453</v>
      </c>
      <c r="B49" s="37">
        <f t="shared" si="2"/>
        <v>44636.975694444453</v>
      </c>
      <c r="C49" s="170">
        <v>1.3888888888888888E-2</v>
      </c>
      <c r="D49" s="327"/>
      <c r="E49" s="37">
        <f t="shared" si="3"/>
        <v>44636.989583333343</v>
      </c>
      <c r="F49" s="570" t="s">
        <v>2547</v>
      </c>
      <c r="G49" s="480"/>
      <c r="H49" s="481"/>
      <c r="I49" s="481"/>
      <c r="J49" s="481"/>
      <c r="K49" s="481"/>
      <c r="L49" s="479"/>
      <c r="M49" s="478"/>
      <c r="N49" s="586"/>
      <c r="O49" s="587"/>
    </row>
    <row r="50" spans="1:15" x14ac:dyDescent="0.25">
      <c r="A50" s="31">
        <f t="shared" si="1"/>
        <v>44636.989583333343</v>
      </c>
      <c r="B50" s="37">
        <f>IF(D49 = "",B49+C49,B49+D49)</f>
        <v>44636.989583333343</v>
      </c>
      <c r="C50" s="170">
        <v>1.3888888888888888E-2</v>
      </c>
      <c r="D50" s="327"/>
      <c r="E50" s="37">
        <f t="shared" si="3"/>
        <v>44637.003472222234</v>
      </c>
      <c r="F50" s="570" t="s">
        <v>2548</v>
      </c>
      <c r="G50" s="480"/>
      <c r="H50" s="481"/>
      <c r="I50" s="481"/>
      <c r="J50" s="481"/>
      <c r="K50" s="481"/>
      <c r="L50" s="479"/>
      <c r="M50" s="478"/>
      <c r="N50" s="586"/>
      <c r="O50" s="587"/>
    </row>
    <row r="51" spans="1:15" x14ac:dyDescent="0.25">
      <c r="A51" s="1070" t="s">
        <v>640</v>
      </c>
      <c r="B51" s="1070"/>
      <c r="C51" s="1070"/>
      <c r="D51" s="1070"/>
      <c r="E51" s="1070"/>
      <c r="F51" s="1070"/>
      <c r="G51" s="1071"/>
      <c r="H51" s="286"/>
      <c r="I51" s="286"/>
      <c r="J51" s="286"/>
      <c r="K51" s="286"/>
      <c r="L51" s="339"/>
      <c r="M51" s="286"/>
    </row>
    <row r="52" spans="1:15" x14ac:dyDescent="0.25">
      <c r="A52" s="31">
        <f>IF(D50 = "",A50+C50,A50+D50)</f>
        <v>44637.003472222234</v>
      </c>
      <c r="B52" s="37">
        <f>IF(D50 = "",B50+C50,B50+D50)</f>
        <v>44637.003472222234</v>
      </c>
      <c r="C52" s="170">
        <v>0</v>
      </c>
      <c r="D52" s="327"/>
      <c r="E52" s="37">
        <f>B52+C52</f>
        <v>44637.003472222234</v>
      </c>
      <c r="F52" s="570" t="s">
        <v>2547</v>
      </c>
      <c r="G52" s="480"/>
      <c r="H52" s="481"/>
      <c r="I52" s="481"/>
      <c r="J52" s="481"/>
      <c r="K52" s="481"/>
      <c r="L52" s="479"/>
      <c r="M52" s="478"/>
      <c r="N52" s="586"/>
      <c r="O52" s="587"/>
    </row>
    <row r="53" spans="1:15" x14ac:dyDescent="0.25">
      <c r="A53" s="31">
        <f>IF(D52 = "",A52+C52,A52+D52)</f>
        <v>44637.003472222234</v>
      </c>
      <c r="B53" s="37">
        <f>IF(D52 = "",B52+C52,B52+D52)</f>
        <v>44637.003472222234</v>
      </c>
      <c r="C53" s="170">
        <v>0</v>
      </c>
      <c r="D53" s="327"/>
      <c r="E53" s="37">
        <f t="shared" ref="E53:E71" si="5">B53+C53</f>
        <v>44637.003472222234</v>
      </c>
      <c r="F53" s="570" t="s">
        <v>2548</v>
      </c>
      <c r="G53" s="480"/>
      <c r="H53" s="481"/>
      <c r="I53" s="481"/>
      <c r="J53" s="481"/>
      <c r="K53" s="481"/>
      <c r="L53" s="479"/>
      <c r="M53" s="478"/>
      <c r="N53" s="586"/>
      <c r="O53" s="587"/>
    </row>
    <row r="54" spans="1:15" x14ac:dyDescent="0.25">
      <c r="A54" s="31">
        <f t="shared" ref="A54:A71" si="6">IF(D53 = "",A53+C53,A53+D53)</f>
        <v>44637.003472222234</v>
      </c>
      <c r="B54" s="37">
        <f t="shared" ref="B54:B70" si="7">IF(D53 = "",B53+C53,B53+D53)</f>
        <v>44637.003472222234</v>
      </c>
      <c r="C54" s="170">
        <v>1.0416666666666666E-2</v>
      </c>
      <c r="D54" s="327" t="str">
        <f t="shared" si="0"/>
        <v/>
      </c>
      <c r="E54" s="37">
        <f t="shared" si="5"/>
        <v>44637.013888888898</v>
      </c>
      <c r="F54" s="491" t="s">
        <v>2549</v>
      </c>
      <c r="G54" s="480"/>
      <c r="H54" s="481"/>
      <c r="I54" s="481"/>
      <c r="J54" s="481"/>
      <c r="K54" s="481">
        <v>133.60631313131313</v>
      </c>
      <c r="L54" s="479">
        <f t="shared" si="4"/>
        <v>133.60631313131313</v>
      </c>
      <c r="M54" s="478"/>
    </row>
    <row r="55" spans="1:15" x14ac:dyDescent="0.25">
      <c r="A55" s="31">
        <f t="shared" si="6"/>
        <v>44637.013888888898</v>
      </c>
      <c r="B55" s="37">
        <f t="shared" si="7"/>
        <v>44637.013888888898</v>
      </c>
      <c r="C55" s="170">
        <v>9.375E-2</v>
      </c>
      <c r="D55" s="327" t="str">
        <f t="shared" si="0"/>
        <v/>
      </c>
      <c r="E55" s="37">
        <f t="shared" si="5"/>
        <v>44637.107638888898</v>
      </c>
      <c r="F55" s="601" t="s">
        <v>642</v>
      </c>
      <c r="G55" s="480"/>
      <c r="H55" s="481"/>
      <c r="I55" s="481"/>
      <c r="J55" s="481"/>
      <c r="K55" s="481">
        <v>1621.7</v>
      </c>
      <c r="L55" s="479">
        <f t="shared" si="4"/>
        <v>1621.7</v>
      </c>
      <c r="M55" s="478"/>
    </row>
    <row r="56" spans="1:15" x14ac:dyDescent="0.25">
      <c r="A56" s="31">
        <f t="shared" si="6"/>
        <v>44637.107638888898</v>
      </c>
      <c r="B56" s="37">
        <f t="shared" si="7"/>
        <v>44637.107638888898</v>
      </c>
      <c r="C56" s="170">
        <v>0.1388888888888889</v>
      </c>
      <c r="D56" s="327"/>
      <c r="E56" s="37">
        <f t="shared" si="5"/>
        <v>44637.246527777788</v>
      </c>
      <c r="F56" s="601" t="s">
        <v>643</v>
      </c>
      <c r="G56" s="480"/>
      <c r="H56" s="481"/>
      <c r="I56" s="481"/>
      <c r="J56" s="481"/>
      <c r="K56" s="481">
        <v>260</v>
      </c>
      <c r="L56" s="479">
        <f t="shared" si="4"/>
        <v>260</v>
      </c>
      <c r="M56" s="478"/>
    </row>
    <row r="57" spans="1:15" x14ac:dyDescent="0.25">
      <c r="A57" s="31">
        <f t="shared" si="6"/>
        <v>44637.246527777788</v>
      </c>
      <c r="B57" s="37">
        <f t="shared" si="7"/>
        <v>44637.246527777788</v>
      </c>
      <c r="C57" s="170">
        <v>0.1388888888888889</v>
      </c>
      <c r="D57" s="327" t="str">
        <f t="shared" si="0"/>
        <v/>
      </c>
      <c r="E57" s="37">
        <f t="shared" si="5"/>
        <v>44637.385416666679</v>
      </c>
      <c r="F57" s="601" t="s">
        <v>645</v>
      </c>
      <c r="G57" s="480"/>
      <c r="H57" s="481"/>
      <c r="I57" s="481"/>
      <c r="J57" s="481"/>
      <c r="K57" s="481">
        <v>260</v>
      </c>
      <c r="L57" s="479">
        <f t="shared" si="4"/>
        <v>260</v>
      </c>
      <c r="M57" s="478"/>
    </row>
    <row r="58" spans="1:15" x14ac:dyDescent="0.25">
      <c r="A58" s="31">
        <f t="shared" si="6"/>
        <v>44637.385416666679</v>
      </c>
      <c r="B58" s="37">
        <f t="shared" si="7"/>
        <v>44637.385416666679</v>
      </c>
      <c r="C58" s="170">
        <v>0.1388888888888889</v>
      </c>
      <c r="D58" s="327" t="str">
        <f t="shared" si="0"/>
        <v/>
      </c>
      <c r="E58" s="37">
        <f t="shared" si="5"/>
        <v>44637.524305555569</v>
      </c>
      <c r="F58" s="601" t="s">
        <v>646</v>
      </c>
      <c r="G58" s="480"/>
      <c r="H58" s="481"/>
      <c r="I58" s="481"/>
      <c r="J58" s="481"/>
      <c r="K58" s="481">
        <v>260</v>
      </c>
      <c r="L58" s="479">
        <f t="shared" si="4"/>
        <v>260</v>
      </c>
      <c r="M58" s="478"/>
    </row>
    <row r="59" spans="1:15" x14ac:dyDescent="0.25">
      <c r="A59" s="31">
        <f>IF(D58 = "",A58+C58,A58+D58)</f>
        <v>44637.524305555569</v>
      </c>
      <c r="B59" s="37">
        <f>IF(D58 = "",B58+C58,B58+D58)</f>
        <v>44637.524305555569</v>
      </c>
      <c r="C59" s="271">
        <v>8.3333333333333329E-2</v>
      </c>
      <c r="D59" s="327" t="str">
        <f t="shared" si="0"/>
        <v/>
      </c>
      <c r="E59" s="37">
        <f t="shared" si="5"/>
        <v>44637.607638888905</v>
      </c>
      <c r="F59" s="601" t="s">
        <v>647</v>
      </c>
      <c r="G59" s="480"/>
      <c r="H59" s="481"/>
      <c r="I59" s="481"/>
      <c r="J59" s="481"/>
      <c r="K59" s="481"/>
      <c r="L59" s="479"/>
      <c r="M59" s="478"/>
    </row>
    <row r="60" spans="1:15" x14ac:dyDescent="0.25">
      <c r="A60" s="31">
        <f t="shared" si="6"/>
        <v>44637.607638888905</v>
      </c>
      <c r="B60" s="37">
        <f t="shared" si="7"/>
        <v>44637.607638888905</v>
      </c>
      <c r="C60" s="271">
        <v>8.3333333333333329E-2</v>
      </c>
      <c r="D60" s="327"/>
      <c r="E60" s="37">
        <f t="shared" si="5"/>
        <v>44637.690972222241</v>
      </c>
      <c r="F60" s="601" t="s">
        <v>597</v>
      </c>
      <c r="G60" s="480"/>
      <c r="H60" s="481"/>
      <c r="I60" s="481"/>
      <c r="J60" s="481"/>
      <c r="K60" s="481"/>
      <c r="L60" s="479"/>
      <c r="M60" s="478"/>
      <c r="N60" s="586" t="s">
        <v>2536</v>
      </c>
    </row>
    <row r="61" spans="1:15" x14ac:dyDescent="0.25">
      <c r="A61" s="31">
        <f t="shared" si="6"/>
        <v>44637.690972222241</v>
      </c>
      <c r="B61" s="37">
        <f t="shared" si="7"/>
        <v>44637.690972222241</v>
      </c>
      <c r="C61" s="271">
        <v>3.125E-2</v>
      </c>
      <c r="D61" s="327" t="str">
        <f t="shared" si="0"/>
        <v/>
      </c>
      <c r="E61" s="37">
        <f t="shared" si="5"/>
        <v>44637.722222222241</v>
      </c>
      <c r="F61" s="601" t="s">
        <v>642</v>
      </c>
      <c r="G61" s="480"/>
      <c r="H61" s="481"/>
      <c r="I61" s="481"/>
      <c r="J61" s="481"/>
      <c r="K61" s="481">
        <v>1206.9000000000001</v>
      </c>
      <c r="L61" s="479">
        <f t="shared" si="4"/>
        <v>1206.9000000000001</v>
      </c>
      <c r="M61" s="478"/>
    </row>
    <row r="62" spans="1:15" x14ac:dyDescent="0.25">
      <c r="A62" s="31">
        <f t="shared" si="6"/>
        <v>44637.722222222241</v>
      </c>
      <c r="B62" s="37">
        <f t="shared" si="7"/>
        <v>44637.722222222241</v>
      </c>
      <c r="C62" s="170">
        <v>6.25E-2</v>
      </c>
      <c r="D62" s="327" t="str">
        <f t="shared" si="0"/>
        <v/>
      </c>
      <c r="E62" s="37">
        <f t="shared" si="5"/>
        <v>44637.784722222241</v>
      </c>
      <c r="F62" s="601" t="s">
        <v>647</v>
      </c>
      <c r="G62" s="480"/>
      <c r="H62" s="481"/>
      <c r="I62" s="481"/>
      <c r="J62" s="481"/>
      <c r="K62" s="481"/>
      <c r="L62" s="479"/>
      <c r="M62" s="478"/>
    </row>
    <row r="63" spans="1:15" x14ac:dyDescent="0.25">
      <c r="A63" s="31">
        <f t="shared" si="6"/>
        <v>44637.784722222241</v>
      </c>
      <c r="B63" s="37">
        <f t="shared" si="7"/>
        <v>44637.784722222241</v>
      </c>
      <c r="C63" s="170">
        <v>6.9444444444444434E-2</v>
      </c>
      <c r="D63" s="327" t="str">
        <f t="shared" si="0"/>
        <v/>
      </c>
      <c r="E63" s="37">
        <f t="shared" si="5"/>
        <v>44637.854166666686</v>
      </c>
      <c r="F63" s="601" t="s">
        <v>2550</v>
      </c>
      <c r="G63" s="480"/>
      <c r="H63" s="481"/>
      <c r="I63" s="481"/>
      <c r="J63" s="481"/>
      <c r="K63" s="481"/>
      <c r="L63" s="479"/>
      <c r="M63" s="478"/>
      <c r="N63" s="586" t="s">
        <v>2536</v>
      </c>
    </row>
    <row r="64" spans="1:15" s="267" customFormat="1" x14ac:dyDescent="0.25">
      <c r="A64" s="31">
        <f t="shared" si="6"/>
        <v>44637.854166666686</v>
      </c>
      <c r="B64" s="37">
        <f t="shared" si="7"/>
        <v>44637.854166666686</v>
      </c>
      <c r="C64" s="170">
        <v>2.0833333333333332E-2</v>
      </c>
      <c r="D64" s="327" t="str">
        <f t="shared" si="0"/>
        <v/>
      </c>
      <c r="E64" s="37">
        <f t="shared" si="5"/>
        <v>44637.875000000022</v>
      </c>
      <c r="F64" s="491" t="s">
        <v>649</v>
      </c>
      <c r="G64" s="483"/>
      <c r="H64" s="481"/>
      <c r="I64" s="481"/>
      <c r="J64" s="481"/>
      <c r="K64" s="481">
        <v>36.920694444444443</v>
      </c>
      <c r="L64" s="479">
        <f>SUM(H64:K64)</f>
        <v>36.920694444444443</v>
      </c>
      <c r="M64" s="478"/>
      <c r="N64" s="1096"/>
      <c r="O64" s="1096"/>
    </row>
    <row r="65" spans="1:15" x14ac:dyDescent="0.25">
      <c r="A65" s="31">
        <f t="shared" si="6"/>
        <v>44637.875000000022</v>
      </c>
      <c r="B65" s="37">
        <f t="shared" si="7"/>
        <v>44637.875000000022</v>
      </c>
      <c r="C65" s="170">
        <v>0</v>
      </c>
      <c r="D65" s="327"/>
      <c r="E65" s="37">
        <f t="shared" si="5"/>
        <v>44637.875000000022</v>
      </c>
      <c r="F65" s="602" t="s">
        <v>650</v>
      </c>
      <c r="G65" s="480"/>
      <c r="H65" s="481"/>
      <c r="I65" s="481"/>
      <c r="J65" s="481"/>
      <c r="K65" s="481"/>
      <c r="L65" s="479"/>
      <c r="M65" s="478"/>
      <c r="N65" s="586" t="s">
        <v>2536</v>
      </c>
      <c r="O65" s="587"/>
    </row>
    <row r="66" spans="1:15" x14ac:dyDescent="0.25">
      <c r="A66" s="31">
        <f t="shared" si="6"/>
        <v>44637.875000000022</v>
      </c>
      <c r="B66" s="37">
        <f t="shared" si="7"/>
        <v>44637.875000000022</v>
      </c>
      <c r="C66" s="170">
        <v>0.10416666666666667</v>
      </c>
      <c r="D66" s="327" t="str">
        <f t="shared" si="0"/>
        <v/>
      </c>
      <c r="E66" s="37">
        <f t="shared" si="5"/>
        <v>44637.979166666686</v>
      </c>
      <c r="F66" s="601" t="s">
        <v>647</v>
      </c>
      <c r="G66" s="480"/>
      <c r="H66" s="481"/>
      <c r="I66" s="481"/>
      <c r="J66" s="481"/>
      <c r="K66" s="481"/>
      <c r="L66" s="479"/>
      <c r="M66" s="478"/>
      <c r="N66" s="586"/>
      <c r="O66" s="587"/>
    </row>
    <row r="67" spans="1:15" x14ac:dyDescent="0.25">
      <c r="A67" s="31">
        <f t="shared" si="6"/>
        <v>44637.979166666686</v>
      </c>
      <c r="B67" s="37">
        <f t="shared" si="7"/>
        <v>44637.979166666686</v>
      </c>
      <c r="C67" s="170">
        <v>2.0833333333333332E-2</v>
      </c>
      <c r="D67" s="327" t="str">
        <f t="shared" si="0"/>
        <v/>
      </c>
      <c r="E67" s="37">
        <f t="shared" si="5"/>
        <v>44638.000000000022</v>
      </c>
      <c r="F67" s="601" t="s">
        <v>651</v>
      </c>
      <c r="G67" s="480"/>
      <c r="H67" s="481"/>
      <c r="I67" s="481"/>
      <c r="J67" s="481"/>
      <c r="K67" s="481">
        <v>100</v>
      </c>
      <c r="L67" s="479">
        <f t="shared" si="4"/>
        <v>100</v>
      </c>
      <c r="M67" s="478"/>
      <c r="N67" s="586"/>
      <c r="O67" s="587"/>
    </row>
    <row r="68" spans="1:15" x14ac:dyDescent="0.25">
      <c r="A68" s="31">
        <f t="shared" si="6"/>
        <v>44638.000000000022</v>
      </c>
      <c r="B68" s="37">
        <f t="shared" si="7"/>
        <v>44638.000000000022</v>
      </c>
      <c r="C68" s="170">
        <v>3.4722222222222224E-2</v>
      </c>
      <c r="D68" s="327" t="str">
        <f t="shared" si="0"/>
        <v/>
      </c>
      <c r="E68" s="37">
        <f t="shared" si="5"/>
        <v>44638.034722222241</v>
      </c>
      <c r="F68" s="584" t="s">
        <v>2551</v>
      </c>
      <c r="G68" s="480"/>
      <c r="H68" s="481"/>
      <c r="I68" s="481"/>
      <c r="J68" s="481"/>
      <c r="K68" s="481">
        <v>133.60631313131313</v>
      </c>
      <c r="L68" s="479">
        <f t="shared" si="4"/>
        <v>133.60631313131313</v>
      </c>
      <c r="M68" s="478"/>
    </row>
    <row r="69" spans="1:15" x14ac:dyDescent="0.25">
      <c r="A69" s="31">
        <f t="shared" si="6"/>
        <v>44638.034722222241</v>
      </c>
      <c r="B69" s="37">
        <f t="shared" si="7"/>
        <v>44638.034722222241</v>
      </c>
      <c r="C69" s="170">
        <v>0</v>
      </c>
      <c r="D69" s="327"/>
      <c r="E69" s="37">
        <f t="shared" si="5"/>
        <v>44638.034722222241</v>
      </c>
      <c r="F69" s="602" t="s">
        <v>2552</v>
      </c>
      <c r="G69" s="480"/>
      <c r="H69" s="481"/>
      <c r="I69" s="481"/>
      <c r="J69" s="481"/>
      <c r="K69" s="481"/>
      <c r="L69" s="479"/>
      <c r="M69" s="478"/>
      <c r="N69" s="586" t="s">
        <v>2536</v>
      </c>
    </row>
    <row r="70" spans="1:15" x14ac:dyDescent="0.25">
      <c r="A70" s="31">
        <f t="shared" si="6"/>
        <v>44638.034722222241</v>
      </c>
      <c r="B70" s="37">
        <f t="shared" si="7"/>
        <v>44638.034722222241</v>
      </c>
      <c r="C70" s="170">
        <v>3.4722222222222224E-2</v>
      </c>
      <c r="D70" s="327" t="str">
        <f t="shared" si="0"/>
        <v/>
      </c>
      <c r="E70" s="37">
        <f t="shared" si="5"/>
        <v>44638.06944444446</v>
      </c>
      <c r="F70" s="584" t="s">
        <v>2553</v>
      </c>
      <c r="G70" s="480"/>
      <c r="H70" s="481"/>
      <c r="I70" s="481"/>
      <c r="J70" s="481">
        <v>118.09456762749446</v>
      </c>
      <c r="K70" s="481"/>
      <c r="L70" s="479">
        <f t="shared" si="4"/>
        <v>118.09456762749446</v>
      </c>
      <c r="M70" s="478"/>
    </row>
    <row r="71" spans="1:15" x14ac:dyDescent="0.25">
      <c r="A71" s="31">
        <f t="shared" si="6"/>
        <v>44638.06944444446</v>
      </c>
      <c r="B71" s="37">
        <f>IF(D70 = "",B70+C70,B70+D70)</f>
        <v>44638.06944444446</v>
      </c>
      <c r="C71" s="170">
        <v>0.10416666666666667</v>
      </c>
      <c r="D71" s="327" t="str">
        <f t="shared" si="0"/>
        <v/>
      </c>
      <c r="E71" s="37">
        <f t="shared" si="5"/>
        <v>44638.173611111124</v>
      </c>
      <c r="F71" s="601" t="s">
        <v>656</v>
      </c>
      <c r="G71" s="480"/>
      <c r="H71" s="481"/>
      <c r="I71" s="481"/>
      <c r="J71" s="481"/>
      <c r="K71" s="481"/>
      <c r="L71" s="479"/>
      <c r="M71" s="478"/>
      <c r="O71" s="530"/>
    </row>
    <row r="72" spans="1:15" s="267" customFormat="1" ht="11.9" customHeight="1" x14ac:dyDescent="0.25">
      <c r="A72" s="280" t="s">
        <v>664</v>
      </c>
      <c r="B72" s="280"/>
      <c r="C72" s="280"/>
      <c r="D72" s="280"/>
      <c r="E72" s="280"/>
      <c r="F72" s="280"/>
      <c r="G72" s="775"/>
      <c r="H72" s="776"/>
      <c r="I72" s="776"/>
      <c r="J72" s="776"/>
      <c r="K72" s="776"/>
      <c r="L72" s="776"/>
      <c r="M72" s="342"/>
    </row>
    <row r="73" spans="1:15" s="267" customFormat="1" hidden="1" x14ac:dyDescent="0.25">
      <c r="A73" s="31">
        <f>E70</f>
        <v>44638.06944444446</v>
      </c>
      <c r="B73" s="37">
        <f>A73</f>
        <v>44638.06944444446</v>
      </c>
      <c r="C73" s="354">
        <v>0</v>
      </c>
      <c r="D73" s="327" t="str">
        <f t="shared" si="0"/>
        <v/>
      </c>
      <c r="E73" s="37">
        <f t="shared" ref="E73" si="8">B73+C73</f>
        <v>44638.06944444446</v>
      </c>
      <c r="F73" s="491" t="s">
        <v>665</v>
      </c>
      <c r="G73" s="476"/>
      <c r="H73" s="476"/>
      <c r="I73" s="476"/>
      <c r="J73" s="476"/>
      <c r="K73" s="476"/>
      <c r="L73" s="476"/>
      <c r="M73" s="476"/>
      <c r="N73" s="25"/>
      <c r="O73" s="25"/>
    </row>
    <row r="74" spans="1:15" s="712" customFormat="1" x14ac:dyDescent="0.25">
      <c r="A74" s="31">
        <f>IF(D71 = "",A71+C71,A71+D71)</f>
        <v>44638.173611111124</v>
      </c>
      <c r="B74" s="37">
        <f>IF(D71 = "",B71+C71,B71+D71)</f>
        <v>44638.173611111124</v>
      </c>
      <c r="C74" s="683">
        <v>0.125</v>
      </c>
      <c r="D74" s="683" t="s">
        <v>99</v>
      </c>
      <c r="E74" s="37">
        <f>B74+C74</f>
        <v>44638.298611111124</v>
      </c>
      <c r="F74" s="569" t="s">
        <v>666</v>
      </c>
      <c r="G74" s="568"/>
      <c r="H74" s="568"/>
      <c r="I74" s="568"/>
      <c r="J74" s="568"/>
      <c r="K74" s="568"/>
      <c r="L74" s="568"/>
      <c r="M74" s="568"/>
      <c r="N74" s="586" t="s">
        <v>2536</v>
      </c>
      <c r="O74" s="711"/>
    </row>
    <row r="75" spans="1:15" x14ac:dyDescent="0.25">
      <c r="A75" s="485"/>
      <c r="B75" s="33" t="s">
        <v>534</v>
      </c>
      <c r="C75" s="32">
        <f>SUM(C54:C71,C14:C39,C41:C48)</f>
        <v>3.6458333333333344</v>
      </c>
      <c r="D75" s="32">
        <f>SUM(D54:D71,D14:D39,D41:D48,D73:D74)</f>
        <v>0.77083333333333337</v>
      </c>
      <c r="G75" s="274" t="s">
        <v>607</v>
      </c>
      <c r="H75" s="287">
        <f t="shared" ref="H75:M75" si="9">SUM(H54:H71,H41:H48,H14:H39)</f>
        <v>510</v>
      </c>
      <c r="I75" s="287">
        <f t="shared" si="9"/>
        <v>1071.6359978316327</v>
      </c>
      <c r="J75" s="287">
        <f t="shared" si="9"/>
        <v>1970.3299999999997</v>
      </c>
      <c r="K75" s="287">
        <f t="shared" si="9"/>
        <v>5153.7401704545455</v>
      </c>
      <c r="L75" s="287">
        <f t="shared" si="9"/>
        <v>8195.7061682861786</v>
      </c>
      <c r="M75" s="527">
        <f t="shared" si="9"/>
        <v>510</v>
      </c>
    </row>
    <row r="76" spans="1:15" x14ac:dyDescent="0.25">
      <c r="B76" s="31" t="s">
        <v>536</v>
      </c>
      <c r="C76" s="112">
        <f>(C75/24)</f>
        <v>0.15190972222222227</v>
      </c>
      <c r="D76" s="112">
        <f>(D75/24)</f>
        <v>3.2118055555555559E-2</v>
      </c>
      <c r="G76" s="26"/>
      <c r="H76" s="26"/>
      <c r="I76" s="26"/>
      <c r="J76" s="26"/>
    </row>
    <row r="77" spans="1:15" x14ac:dyDescent="0.25">
      <c r="C77" s="262"/>
      <c r="D77" s="262"/>
      <c r="G77" s="26"/>
      <c r="H77" s="26"/>
      <c r="I77" s="26"/>
      <c r="J77" s="26"/>
    </row>
    <row r="78" spans="1:15" x14ac:dyDescent="0.25">
      <c r="G78" s="26"/>
      <c r="H78" s="26"/>
      <c r="I78" s="26"/>
      <c r="J78" s="26"/>
    </row>
    <row r="79" spans="1:15" x14ac:dyDescent="0.25">
      <c r="G79" s="26"/>
      <c r="H79" s="26"/>
      <c r="I79" s="26"/>
      <c r="J79" s="26"/>
    </row>
    <row r="80" spans="1:15" x14ac:dyDescent="0.25">
      <c r="G80" s="26"/>
      <c r="H80" s="26"/>
      <c r="I80" s="26"/>
      <c r="J80" s="26"/>
    </row>
    <row r="81" spans="7:10" x14ac:dyDescent="0.25">
      <c r="G81" s="26"/>
      <c r="H81" s="26"/>
      <c r="I81" s="26"/>
      <c r="J81" s="26"/>
    </row>
    <row r="82" spans="7:10" x14ac:dyDescent="0.25">
      <c r="G82" s="26"/>
      <c r="H82" s="26"/>
      <c r="I82" s="26"/>
      <c r="J82" s="26"/>
    </row>
    <row r="83" spans="7:10" x14ac:dyDescent="0.25">
      <c r="G83" s="26"/>
      <c r="H83" s="26"/>
      <c r="I83" s="26"/>
      <c r="J83" s="26"/>
    </row>
    <row r="84" spans="7:10" x14ac:dyDescent="0.25">
      <c r="G84" s="26"/>
      <c r="H84" s="26"/>
      <c r="I84" s="26"/>
      <c r="J84" s="26"/>
    </row>
    <row r="85" spans="7:10" x14ac:dyDescent="0.25">
      <c r="G85" s="26"/>
      <c r="H85" s="26"/>
      <c r="I85" s="26"/>
      <c r="J85" s="26"/>
    </row>
    <row r="86" spans="7:10" x14ac:dyDescent="0.25">
      <c r="G86" s="26"/>
      <c r="H86" s="26"/>
      <c r="I86" s="26"/>
      <c r="J86" s="26"/>
    </row>
    <row r="87" spans="7:10" x14ac:dyDescent="0.25">
      <c r="G87" s="26"/>
      <c r="H87" s="26"/>
      <c r="I87" s="26"/>
      <c r="J87" s="26"/>
    </row>
    <row r="88" spans="7:10" x14ac:dyDescent="0.25">
      <c r="G88" s="26"/>
      <c r="H88" s="26"/>
      <c r="I88" s="26"/>
      <c r="J88" s="26"/>
    </row>
    <row r="89" spans="7:10" x14ac:dyDescent="0.25">
      <c r="G89" s="26"/>
      <c r="H89" s="26"/>
      <c r="I89" s="26"/>
      <c r="J89" s="26"/>
    </row>
    <row r="90" spans="7:10" x14ac:dyDescent="0.25">
      <c r="G90" s="26"/>
      <c r="H90" s="26"/>
      <c r="I90" s="26"/>
      <c r="J90" s="26"/>
    </row>
    <row r="91" spans="7:10" x14ac:dyDescent="0.25">
      <c r="G91" s="26"/>
      <c r="H91" s="26"/>
      <c r="I91" s="26"/>
      <c r="J91" s="26"/>
    </row>
    <row r="92" spans="7:10" x14ac:dyDescent="0.25">
      <c r="G92" s="26"/>
      <c r="H92" s="26"/>
      <c r="I92" s="26"/>
      <c r="J92" s="26"/>
    </row>
    <row r="93" spans="7:10" x14ac:dyDescent="0.25">
      <c r="G93" s="26"/>
      <c r="H93" s="26"/>
      <c r="I93" s="26"/>
      <c r="J93" s="26"/>
    </row>
    <row r="94" spans="7:10" x14ac:dyDescent="0.25">
      <c r="G94" s="26"/>
      <c r="H94" s="26"/>
      <c r="I94" s="26"/>
      <c r="J94" s="26"/>
    </row>
    <row r="95" spans="7:10" x14ac:dyDescent="0.25">
      <c r="G95" s="26"/>
      <c r="H95" s="26"/>
      <c r="I95" s="26"/>
      <c r="J95" s="26"/>
    </row>
    <row r="96" spans="7:10" x14ac:dyDescent="0.25">
      <c r="G96" s="26"/>
      <c r="H96" s="26"/>
      <c r="I96" s="26"/>
      <c r="J96" s="26"/>
    </row>
    <row r="97" spans="6:6" x14ac:dyDescent="0.25">
      <c r="F97" s="26"/>
    </row>
    <row r="98" spans="6:6" x14ac:dyDescent="0.25">
      <c r="F98" s="26"/>
    </row>
  </sheetData>
  <mergeCells count="7">
    <mergeCell ref="N64:O64"/>
    <mergeCell ref="A1:B1"/>
    <mergeCell ref="N14:O14"/>
    <mergeCell ref="N27:O27"/>
    <mergeCell ref="N32:O32"/>
    <mergeCell ref="N46:O46"/>
    <mergeCell ref="A51:G51"/>
  </mergeCells>
  <pageMargins left="0.75" right="0.75" top="1" bottom="1" header="0.5" footer="0.5"/>
  <pageSetup orientation="portrait" r:id="rId1"/>
  <headerFooter alignWithMargins="0">
    <oddFooter>&amp;R&amp;"Arial,Regular"&amp;08&amp;K7F7F7FAmgen Proprietary - Confidential   &amp;C&amp;"Calibri"&amp;11&amp;K000000&amp;"Arial,Regular"&amp;08&amp;K7F7F7FAmgen Proprietary - For Internal Use Only_x000D_&amp;1#&amp;"Calibri"&amp;10&amp;K000000 Non-Amgen</oddFooter>
    <evenFooter>&amp;R&amp;"Arial,Regular"&amp;08&amp;K7F7F7FAmgen Proprietary - Confidential   &amp;C&amp;"Arial,Regular"&amp;08&amp;K7F7F7FAmgen Proprietary - For Internal Use Only</evenFooter>
    <firstFooter>&amp;R&amp;"Arial,Regular"&amp;08&amp;K7F7F7FAmgen Proprietary - Confidential   &amp;C&amp;"Arial,Regular"&amp;08&amp;K7F7F7FAmgen Proprietary - For Internal Use Only</firstFooter>
  </headerFooter>
  <legacyDrawing r:id="rId2"/>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8C36C4-32ED-42B5-8D5C-CE0CB082CBFE}">
  <sheetPr codeName="Sheet114">
    <pageSetUpPr autoPageBreaks="0"/>
  </sheetPr>
  <dimension ref="A1:J45"/>
  <sheetViews>
    <sheetView zoomScale="120" zoomScaleNormal="120" workbookViewId="0">
      <selection activeCell="A20" sqref="A20"/>
    </sheetView>
  </sheetViews>
  <sheetFormatPr defaultColWidth="23.453125" defaultRowHeight="11.5" x14ac:dyDescent="0.25"/>
  <cols>
    <col min="1" max="1" width="23.54296875" style="25" bestFit="1" customWidth="1"/>
    <col min="2" max="2" width="34.453125" style="25" customWidth="1"/>
    <col min="3" max="3" width="23.453125" style="25"/>
    <col min="4" max="4" width="22.453125" style="25" hidden="1" customWidth="1"/>
    <col min="5" max="5" width="23.453125" style="25"/>
    <col min="6" max="6" width="51.453125" style="25" customWidth="1"/>
    <col min="7" max="7" width="27.453125" style="25" customWidth="1"/>
    <col min="8" max="8" width="9" style="25" bestFit="1" customWidth="1"/>
    <col min="9" max="10" width="9" style="25" customWidth="1"/>
    <col min="11" max="16384" width="23.453125" style="25"/>
  </cols>
  <sheetData>
    <row r="1" spans="1:10" ht="12" thickBot="1" x14ac:dyDescent="0.3">
      <c r="A1" s="1053" t="s">
        <v>479</v>
      </c>
      <c r="B1" s="1054"/>
    </row>
    <row r="2" spans="1:10" x14ac:dyDescent="0.25">
      <c r="A2" s="43" t="s">
        <v>480</v>
      </c>
      <c r="B2" s="241">
        <f>A11</f>
        <v>44627.458333333336</v>
      </c>
    </row>
    <row r="3" spans="1:10" ht="12" thickBot="1" x14ac:dyDescent="0.3">
      <c r="A3" s="42" t="s">
        <v>482</v>
      </c>
      <c r="B3" s="239">
        <f>A11</f>
        <v>44627.458333333336</v>
      </c>
    </row>
    <row r="5" spans="1:10" x14ac:dyDescent="0.25">
      <c r="A5" s="1072" t="s">
        <v>484</v>
      </c>
      <c r="B5" s="1073"/>
      <c r="C5" s="1073"/>
      <c r="D5" s="1073"/>
    </row>
    <row r="6" spans="1:10" x14ac:dyDescent="0.25">
      <c r="A6" s="781" t="s">
        <v>2537</v>
      </c>
      <c r="B6" s="781" t="s">
        <v>486</v>
      </c>
      <c r="C6" s="781" t="s">
        <v>487</v>
      </c>
      <c r="D6" s="781" t="s">
        <v>488</v>
      </c>
    </row>
    <row r="7" spans="1:10" x14ac:dyDescent="0.25">
      <c r="A7" s="41" t="str">
        <f>F14</f>
        <v>IPC1.0: Reaction Conversion</v>
      </c>
      <c r="B7" s="40">
        <f>INDEX($A$11:$A$57,MATCH(A7,$F$11:$F$57,0))</f>
        <v>44627.750000000007</v>
      </c>
      <c r="C7" s="37">
        <f>B14</f>
        <v>44627.750000000007</v>
      </c>
      <c r="D7" s="297"/>
    </row>
    <row r="8" spans="1:10" x14ac:dyDescent="0.25">
      <c r="A8" s="41" t="str">
        <f>F19</f>
        <v>IPC2.0: LOD (Analyzed by MFG)</v>
      </c>
      <c r="B8" s="40">
        <f>INDEX($A$11:$A$60,MATCH(A8,$F$11:$F$57,0))</f>
        <v>44628.531250000015</v>
      </c>
      <c r="C8" s="37">
        <f>B19</f>
        <v>44628.531250000015</v>
      </c>
      <c r="D8" s="297"/>
    </row>
    <row r="10" spans="1:10" ht="23.5" thickBot="1" x14ac:dyDescent="0.3">
      <c r="A10" s="749" t="s">
        <v>492</v>
      </c>
      <c r="B10" s="749" t="s">
        <v>493</v>
      </c>
      <c r="C10" s="749" t="s">
        <v>494</v>
      </c>
      <c r="D10" s="86" t="s">
        <v>495</v>
      </c>
      <c r="E10" s="749" t="s">
        <v>540</v>
      </c>
      <c r="F10" s="749" t="s">
        <v>541</v>
      </c>
      <c r="G10" s="749" t="s">
        <v>498</v>
      </c>
      <c r="H10" s="184" t="s">
        <v>204</v>
      </c>
      <c r="I10" s="184" t="s">
        <v>668</v>
      </c>
      <c r="J10" s="184" t="s">
        <v>138</v>
      </c>
    </row>
    <row r="11" spans="1:10" x14ac:dyDescent="0.25">
      <c r="A11" s="31">
        <v>44627.458333333336</v>
      </c>
      <c r="B11" s="38">
        <f>A11</f>
        <v>44627.458333333336</v>
      </c>
      <c r="C11" s="705">
        <v>2.0833333333333332E-2</v>
      </c>
      <c r="D11" s="116"/>
      <c r="E11" s="317">
        <f>B11+C11</f>
        <v>44627.479166666672</v>
      </c>
      <c r="F11" s="264" t="s">
        <v>669</v>
      </c>
      <c r="G11" s="78"/>
      <c r="H11" s="180"/>
      <c r="I11" s="180"/>
      <c r="J11" s="180"/>
    </row>
    <row r="12" spans="1:10" ht="12.75" customHeight="1" x14ac:dyDescent="0.25">
      <c r="A12" s="31">
        <f>IF(D11 = "",A11+C11,A11+D11)</f>
        <v>44627.479166666672</v>
      </c>
      <c r="B12" s="38">
        <f>IF(D11 = "",B11+C11,B11+D11)</f>
        <v>44627.479166666672</v>
      </c>
      <c r="C12" s="170">
        <v>6.25E-2</v>
      </c>
      <c r="D12" s="116"/>
      <c r="E12" s="317">
        <f t="shared" ref="E12:E21" si="0">B12+C12</f>
        <v>44627.541666666672</v>
      </c>
      <c r="F12" s="264" t="s">
        <v>670</v>
      </c>
      <c r="G12" s="35"/>
      <c r="H12" s="181"/>
      <c r="I12" s="181"/>
      <c r="J12" s="181"/>
    </row>
    <row r="13" spans="1:10" ht="12.75" customHeight="1" x14ac:dyDescent="0.25">
      <c r="A13" s="31">
        <f t="shared" ref="A13:A21" si="1">IF(D12 = "",A12+C12,A12+D12)</f>
        <v>44627.541666666672</v>
      </c>
      <c r="B13" s="38">
        <f t="shared" ref="B13:B21" si="2">IF(D12 = "",B12+C12,B12+D12)</f>
        <v>44627.541666666672</v>
      </c>
      <c r="C13" s="170">
        <v>0.20833333333333334</v>
      </c>
      <c r="D13" s="116"/>
      <c r="E13" s="317">
        <f t="shared" si="0"/>
        <v>44627.750000000007</v>
      </c>
      <c r="F13" s="264" t="s">
        <v>671</v>
      </c>
      <c r="G13" s="39"/>
      <c r="H13" s="773"/>
      <c r="I13" s="773"/>
      <c r="J13" s="773"/>
    </row>
    <row r="14" spans="1:10" ht="13.5" customHeight="1" x14ac:dyDescent="0.25">
      <c r="A14" s="31">
        <f t="shared" si="1"/>
        <v>44627.750000000007</v>
      </c>
      <c r="B14" s="38">
        <f t="shared" si="2"/>
        <v>44627.750000000007</v>
      </c>
      <c r="C14" s="170">
        <v>0.11458333333333333</v>
      </c>
      <c r="D14" s="116"/>
      <c r="E14" s="317">
        <f t="shared" si="0"/>
        <v>44627.864583333343</v>
      </c>
      <c r="F14" s="295" t="s">
        <v>546</v>
      </c>
      <c r="G14" s="35"/>
      <c r="H14" s="181"/>
      <c r="I14" s="181"/>
      <c r="J14" s="181"/>
    </row>
    <row r="15" spans="1:10" x14ac:dyDescent="0.25">
      <c r="A15" s="31">
        <f t="shared" si="1"/>
        <v>44627.864583333343</v>
      </c>
      <c r="B15" s="38">
        <f t="shared" si="2"/>
        <v>44627.864583333343</v>
      </c>
      <c r="C15" s="172">
        <v>0.1875</v>
      </c>
      <c r="D15" s="116"/>
      <c r="E15" s="317">
        <f t="shared" si="0"/>
        <v>44628.052083333343</v>
      </c>
      <c r="F15" s="264" t="s">
        <v>548</v>
      </c>
      <c r="G15" s="35"/>
      <c r="H15" s="181"/>
      <c r="I15" s="181"/>
      <c r="J15" s="181"/>
    </row>
    <row r="16" spans="1:10" ht="13.5" customHeight="1" x14ac:dyDescent="0.25">
      <c r="A16" s="31">
        <f t="shared" si="1"/>
        <v>44628.052083333343</v>
      </c>
      <c r="B16" s="38">
        <f t="shared" si="2"/>
        <v>44628.052083333343</v>
      </c>
      <c r="C16" s="172">
        <v>3.125E-2</v>
      </c>
      <c r="D16" s="116"/>
      <c r="E16" s="317">
        <f t="shared" si="0"/>
        <v>44628.083333333343</v>
      </c>
      <c r="F16" s="264" t="s">
        <v>549</v>
      </c>
      <c r="G16" s="35"/>
      <c r="H16" s="265">
        <v>44.9</v>
      </c>
      <c r="I16" s="265">
        <v>162.19999999999999</v>
      </c>
      <c r="J16" s="265">
        <v>80.5</v>
      </c>
    </row>
    <row r="17" spans="1:10" ht="12" customHeight="1" x14ac:dyDescent="0.25">
      <c r="A17" s="31">
        <f t="shared" si="1"/>
        <v>44628.083333333343</v>
      </c>
      <c r="B17" s="38">
        <f t="shared" si="2"/>
        <v>44628.083333333343</v>
      </c>
      <c r="C17" s="172">
        <v>8.3333333333333329E-2</v>
      </c>
      <c r="D17" s="116"/>
      <c r="E17" s="317">
        <f t="shared" si="0"/>
        <v>44628.166666666679</v>
      </c>
      <c r="F17" s="264" t="s">
        <v>672</v>
      </c>
      <c r="G17" s="39"/>
      <c r="H17" s="773"/>
      <c r="I17" s="773">
        <v>60.9</v>
      </c>
      <c r="J17" s="773"/>
    </row>
    <row r="18" spans="1:10" ht="12.75" customHeight="1" x14ac:dyDescent="0.25">
      <c r="A18" s="31">
        <f t="shared" si="1"/>
        <v>44628.166666666679</v>
      </c>
      <c r="B18" s="38">
        <f t="shared" si="2"/>
        <v>44628.166666666679</v>
      </c>
      <c r="C18" s="172">
        <v>0.36458333333333331</v>
      </c>
      <c r="D18" s="116"/>
      <c r="E18" s="317">
        <f t="shared" si="0"/>
        <v>44628.531250000015</v>
      </c>
      <c r="F18" s="240" t="s">
        <v>551</v>
      </c>
      <c r="G18" s="35"/>
      <c r="H18" s="773"/>
      <c r="I18" s="773"/>
      <c r="J18" s="773"/>
    </row>
    <row r="19" spans="1:10" x14ac:dyDescent="0.25">
      <c r="A19" s="31">
        <f t="shared" si="1"/>
        <v>44628.531250000015</v>
      </c>
      <c r="B19" s="38">
        <f t="shared" si="2"/>
        <v>44628.531250000015</v>
      </c>
      <c r="C19" s="170">
        <v>2.0833333333333332E-2</v>
      </c>
      <c r="D19" s="116"/>
      <c r="E19" s="317">
        <f t="shared" si="0"/>
        <v>44628.55208333335</v>
      </c>
      <c r="F19" s="295" t="s">
        <v>673</v>
      </c>
      <c r="G19" s="35"/>
      <c r="H19" s="773"/>
      <c r="I19" s="773"/>
      <c r="J19" s="773"/>
    </row>
    <row r="20" spans="1:10" x14ac:dyDescent="0.25">
      <c r="A20" s="31">
        <f t="shared" si="1"/>
        <v>44628.55208333335</v>
      </c>
      <c r="B20" s="38">
        <f t="shared" si="2"/>
        <v>44628.55208333335</v>
      </c>
      <c r="C20" s="170">
        <v>5.2083333333333336E-2</v>
      </c>
      <c r="D20" s="116"/>
      <c r="E20" s="317">
        <f t="shared" si="0"/>
        <v>44628.604166666686</v>
      </c>
      <c r="F20" s="264" t="s">
        <v>554</v>
      </c>
      <c r="G20" s="178"/>
      <c r="H20" s="773"/>
      <c r="I20" s="773"/>
      <c r="J20" s="773"/>
    </row>
    <row r="21" spans="1:10" hidden="1" x14ac:dyDescent="0.25">
      <c r="A21" s="185">
        <f t="shared" si="1"/>
        <v>44628.604166666686</v>
      </c>
      <c r="B21" s="467">
        <f t="shared" si="2"/>
        <v>44628.604166666686</v>
      </c>
      <c r="C21" s="510">
        <v>0.3125</v>
      </c>
      <c r="D21" s="508"/>
      <c r="E21" s="747">
        <f t="shared" si="0"/>
        <v>44628.916666666686</v>
      </c>
      <c r="F21" s="748" t="s">
        <v>2540</v>
      </c>
      <c r="G21" s="243" t="s">
        <v>535</v>
      </c>
      <c r="H21" s="266">
        <f>SUM(H11:H20)</f>
        <v>44.9</v>
      </c>
      <c r="I21" s="266">
        <f t="shared" ref="I21:J21" si="3">SUM(I11:I20)</f>
        <v>223.1</v>
      </c>
      <c r="J21" s="266">
        <f t="shared" si="3"/>
        <v>80.5</v>
      </c>
    </row>
    <row r="22" spans="1:10" ht="21" x14ac:dyDescent="0.55000000000000004">
      <c r="A22" s="34"/>
      <c r="B22" s="33" t="s">
        <v>534</v>
      </c>
      <c r="C22" s="32">
        <f>SUM(C11:C20)</f>
        <v>1.1458333333333333</v>
      </c>
      <c r="D22" s="32">
        <f>SUM(D11:D20)</f>
        <v>0</v>
      </c>
      <c r="G22" s="26"/>
      <c r="H22" s="26"/>
      <c r="I22" s="26"/>
      <c r="J22" s="26"/>
    </row>
    <row r="23" spans="1:10" x14ac:dyDescent="0.25">
      <c r="B23" s="31" t="s">
        <v>536</v>
      </c>
      <c r="C23" s="30">
        <f>(C22*60)/1440</f>
        <v>4.7743055555555552E-2</v>
      </c>
      <c r="D23" s="30">
        <f>(D22*60)/1440</f>
        <v>0</v>
      </c>
      <c r="G23" s="26"/>
      <c r="H23" s="26"/>
      <c r="I23" s="26"/>
      <c r="J23" s="26"/>
    </row>
    <row r="24" spans="1:10" x14ac:dyDescent="0.25">
      <c r="C24" s="774"/>
      <c r="G24" s="26"/>
      <c r="H24" s="26"/>
      <c r="I24" s="26"/>
      <c r="J24" s="26"/>
    </row>
    <row r="25" spans="1:10" hidden="1" x14ac:dyDescent="0.25">
      <c r="G25" s="26"/>
      <c r="H25" s="26"/>
      <c r="I25" s="26"/>
      <c r="J25" s="26"/>
    </row>
    <row r="26" spans="1:10" hidden="1" x14ac:dyDescent="0.25">
      <c r="A26" s="1053" t="s">
        <v>555</v>
      </c>
      <c r="B26" s="1054"/>
      <c r="G26" s="26"/>
      <c r="H26" s="26"/>
      <c r="I26" s="26"/>
      <c r="J26" s="26"/>
    </row>
    <row r="27" spans="1:10" hidden="1" x14ac:dyDescent="0.25">
      <c r="A27" s="781" t="s">
        <v>556</v>
      </c>
      <c r="B27" s="29" t="e">
        <f>MAX(A18,#REF!)</f>
        <v>#REF!</v>
      </c>
      <c r="G27" s="26"/>
      <c r="H27" s="26"/>
      <c r="I27" s="26"/>
      <c r="J27" s="26"/>
    </row>
    <row r="28" spans="1:10" hidden="1" x14ac:dyDescent="0.25">
      <c r="A28" s="781" t="s">
        <v>557</v>
      </c>
      <c r="B28" s="28" t="e">
        <f>MAX((#REF!+#REF!),(B18+C18))</f>
        <v>#REF!</v>
      </c>
      <c r="G28" s="26"/>
      <c r="H28" s="26"/>
      <c r="I28" s="26"/>
      <c r="J28" s="26"/>
    </row>
    <row r="29" spans="1:10" x14ac:dyDescent="0.25">
      <c r="G29" s="26"/>
      <c r="H29" s="26"/>
      <c r="I29" s="26"/>
      <c r="J29" s="26"/>
    </row>
    <row r="30" spans="1:10" x14ac:dyDescent="0.25">
      <c r="A30" s="25" t="s">
        <v>2661</v>
      </c>
      <c r="G30" s="26"/>
      <c r="H30" s="26"/>
      <c r="I30" s="26"/>
      <c r="J30" s="26"/>
    </row>
    <row r="31" spans="1:10" x14ac:dyDescent="0.25">
      <c r="G31" s="26"/>
      <c r="H31" s="26"/>
      <c r="I31" s="26"/>
      <c r="J31" s="26"/>
    </row>
    <row r="32" spans="1:10" x14ac:dyDescent="0.25">
      <c r="G32" s="26"/>
      <c r="H32" s="26"/>
      <c r="I32" s="26"/>
      <c r="J32" s="26"/>
    </row>
    <row r="33" spans="3:10" x14ac:dyDescent="0.25">
      <c r="C33" s="27"/>
      <c r="D33" s="27"/>
      <c r="G33" s="26"/>
      <c r="H33" s="26"/>
      <c r="I33" s="26"/>
      <c r="J33" s="26"/>
    </row>
    <row r="34" spans="3:10" x14ac:dyDescent="0.25">
      <c r="G34" s="26"/>
      <c r="H34" s="26"/>
      <c r="I34" s="26"/>
      <c r="J34" s="26"/>
    </row>
    <row r="35" spans="3:10" x14ac:dyDescent="0.25">
      <c r="G35" s="26"/>
      <c r="H35" s="26"/>
      <c r="I35" s="26"/>
      <c r="J35" s="26"/>
    </row>
    <row r="36" spans="3:10" x14ac:dyDescent="0.25">
      <c r="G36" s="26"/>
      <c r="H36" s="26"/>
      <c r="I36" s="26"/>
      <c r="J36" s="26"/>
    </row>
    <row r="37" spans="3:10" x14ac:dyDescent="0.25">
      <c r="G37" s="26"/>
      <c r="H37" s="26"/>
      <c r="I37" s="26"/>
      <c r="J37" s="26"/>
    </row>
    <row r="38" spans="3:10" x14ac:dyDescent="0.25">
      <c r="G38" s="26"/>
      <c r="H38" s="26"/>
      <c r="I38" s="26"/>
      <c r="J38" s="26"/>
    </row>
    <row r="39" spans="3:10" x14ac:dyDescent="0.25">
      <c r="G39" s="26"/>
      <c r="H39" s="26"/>
      <c r="I39" s="26"/>
      <c r="J39" s="26"/>
    </row>
    <row r="40" spans="3:10" x14ac:dyDescent="0.25">
      <c r="G40" s="26"/>
      <c r="H40" s="26"/>
      <c r="I40" s="26"/>
      <c r="J40" s="26"/>
    </row>
    <row r="41" spans="3:10" x14ac:dyDescent="0.25">
      <c r="G41" s="26"/>
      <c r="H41" s="26"/>
      <c r="I41" s="26"/>
      <c r="J41" s="26"/>
    </row>
    <row r="42" spans="3:10" x14ac:dyDescent="0.25">
      <c r="G42" s="26"/>
      <c r="H42" s="26"/>
      <c r="I42" s="26"/>
      <c r="J42" s="26"/>
    </row>
    <row r="44" spans="3:10" x14ac:dyDescent="0.25">
      <c r="F44" s="26"/>
    </row>
    <row r="45" spans="3:10" x14ac:dyDescent="0.25">
      <c r="F45" s="26"/>
    </row>
  </sheetData>
  <mergeCells count="3">
    <mergeCell ref="A1:B1"/>
    <mergeCell ref="A5:D5"/>
    <mergeCell ref="A26:B26"/>
  </mergeCells>
  <pageMargins left="0.75" right="0.75" top="1" bottom="1" header="0.5" footer="0.5"/>
  <pageSetup orientation="portrait" r:id="rId1"/>
  <headerFooter alignWithMargins="0">
    <oddFooter>&amp;R&amp;"Arial,Regular"&amp;08&amp;K7F7F7FAmgen Proprietary - Confidential   &amp;C&amp;"Arial,Regular"&amp;08&amp;K7F7F7FAmgen Proprietary - For Internal Use Only</oddFooter>
    <evenFooter>&amp;R&amp;"Arial,Regular"&amp;08&amp;K7F7F7FAmgen Proprietary - Confidential   &amp;C&amp;"Arial,Regular"&amp;08&amp;K7F7F7FAmgen Proprietary - For Internal Use Only</evenFooter>
    <firstFooter>&amp;R&amp;"Arial,Regular"&amp;08&amp;K7F7F7FAmgen Proprietary - Confidential   &amp;C&amp;"Arial,Regular"&amp;08&amp;K7F7F7FAmgen Proprietary - For Internal Use Only</firstFooter>
  </headerFooter>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D9D2D-3542-49EA-A18C-24DA6E383A52}">
  <sheetPr codeName="Sheet115">
    <pageSetUpPr autoPageBreaks="0"/>
  </sheetPr>
  <dimension ref="A1:O99"/>
  <sheetViews>
    <sheetView topLeftCell="C10" zoomScale="110" zoomScaleNormal="110" workbookViewId="0">
      <selection activeCell="J14" sqref="J14:J46"/>
    </sheetView>
  </sheetViews>
  <sheetFormatPr defaultColWidth="23.453125" defaultRowHeight="11.5" x14ac:dyDescent="0.25"/>
  <cols>
    <col min="1" max="1" width="47.453125" style="25" bestFit="1" customWidth="1"/>
    <col min="2" max="2" width="35" style="25" customWidth="1"/>
    <col min="3" max="3" width="14" style="25" customWidth="1"/>
    <col min="4" max="4" width="18.453125" style="25" hidden="1" customWidth="1"/>
    <col min="5" max="5" width="15.453125" style="25" bestFit="1" customWidth="1"/>
    <col min="6" max="6" width="93.54296875" style="25" customWidth="1"/>
    <col min="7" max="8" width="5.453125" style="25" bestFit="1" customWidth="1"/>
    <col min="9" max="9" width="7.453125" style="25" bestFit="1" customWidth="1"/>
    <col min="10" max="11" width="5.54296875" style="25" bestFit="1" customWidth="1"/>
    <col min="12" max="12" width="7" style="25" bestFit="1" customWidth="1"/>
    <col min="13" max="13" width="7.54296875" style="25" bestFit="1" customWidth="1"/>
    <col min="14" max="14" width="17.453125" style="25" bestFit="1" customWidth="1"/>
    <col min="15" max="15" width="5.54296875" style="25" bestFit="1" customWidth="1"/>
    <col min="16" max="16384" width="23.453125" style="25"/>
  </cols>
  <sheetData>
    <row r="1" spans="1:15" ht="12" thickBot="1" x14ac:dyDescent="0.3">
      <c r="A1" s="1064" t="s">
        <v>479</v>
      </c>
      <c r="B1" s="1065"/>
    </row>
    <row r="2" spans="1:15" x14ac:dyDescent="0.25">
      <c r="A2" s="43" t="s">
        <v>480</v>
      </c>
      <c r="B2" s="289">
        <v>44628.645833333336</v>
      </c>
    </row>
    <row r="3" spans="1:15" ht="12" thickBot="1" x14ac:dyDescent="0.3">
      <c r="A3" s="42" t="s">
        <v>482</v>
      </c>
      <c r="B3" s="290">
        <f>B2</f>
        <v>44628.645833333336</v>
      </c>
    </row>
    <row r="5" spans="1:15" x14ac:dyDescent="0.25">
      <c r="A5" s="328" t="s">
        <v>484</v>
      </c>
      <c r="B5" s="328"/>
      <c r="C5" s="328"/>
      <c r="D5" s="328"/>
    </row>
    <row r="6" spans="1:15" ht="23" x14ac:dyDescent="0.25">
      <c r="A6" s="781" t="s">
        <v>485</v>
      </c>
      <c r="B6" s="781" t="s">
        <v>486</v>
      </c>
      <c r="C6" s="781" t="s">
        <v>487</v>
      </c>
      <c r="D6" s="781" t="s">
        <v>488</v>
      </c>
    </row>
    <row r="7" spans="1:15" x14ac:dyDescent="0.25">
      <c r="A7" s="41" t="str">
        <f>F35</f>
        <v xml:space="preserve">   Sample for drug substance analysis (PR-024 in Methanol)</v>
      </c>
      <c r="B7" s="40">
        <f>INDEX($A$14:$A$88,MATCH(A7,$F$14:$F$88,0))</f>
        <v>44630.364583333343</v>
      </c>
      <c r="C7" s="37">
        <f>INDEX($B$14:$B$88,MATCH(A7,$F$14:$F$88,0))</f>
        <v>44630.364583333343</v>
      </c>
      <c r="D7" s="297"/>
    </row>
    <row r="8" spans="1:15" x14ac:dyDescent="0.25">
      <c r="A8" s="41" t="str">
        <f>F47</f>
        <v xml:space="preserve">   Sample for Residual Solvent Methanol (Ethyl Acetate)</v>
      </c>
      <c r="B8" s="40">
        <f>INDEX($A$14:$A$88,MATCH(A8,$F$14:$F$88,0))</f>
        <v>44631.055555555577</v>
      </c>
      <c r="C8" s="37">
        <f>INDEX($B$14:$B$88,MATCH(A8,$F$14:$F$88,0))</f>
        <v>44631.055555555577</v>
      </c>
      <c r="D8" s="297"/>
    </row>
    <row r="9" spans="1:15" x14ac:dyDescent="0.25">
      <c r="A9" s="41" t="str">
        <f>F65</f>
        <v xml:space="preserve">   FD Sample for drug substance analysis (PR-024 in Methanol)</v>
      </c>
      <c r="B9" s="40">
        <f>INDEX($A$14:$A$88,MATCH(A9,$F$14:$F$88,0))</f>
        <v>44632.020833333365</v>
      </c>
      <c r="C9" s="37">
        <f>INDEX($B$14:$B$88,MATCH(A9,$F$14:$F$88,0))</f>
        <v>44632.020833333365</v>
      </c>
      <c r="D9" s="371"/>
    </row>
    <row r="10" spans="1:15" x14ac:dyDescent="0.25">
      <c r="A10" s="41" t="str">
        <f>F75</f>
        <v xml:space="preserve">   Sampling of Residual Solvent (Acetone in  Ethyl Acetate)</v>
      </c>
      <c r="B10" s="40">
        <f>E75</f>
        <v>44634.486111111131</v>
      </c>
      <c r="C10" s="37">
        <f>E75</f>
        <v>44634.486111111131</v>
      </c>
      <c r="D10" s="371"/>
    </row>
    <row r="12" spans="1:15" ht="30.65" customHeight="1" x14ac:dyDescent="0.25">
      <c r="A12" s="749" t="s">
        <v>492</v>
      </c>
      <c r="B12" s="749" t="s">
        <v>576</v>
      </c>
      <c r="C12" s="749" t="s">
        <v>494</v>
      </c>
      <c r="D12" s="749" t="s">
        <v>495</v>
      </c>
      <c r="E12" s="749" t="s">
        <v>560</v>
      </c>
      <c r="F12" s="749" t="s">
        <v>541</v>
      </c>
      <c r="G12" s="749" t="s">
        <v>498</v>
      </c>
      <c r="H12" s="781" t="s">
        <v>92</v>
      </c>
      <c r="I12" s="781" t="s">
        <v>96</v>
      </c>
      <c r="J12" s="781" t="s">
        <v>577</v>
      </c>
      <c r="K12" s="781" t="s">
        <v>500</v>
      </c>
      <c r="L12" s="278" t="s">
        <v>108</v>
      </c>
      <c r="M12" s="278" t="s">
        <v>114</v>
      </c>
    </row>
    <row r="13" spans="1:15" x14ac:dyDescent="0.25">
      <c r="A13" s="279" t="s">
        <v>578</v>
      </c>
      <c r="B13" s="279"/>
      <c r="C13" s="279"/>
      <c r="D13" s="279"/>
      <c r="E13" s="279"/>
      <c r="F13" s="279"/>
      <c r="G13" s="279"/>
      <c r="H13" s="777"/>
      <c r="I13" s="777"/>
      <c r="J13" s="777"/>
      <c r="K13" s="777"/>
      <c r="L13" s="777"/>
      <c r="M13" s="777"/>
    </row>
    <row r="14" spans="1:15" x14ac:dyDescent="0.25">
      <c r="A14" s="31">
        <f>B2</f>
        <v>44628.645833333336</v>
      </c>
      <c r="B14" s="332">
        <f>B2</f>
        <v>44628.645833333336</v>
      </c>
      <c r="C14" s="170">
        <v>2.4305555555555556E-2</v>
      </c>
      <c r="D14" s="327" t="str">
        <f t="shared" ref="D14:D74" si="0">IF(_xlfn.ISFORMULA(E14)=TRUE,"",E14-B14)</f>
        <v/>
      </c>
      <c r="E14" s="37">
        <f>B14+C14</f>
        <v>44628.670138888891</v>
      </c>
      <c r="F14" s="584" t="s">
        <v>608</v>
      </c>
      <c r="G14" s="477"/>
      <c r="H14" s="585"/>
      <c r="I14" s="585"/>
      <c r="J14" s="585"/>
      <c r="K14" s="478">
        <v>126.26262626262626</v>
      </c>
      <c r="L14" s="479">
        <f>SUM(H14:K14)</f>
        <v>126.26262626262626</v>
      </c>
      <c r="M14" s="478"/>
      <c r="N14" s="1096"/>
      <c r="O14" s="1096"/>
    </row>
    <row r="15" spans="1:15" ht="12.75" customHeight="1" x14ac:dyDescent="0.25">
      <c r="A15" s="31">
        <f t="shared" ref="A15:A50" si="1">IF(D14 = "",A14+C14,A14+D14)</f>
        <v>44628.670138888891</v>
      </c>
      <c r="B15" s="37">
        <f t="shared" ref="B15:B49" si="2">IF(D14 = "",B14+C14,B14+D14)</f>
        <v>44628.670138888891</v>
      </c>
      <c r="C15" s="170">
        <v>1.7361111111111112E-2</v>
      </c>
      <c r="D15" s="327" t="str">
        <f t="shared" si="0"/>
        <v/>
      </c>
      <c r="E15" s="37">
        <f t="shared" ref="E15:E50" si="3">B15+C15</f>
        <v>44628.6875</v>
      </c>
      <c r="F15" s="584" t="s">
        <v>610</v>
      </c>
      <c r="G15" s="480"/>
      <c r="H15" s="481"/>
      <c r="I15" s="481"/>
      <c r="J15" s="481">
        <v>110.86474501108647</v>
      </c>
      <c r="K15" s="481"/>
      <c r="L15" s="479">
        <f t="shared" ref="L15:L70" si="4">SUM(H15:K15)</f>
        <v>110.86474501108647</v>
      </c>
      <c r="M15" s="478"/>
      <c r="N15" s="586"/>
      <c r="O15" s="587"/>
    </row>
    <row r="16" spans="1:15" ht="12.75" customHeight="1" x14ac:dyDescent="0.25">
      <c r="A16" s="31">
        <f t="shared" si="1"/>
        <v>44628.6875</v>
      </c>
      <c r="B16" s="37">
        <f t="shared" si="2"/>
        <v>44628.6875</v>
      </c>
      <c r="C16" s="170">
        <v>4.1666666666666664E-2</v>
      </c>
      <c r="D16" s="327"/>
      <c r="E16" s="37">
        <f t="shared" si="3"/>
        <v>44628.729166666664</v>
      </c>
      <c r="F16" s="584" t="s">
        <v>612</v>
      </c>
      <c r="G16" s="480"/>
      <c r="H16" s="481"/>
      <c r="I16" s="481"/>
      <c r="J16" s="481">
        <v>150</v>
      </c>
      <c r="K16" s="481"/>
      <c r="L16" s="479">
        <f t="shared" si="4"/>
        <v>150</v>
      </c>
      <c r="M16" s="478"/>
      <c r="N16" s="586"/>
      <c r="O16" s="587"/>
    </row>
    <row r="17" spans="1:15" ht="12.75" customHeight="1" x14ac:dyDescent="0.25">
      <c r="A17" s="31">
        <f t="shared" si="1"/>
        <v>44628.729166666664</v>
      </c>
      <c r="B17" s="37">
        <f t="shared" si="2"/>
        <v>44628.729166666664</v>
      </c>
      <c r="C17" s="170">
        <v>5.2083333333333336E-2</v>
      </c>
      <c r="D17" s="327" t="str">
        <f t="shared" si="0"/>
        <v/>
      </c>
      <c r="E17" s="37">
        <f t="shared" si="3"/>
        <v>44628.78125</v>
      </c>
      <c r="F17" s="584" t="s">
        <v>2542</v>
      </c>
      <c r="G17" s="480"/>
      <c r="H17" s="481">
        <v>60</v>
      </c>
      <c r="I17" s="481"/>
      <c r="J17" s="481"/>
      <c r="K17" s="481"/>
      <c r="L17" s="479"/>
      <c r="M17" s="481">
        <v>60</v>
      </c>
      <c r="N17" s="586"/>
      <c r="O17" s="587"/>
    </row>
    <row r="18" spans="1:15" ht="13.5" customHeight="1" x14ac:dyDescent="0.25">
      <c r="A18" s="31">
        <f t="shared" si="1"/>
        <v>44628.78125</v>
      </c>
      <c r="B18" s="37">
        <f t="shared" si="2"/>
        <v>44628.78125</v>
      </c>
      <c r="C18" s="170">
        <v>2.0833333333333332E-2</v>
      </c>
      <c r="D18" s="327" t="str">
        <f t="shared" si="0"/>
        <v/>
      </c>
      <c r="E18" s="37">
        <f t="shared" si="3"/>
        <v>44628.802083333336</v>
      </c>
      <c r="F18" s="584" t="s">
        <v>616</v>
      </c>
      <c r="G18" s="480"/>
      <c r="H18" s="481"/>
      <c r="I18" s="481">
        <v>30</v>
      </c>
      <c r="J18" s="481"/>
      <c r="K18" s="481"/>
      <c r="L18" s="479">
        <f t="shared" si="4"/>
        <v>30</v>
      </c>
      <c r="M18" s="478"/>
      <c r="N18" s="586"/>
      <c r="O18" s="587"/>
    </row>
    <row r="19" spans="1:15" x14ac:dyDescent="0.25">
      <c r="A19" s="31">
        <f t="shared" si="1"/>
        <v>44628.802083333336</v>
      </c>
      <c r="B19" s="37">
        <f t="shared" si="2"/>
        <v>44628.802083333336</v>
      </c>
      <c r="C19" s="170">
        <v>5.2083333333333336E-2</v>
      </c>
      <c r="D19" s="327" t="str">
        <f t="shared" si="0"/>
        <v/>
      </c>
      <c r="E19" s="37">
        <f t="shared" si="3"/>
        <v>44628.854166666672</v>
      </c>
      <c r="F19" s="584" t="s">
        <v>618</v>
      </c>
      <c r="G19" s="480"/>
      <c r="H19" s="481"/>
      <c r="I19" s="481"/>
      <c r="J19" s="481">
        <v>30</v>
      </c>
      <c r="K19" s="481"/>
      <c r="L19" s="479">
        <f t="shared" si="4"/>
        <v>30</v>
      </c>
      <c r="M19" s="478"/>
    </row>
    <row r="20" spans="1:15" x14ac:dyDescent="0.25">
      <c r="A20" s="31">
        <f t="shared" si="1"/>
        <v>44628.854166666672</v>
      </c>
      <c r="B20" s="37">
        <f t="shared" si="2"/>
        <v>44628.854166666672</v>
      </c>
      <c r="C20" s="170">
        <v>1.3888888888888888E-2</v>
      </c>
      <c r="D20" s="327" t="str">
        <f t="shared" si="0"/>
        <v/>
      </c>
      <c r="E20" s="37">
        <f t="shared" si="3"/>
        <v>44628.868055555562</v>
      </c>
      <c r="F20" s="584" t="s">
        <v>619</v>
      </c>
      <c r="G20" s="480"/>
      <c r="H20" s="481"/>
      <c r="I20" s="481"/>
      <c r="J20" s="481"/>
      <c r="K20" s="481">
        <v>54.229797979797979</v>
      </c>
      <c r="L20" s="479">
        <f t="shared" si="4"/>
        <v>54.229797979797979</v>
      </c>
      <c r="M20" s="478"/>
    </row>
    <row r="21" spans="1:15" ht="13.5" customHeight="1" x14ac:dyDescent="0.25">
      <c r="A21" s="31">
        <f t="shared" si="1"/>
        <v>44628.868055555562</v>
      </c>
      <c r="B21" s="37">
        <f t="shared" si="2"/>
        <v>44628.868055555562</v>
      </c>
      <c r="C21" s="170">
        <v>3.125E-2</v>
      </c>
      <c r="D21" s="327" t="str">
        <f t="shared" si="0"/>
        <v/>
      </c>
      <c r="E21" s="37">
        <f t="shared" si="3"/>
        <v>44628.899305555562</v>
      </c>
      <c r="F21" s="584" t="s">
        <v>620</v>
      </c>
      <c r="G21" s="480"/>
      <c r="H21" s="481"/>
      <c r="I21" s="481">
        <v>501.63599783163266</v>
      </c>
      <c r="J21" s="481"/>
      <c r="K21" s="481"/>
      <c r="L21" s="479">
        <f t="shared" si="4"/>
        <v>501.63599783163266</v>
      </c>
      <c r="M21" s="478"/>
      <c r="N21" s="586"/>
      <c r="O21" s="587"/>
    </row>
    <row r="22" spans="1:15" ht="13.5" hidden="1" customHeight="1" x14ac:dyDescent="0.25">
      <c r="A22" s="604">
        <f t="shared" si="1"/>
        <v>44628.899305555562</v>
      </c>
      <c r="B22" s="605">
        <f t="shared" si="2"/>
        <v>44628.899305555562</v>
      </c>
      <c r="C22" s="562">
        <v>0</v>
      </c>
      <c r="D22" s="562"/>
      <c r="E22" s="605">
        <f t="shared" si="3"/>
        <v>44628.899305555562</v>
      </c>
      <c r="F22" s="606" t="s">
        <v>693</v>
      </c>
      <c r="G22" s="480"/>
      <c r="H22" s="481"/>
      <c r="I22" s="481"/>
      <c r="J22" s="481"/>
      <c r="K22" s="481"/>
      <c r="L22" s="588"/>
      <c r="M22" s="481"/>
    </row>
    <row r="23" spans="1:15" ht="13.5" customHeight="1" x14ac:dyDescent="0.25">
      <c r="A23" s="31">
        <f t="shared" si="1"/>
        <v>44628.899305555562</v>
      </c>
      <c r="B23" s="37">
        <f t="shared" si="2"/>
        <v>44628.899305555562</v>
      </c>
      <c r="C23" s="170">
        <v>0.4375</v>
      </c>
      <c r="D23" s="327"/>
      <c r="E23" s="37">
        <f t="shared" si="3"/>
        <v>44629.336805555562</v>
      </c>
      <c r="F23" s="584" t="s">
        <v>621</v>
      </c>
      <c r="G23" s="480"/>
      <c r="H23" s="481">
        <v>450</v>
      </c>
      <c r="I23" s="481"/>
      <c r="J23" s="481"/>
      <c r="K23" s="481"/>
      <c r="L23" s="588"/>
      <c r="M23" s="481">
        <v>450</v>
      </c>
    </row>
    <row r="24" spans="1:15" ht="13.5" hidden="1" customHeight="1" x14ac:dyDescent="0.25">
      <c r="A24" s="604">
        <f t="shared" si="1"/>
        <v>44629.336805555562</v>
      </c>
      <c r="B24" s="605">
        <f t="shared" si="2"/>
        <v>44629.336805555562</v>
      </c>
      <c r="C24" s="562">
        <v>0</v>
      </c>
      <c r="D24" s="562"/>
      <c r="E24" s="605">
        <f t="shared" si="3"/>
        <v>44629.336805555562</v>
      </c>
      <c r="F24" s="606" t="s">
        <v>693</v>
      </c>
      <c r="G24" s="480"/>
      <c r="H24" s="481"/>
      <c r="I24" s="481"/>
      <c r="J24" s="481"/>
      <c r="K24" s="481"/>
      <c r="L24" s="588"/>
      <c r="M24" s="481"/>
    </row>
    <row r="25" spans="1:15" x14ac:dyDescent="0.25">
      <c r="A25" s="31">
        <f t="shared" si="1"/>
        <v>44629.336805555562</v>
      </c>
      <c r="B25" s="37">
        <f t="shared" si="2"/>
        <v>44629.336805555562</v>
      </c>
      <c r="C25" s="170">
        <v>0.2638888888888889</v>
      </c>
      <c r="D25" s="327" t="str">
        <f t="shared" si="0"/>
        <v/>
      </c>
      <c r="E25" s="37">
        <f t="shared" si="3"/>
        <v>44629.600694444453</v>
      </c>
      <c r="F25" s="584" t="s">
        <v>622</v>
      </c>
      <c r="G25" s="589"/>
      <c r="H25" s="481"/>
      <c r="I25" s="481">
        <v>270</v>
      </c>
      <c r="J25" s="481"/>
      <c r="K25" s="481"/>
      <c r="L25" s="479">
        <f t="shared" si="4"/>
        <v>270</v>
      </c>
      <c r="M25" s="478"/>
    </row>
    <row r="26" spans="1:15" ht="12" hidden="1" thickBot="1" x14ac:dyDescent="0.3">
      <c r="A26" s="31">
        <f t="shared" si="1"/>
        <v>44629.600694444453</v>
      </c>
      <c r="B26" s="37">
        <f t="shared" si="2"/>
        <v>44629.600694444453</v>
      </c>
      <c r="C26" s="520">
        <v>0</v>
      </c>
      <c r="D26" s="520" t="str">
        <f t="shared" si="0"/>
        <v/>
      </c>
      <c r="E26" s="37">
        <f t="shared" si="3"/>
        <v>44629.600694444453</v>
      </c>
      <c r="F26" s="590" t="s">
        <v>2543</v>
      </c>
      <c r="G26" s="591"/>
      <c r="H26" s="592"/>
      <c r="I26" s="592"/>
      <c r="J26" s="592"/>
      <c r="K26" s="592"/>
      <c r="L26" s="593"/>
      <c r="M26" s="594"/>
    </row>
    <row r="27" spans="1:15" ht="12.75" customHeight="1" x14ac:dyDescent="0.25">
      <c r="A27" s="31">
        <f t="shared" si="1"/>
        <v>44629.600694444453</v>
      </c>
      <c r="B27" s="37">
        <f t="shared" si="2"/>
        <v>44629.600694444453</v>
      </c>
      <c r="C27" s="354">
        <v>0.2638888888888889</v>
      </c>
      <c r="D27" s="470" t="str">
        <f t="shared" si="0"/>
        <v/>
      </c>
      <c r="E27" s="37">
        <f t="shared" si="3"/>
        <v>44629.864583333343</v>
      </c>
      <c r="F27" s="595" t="s">
        <v>623</v>
      </c>
      <c r="G27" s="596"/>
      <c r="H27" s="597"/>
      <c r="I27" s="597">
        <v>270</v>
      </c>
      <c r="J27" s="597"/>
      <c r="K27" s="597"/>
      <c r="L27" s="598">
        <f t="shared" si="4"/>
        <v>270</v>
      </c>
      <c r="M27" s="599"/>
      <c r="N27" s="1096"/>
      <c r="O27" s="1096"/>
    </row>
    <row r="28" spans="1:15" ht="12.75" customHeight="1" x14ac:dyDescent="0.25">
      <c r="A28" s="31">
        <f t="shared" si="1"/>
        <v>44629.864583333343</v>
      </c>
      <c r="B28" s="37">
        <f>IF(D27 = "",B27+C27,B27+D27)</f>
        <v>44629.864583333343</v>
      </c>
      <c r="C28" s="170">
        <v>0.25694444444444448</v>
      </c>
      <c r="D28" s="327" t="str">
        <f t="shared" si="0"/>
        <v/>
      </c>
      <c r="E28" s="37">
        <f t="shared" si="3"/>
        <v>44630.121527777788</v>
      </c>
      <c r="F28" s="584" t="s">
        <v>625</v>
      </c>
      <c r="G28" s="589"/>
      <c r="H28" s="481"/>
      <c r="I28" s="481"/>
      <c r="J28" s="481"/>
      <c r="K28" s="481">
        <v>450</v>
      </c>
      <c r="L28" s="479">
        <f t="shared" si="4"/>
        <v>450</v>
      </c>
      <c r="M28" s="478"/>
      <c r="N28" s="586"/>
      <c r="O28" s="587"/>
    </row>
    <row r="29" spans="1:15" ht="12.75" customHeight="1" x14ac:dyDescent="0.25">
      <c r="A29" s="31">
        <f t="shared" si="1"/>
        <v>44630.121527777788</v>
      </c>
      <c r="B29" s="37">
        <f t="shared" si="2"/>
        <v>44630.121527777788</v>
      </c>
      <c r="C29" s="170">
        <v>6.25E-2</v>
      </c>
      <c r="D29" s="327" t="str">
        <f t="shared" si="0"/>
        <v/>
      </c>
      <c r="E29" s="37">
        <f t="shared" si="3"/>
        <v>44630.184027777788</v>
      </c>
      <c r="F29" s="584" t="s">
        <v>589</v>
      </c>
      <c r="G29" s="589"/>
      <c r="H29" s="481"/>
      <c r="I29" s="481"/>
      <c r="J29" s="481"/>
      <c r="K29" s="481"/>
      <c r="L29" s="479"/>
      <c r="M29" s="478"/>
      <c r="N29" s="586"/>
      <c r="O29" s="587"/>
    </row>
    <row r="30" spans="1:15" ht="12.75" hidden="1" customHeight="1" x14ac:dyDescent="0.25">
      <c r="A30" s="604">
        <f t="shared" si="1"/>
        <v>44630.184027777788</v>
      </c>
      <c r="B30" s="605">
        <f t="shared" si="2"/>
        <v>44630.184027777788</v>
      </c>
      <c r="C30" s="562">
        <v>0</v>
      </c>
      <c r="D30" s="562"/>
      <c r="E30" s="605">
        <f t="shared" si="3"/>
        <v>44630.184027777788</v>
      </c>
      <c r="F30" s="606" t="s">
        <v>2544</v>
      </c>
      <c r="G30" s="480"/>
      <c r="H30" s="481"/>
      <c r="I30" s="481"/>
      <c r="J30" s="481"/>
      <c r="K30" s="481"/>
      <c r="L30" s="479"/>
      <c r="M30" s="478"/>
      <c r="N30" s="586"/>
      <c r="O30" s="587"/>
    </row>
    <row r="31" spans="1:15" x14ac:dyDescent="0.25">
      <c r="A31" s="31">
        <f t="shared" si="1"/>
        <v>44630.184027777788</v>
      </c>
      <c r="B31" s="37">
        <f t="shared" si="2"/>
        <v>44630.184027777788</v>
      </c>
      <c r="C31" s="170">
        <v>4.1666666666666664E-2</v>
      </c>
      <c r="D31" s="327" t="str">
        <f t="shared" si="0"/>
        <v/>
      </c>
      <c r="E31" s="37">
        <f t="shared" si="3"/>
        <v>44630.225694444453</v>
      </c>
      <c r="F31" s="584" t="s">
        <v>627</v>
      </c>
      <c r="G31" s="480"/>
      <c r="H31" s="481"/>
      <c r="I31" s="481"/>
      <c r="J31" s="481"/>
      <c r="K31" s="481">
        <v>461.78450126262624</v>
      </c>
      <c r="L31" s="479">
        <f t="shared" si="4"/>
        <v>461.78450126262624</v>
      </c>
      <c r="M31" s="478"/>
    </row>
    <row r="32" spans="1:15" x14ac:dyDescent="0.25">
      <c r="A32" s="31">
        <f t="shared" si="1"/>
        <v>44630.225694444453</v>
      </c>
      <c r="B32" s="37">
        <f t="shared" si="2"/>
        <v>44630.225694444453</v>
      </c>
      <c r="C32" s="170">
        <v>8.3333333333333329E-2</v>
      </c>
      <c r="D32" s="327"/>
      <c r="E32" s="37">
        <f t="shared" si="3"/>
        <v>44630.309027777788</v>
      </c>
      <c r="F32" s="584" t="s">
        <v>589</v>
      </c>
      <c r="G32" s="480"/>
      <c r="H32" s="481"/>
      <c r="I32" s="481"/>
      <c r="J32" s="481"/>
      <c r="K32" s="481"/>
      <c r="L32" s="479"/>
      <c r="M32" s="478"/>
      <c r="N32" s="1096"/>
      <c r="O32" s="1096"/>
    </row>
    <row r="33" spans="1:15" x14ac:dyDescent="0.25">
      <c r="A33" s="31">
        <f t="shared" si="1"/>
        <v>44630.309027777788</v>
      </c>
      <c r="B33" s="37">
        <f t="shared" si="2"/>
        <v>44630.309027777788</v>
      </c>
      <c r="C33" s="170">
        <v>2.0833333333333332E-2</v>
      </c>
      <c r="D33" s="327"/>
      <c r="E33" s="37">
        <f t="shared" si="3"/>
        <v>44630.329861111124</v>
      </c>
      <c r="F33" s="584" t="s">
        <v>628</v>
      </c>
      <c r="G33" s="480"/>
      <c r="H33" s="481"/>
      <c r="I33" s="481"/>
      <c r="J33" s="481"/>
      <c r="K33" s="481"/>
      <c r="L33" s="479"/>
      <c r="M33" s="478"/>
      <c r="N33" s="586"/>
      <c r="O33" s="587"/>
    </row>
    <row r="34" spans="1:15" x14ac:dyDescent="0.25">
      <c r="A34" s="31">
        <f t="shared" si="1"/>
        <v>44630.329861111124</v>
      </c>
      <c r="B34" s="37">
        <f t="shared" si="2"/>
        <v>44630.329861111124</v>
      </c>
      <c r="C34" s="170">
        <v>3.4722222222222224E-2</v>
      </c>
      <c r="D34" s="327" t="str">
        <f t="shared" si="0"/>
        <v/>
      </c>
      <c r="E34" s="37">
        <f t="shared" si="3"/>
        <v>44630.364583333343</v>
      </c>
      <c r="F34" s="584" t="s">
        <v>2463</v>
      </c>
      <c r="G34" s="480"/>
      <c r="H34" s="481"/>
      <c r="I34" s="481"/>
      <c r="J34" s="481"/>
      <c r="K34" s="481">
        <v>48.729924242424239</v>
      </c>
      <c r="L34" s="479">
        <f t="shared" si="4"/>
        <v>48.729924242424239</v>
      </c>
      <c r="M34" s="478"/>
      <c r="N34" s="586"/>
      <c r="O34" s="587"/>
    </row>
    <row r="35" spans="1:15" x14ac:dyDescent="0.25">
      <c r="A35" s="31">
        <f t="shared" si="1"/>
        <v>44630.364583333343</v>
      </c>
      <c r="B35" s="37">
        <f t="shared" si="2"/>
        <v>44630.364583333343</v>
      </c>
      <c r="C35" s="170">
        <v>0</v>
      </c>
      <c r="D35" s="327"/>
      <c r="E35" s="37">
        <f t="shared" si="3"/>
        <v>44630.364583333343</v>
      </c>
      <c r="F35" s="600" t="s">
        <v>631</v>
      </c>
      <c r="G35" s="480"/>
      <c r="H35" s="481"/>
      <c r="I35" s="481"/>
      <c r="J35" s="481"/>
      <c r="K35" s="481"/>
      <c r="L35" s="479"/>
      <c r="M35" s="478"/>
      <c r="N35" s="586"/>
      <c r="O35" s="587"/>
    </row>
    <row r="36" spans="1:15" x14ac:dyDescent="0.25">
      <c r="A36" s="31">
        <f t="shared" si="1"/>
        <v>44630.364583333343</v>
      </c>
      <c r="B36" s="37">
        <f t="shared" si="2"/>
        <v>44630.364583333343</v>
      </c>
      <c r="C36" s="170">
        <v>1.3888888888888888E-2</v>
      </c>
      <c r="D36" s="327"/>
      <c r="E36" s="37">
        <f t="shared" si="3"/>
        <v>44630.378472222234</v>
      </c>
      <c r="F36" s="584" t="s">
        <v>2545</v>
      </c>
      <c r="G36" s="480"/>
      <c r="H36" s="481"/>
      <c r="I36" s="481"/>
      <c r="J36" s="481"/>
      <c r="K36" s="481"/>
      <c r="L36" s="479"/>
      <c r="M36" s="478"/>
      <c r="N36" s="586"/>
      <c r="O36" s="587"/>
    </row>
    <row r="37" spans="1:15" x14ac:dyDescent="0.25">
      <c r="A37" s="31">
        <f t="shared" si="1"/>
        <v>44630.378472222234</v>
      </c>
      <c r="B37" s="37">
        <f t="shared" si="2"/>
        <v>44630.378472222234</v>
      </c>
      <c r="C37" s="170">
        <v>1.3888888888888888E-2</v>
      </c>
      <c r="D37" s="327"/>
      <c r="E37" s="37">
        <f t="shared" si="3"/>
        <v>44630.392361111124</v>
      </c>
      <c r="F37" s="584" t="s">
        <v>2463</v>
      </c>
      <c r="G37" s="480"/>
      <c r="H37" s="481"/>
      <c r="I37" s="481"/>
      <c r="J37" s="481"/>
      <c r="K37" s="481"/>
      <c r="L37" s="479"/>
      <c r="M37" s="478"/>
      <c r="N37" s="586"/>
      <c r="O37" s="587"/>
    </row>
    <row r="38" spans="1:15" x14ac:dyDescent="0.25">
      <c r="A38" s="31">
        <f t="shared" si="1"/>
        <v>44630.392361111124</v>
      </c>
      <c r="B38" s="37">
        <f t="shared" si="2"/>
        <v>44630.392361111124</v>
      </c>
      <c r="C38" s="170">
        <v>1.3888888888888888E-2</v>
      </c>
      <c r="D38" s="327"/>
      <c r="E38" s="37">
        <f t="shared" si="3"/>
        <v>44630.406250000015</v>
      </c>
      <c r="F38" s="600" t="s">
        <v>2546</v>
      </c>
      <c r="G38" s="480"/>
      <c r="H38" s="481"/>
      <c r="I38" s="481"/>
      <c r="J38" s="481"/>
      <c r="K38" s="481"/>
      <c r="L38" s="479"/>
      <c r="M38" s="478"/>
      <c r="N38" s="586"/>
      <c r="O38" s="587"/>
    </row>
    <row r="39" spans="1:15" x14ac:dyDescent="0.25">
      <c r="A39" s="31">
        <f t="shared" si="1"/>
        <v>44630.406250000015</v>
      </c>
      <c r="B39" s="37">
        <f t="shared" si="2"/>
        <v>44630.406250000015</v>
      </c>
      <c r="C39" s="170">
        <v>0.11458333333333333</v>
      </c>
      <c r="D39" s="327"/>
      <c r="E39" s="37">
        <f t="shared" si="3"/>
        <v>44630.52083333335</v>
      </c>
      <c r="F39" s="601" t="s">
        <v>589</v>
      </c>
      <c r="G39" s="480"/>
      <c r="H39" s="481"/>
      <c r="I39" s="481"/>
      <c r="J39" s="481"/>
      <c r="K39" s="481"/>
      <c r="L39" s="479"/>
      <c r="M39" s="478"/>
    </row>
    <row r="40" spans="1:15" s="267" customFormat="1" ht="14.9" hidden="1" customHeight="1" x14ac:dyDescent="0.25">
      <c r="A40" s="31">
        <f t="shared" si="1"/>
        <v>44630.52083333335</v>
      </c>
      <c r="B40" s="37">
        <f t="shared" si="2"/>
        <v>44630.52083333335</v>
      </c>
      <c r="C40" s="280"/>
      <c r="D40" s="280"/>
      <c r="E40" s="37">
        <f t="shared" si="3"/>
        <v>44630.52083333335</v>
      </c>
      <c r="F40" s="280"/>
      <c r="G40" s="280"/>
      <c r="H40" s="284"/>
      <c r="I40" s="284"/>
      <c r="J40" s="284"/>
      <c r="K40" s="284"/>
      <c r="L40" s="285"/>
      <c r="M40" s="341"/>
    </row>
    <row r="41" spans="1:15" x14ac:dyDescent="0.25">
      <c r="A41" s="31">
        <f t="shared" si="1"/>
        <v>44630.52083333335</v>
      </c>
      <c r="B41" s="37">
        <f t="shared" si="2"/>
        <v>44630.52083333335</v>
      </c>
      <c r="C41" s="170">
        <v>1.3888888888888888E-2</v>
      </c>
      <c r="D41" s="327"/>
      <c r="E41" s="37">
        <f t="shared" si="3"/>
        <v>44630.534722222241</v>
      </c>
      <c r="F41" s="482" t="s">
        <v>632</v>
      </c>
      <c r="G41" s="480"/>
      <c r="H41" s="481"/>
      <c r="I41" s="481"/>
      <c r="J41" s="481">
        <v>53.22811529933481</v>
      </c>
      <c r="K41" s="481"/>
      <c r="L41" s="479">
        <f t="shared" si="4"/>
        <v>53.22811529933481</v>
      </c>
      <c r="M41" s="478"/>
    </row>
    <row r="42" spans="1:15" x14ac:dyDescent="0.25">
      <c r="A42" s="31">
        <f t="shared" si="1"/>
        <v>44630.534722222241</v>
      </c>
      <c r="B42" s="37">
        <f t="shared" si="2"/>
        <v>44630.534722222241</v>
      </c>
      <c r="C42" s="170">
        <v>0.125</v>
      </c>
      <c r="D42" s="327"/>
      <c r="E42" s="37">
        <f t="shared" si="3"/>
        <v>44630.659722222241</v>
      </c>
      <c r="F42" s="482" t="s">
        <v>633</v>
      </c>
      <c r="G42" s="480"/>
      <c r="H42" s="481"/>
      <c r="I42" s="481"/>
      <c r="J42" s="481">
        <v>402.40454545454548</v>
      </c>
      <c r="K42" s="481"/>
      <c r="L42" s="479">
        <f t="shared" si="4"/>
        <v>402.40454545454548</v>
      </c>
      <c r="M42" s="478"/>
    </row>
    <row r="43" spans="1:15" x14ac:dyDescent="0.25">
      <c r="A43" s="31">
        <f t="shared" si="1"/>
        <v>44630.659722222241</v>
      </c>
      <c r="B43" s="37">
        <f t="shared" si="2"/>
        <v>44630.659722222241</v>
      </c>
      <c r="C43" s="170">
        <v>0.125</v>
      </c>
      <c r="D43" s="327"/>
      <c r="E43" s="37">
        <f t="shared" si="3"/>
        <v>44630.784722222241</v>
      </c>
      <c r="F43" s="482" t="s">
        <v>634</v>
      </c>
      <c r="G43" s="480"/>
      <c r="H43" s="481"/>
      <c r="I43" s="481"/>
      <c r="J43" s="481">
        <v>401.28492239467846</v>
      </c>
      <c r="K43" s="481"/>
      <c r="L43" s="479">
        <f t="shared" si="4"/>
        <v>401.28492239467846</v>
      </c>
      <c r="M43" s="478"/>
    </row>
    <row r="44" spans="1:15" x14ac:dyDescent="0.25">
      <c r="A44" s="31">
        <f t="shared" si="1"/>
        <v>44630.784722222241</v>
      </c>
      <c r="B44" s="37">
        <f t="shared" si="2"/>
        <v>44630.784722222241</v>
      </c>
      <c r="C44" s="170">
        <v>0.125</v>
      </c>
      <c r="D44" s="327"/>
      <c r="E44" s="37">
        <f t="shared" si="3"/>
        <v>44630.909722222241</v>
      </c>
      <c r="F44" s="482" t="s">
        <v>635</v>
      </c>
      <c r="G44" s="480"/>
      <c r="H44" s="481"/>
      <c r="I44" s="481"/>
      <c r="J44" s="481">
        <v>401.58048780487803</v>
      </c>
      <c r="K44" s="481"/>
      <c r="L44" s="479">
        <f t="shared" si="4"/>
        <v>401.58048780487803</v>
      </c>
      <c r="M44" s="478"/>
    </row>
    <row r="45" spans="1:15" x14ac:dyDescent="0.25">
      <c r="A45" s="31">
        <f t="shared" si="1"/>
        <v>44630.909722222241</v>
      </c>
      <c r="B45" s="37">
        <f t="shared" si="2"/>
        <v>44630.909722222241</v>
      </c>
      <c r="C45" s="170">
        <v>0.125</v>
      </c>
      <c r="D45" s="327"/>
      <c r="E45" s="37">
        <f t="shared" si="3"/>
        <v>44631.034722222241</v>
      </c>
      <c r="F45" s="482" t="s">
        <v>636</v>
      </c>
      <c r="G45" s="480"/>
      <c r="H45" s="481"/>
      <c r="I45" s="481"/>
      <c r="J45" s="481">
        <v>302.87261640798226</v>
      </c>
      <c r="K45" s="481"/>
      <c r="L45" s="479">
        <f t="shared" si="4"/>
        <v>302.87261640798226</v>
      </c>
      <c r="M45" s="478"/>
      <c r="N45" s="586"/>
      <c r="O45" s="587"/>
    </row>
    <row r="46" spans="1:15" x14ac:dyDescent="0.25">
      <c r="A46" s="31">
        <f t="shared" si="1"/>
        <v>44631.034722222241</v>
      </c>
      <c r="B46" s="37">
        <f t="shared" si="2"/>
        <v>44631.034722222241</v>
      </c>
      <c r="C46" s="170">
        <v>2.0833333333333332E-2</v>
      </c>
      <c r="D46" s="327" t="str">
        <f t="shared" si="0"/>
        <v/>
      </c>
      <c r="E46" s="37">
        <f t="shared" si="3"/>
        <v>44631.055555555577</v>
      </c>
      <c r="F46" s="482" t="s">
        <v>2463</v>
      </c>
      <c r="G46" s="480"/>
      <c r="H46" s="481"/>
      <c r="I46" s="481"/>
      <c r="J46" s="481"/>
      <c r="K46" s="481"/>
      <c r="L46" s="479"/>
      <c r="M46" s="478"/>
      <c r="N46" s="1096"/>
      <c r="O46" s="1096"/>
    </row>
    <row r="47" spans="1:15" x14ac:dyDescent="0.25">
      <c r="A47" s="31">
        <f t="shared" si="1"/>
        <v>44631.055555555577</v>
      </c>
      <c r="B47" s="37">
        <f t="shared" si="2"/>
        <v>44631.055555555577</v>
      </c>
      <c r="C47" s="170">
        <v>0</v>
      </c>
      <c r="D47" s="683"/>
      <c r="E47" s="37">
        <f t="shared" si="3"/>
        <v>44631.055555555577</v>
      </c>
      <c r="F47" s="710" t="s">
        <v>638</v>
      </c>
      <c r="G47" s="480"/>
      <c r="H47" s="481"/>
      <c r="I47" s="481"/>
      <c r="J47" s="481"/>
      <c r="K47" s="481"/>
      <c r="L47" s="479"/>
      <c r="M47" s="478"/>
      <c r="N47" s="586"/>
      <c r="O47" s="587"/>
    </row>
    <row r="48" spans="1:15" x14ac:dyDescent="0.25">
      <c r="A48" s="31">
        <f t="shared" si="1"/>
        <v>44631.055555555577</v>
      </c>
      <c r="B48" s="37">
        <f t="shared" si="2"/>
        <v>44631.055555555577</v>
      </c>
      <c r="C48" s="170">
        <v>6.5972222222222224E-2</v>
      </c>
      <c r="D48" s="327" t="str">
        <f t="shared" si="0"/>
        <v/>
      </c>
      <c r="E48" s="37">
        <f t="shared" si="3"/>
        <v>44631.121527777796</v>
      </c>
      <c r="F48" s="482" t="s">
        <v>639</v>
      </c>
      <c r="G48" s="480"/>
      <c r="H48" s="481"/>
      <c r="I48" s="481"/>
      <c r="J48" s="481"/>
      <c r="K48" s="481"/>
      <c r="L48" s="479"/>
      <c r="M48" s="478"/>
      <c r="N48" s="586"/>
      <c r="O48" s="587"/>
    </row>
    <row r="49" spans="1:15" x14ac:dyDescent="0.25">
      <c r="A49" s="31">
        <f t="shared" si="1"/>
        <v>44631.121527777796</v>
      </c>
      <c r="B49" s="37">
        <f t="shared" si="2"/>
        <v>44631.121527777796</v>
      </c>
      <c r="C49" s="170">
        <v>1.3888888888888888E-2</v>
      </c>
      <c r="D49" s="327"/>
      <c r="E49" s="37">
        <f t="shared" si="3"/>
        <v>44631.135416666686</v>
      </c>
      <c r="F49" s="570" t="s">
        <v>2547</v>
      </c>
      <c r="G49" s="480"/>
      <c r="H49" s="481"/>
      <c r="I49" s="481"/>
      <c r="J49" s="481"/>
      <c r="K49" s="481"/>
      <c r="L49" s="479"/>
      <c r="M49" s="478"/>
      <c r="N49" s="586"/>
      <c r="O49" s="587"/>
    </row>
    <row r="50" spans="1:15" x14ac:dyDescent="0.25">
      <c r="A50" s="31">
        <f t="shared" si="1"/>
        <v>44631.135416666686</v>
      </c>
      <c r="B50" s="37">
        <f>IF(D49 = "",B49+C49,B49+D49)</f>
        <v>44631.135416666686</v>
      </c>
      <c r="C50" s="170">
        <v>1.3888888888888888E-2</v>
      </c>
      <c r="D50" s="327"/>
      <c r="E50" s="37">
        <f t="shared" si="3"/>
        <v>44631.149305555577</v>
      </c>
      <c r="F50" s="570" t="s">
        <v>2548</v>
      </c>
      <c r="G50" s="480"/>
      <c r="H50" s="481"/>
      <c r="I50" s="481"/>
      <c r="J50" s="481"/>
      <c r="K50" s="481"/>
      <c r="L50" s="479"/>
      <c r="M50" s="478"/>
      <c r="N50" s="586"/>
      <c r="O50" s="587"/>
    </row>
    <row r="51" spans="1:15" x14ac:dyDescent="0.25">
      <c r="A51" s="1070" t="s">
        <v>640</v>
      </c>
      <c r="B51" s="1070"/>
      <c r="C51" s="1070"/>
      <c r="D51" s="1070"/>
      <c r="E51" s="1070"/>
      <c r="F51" s="1070"/>
      <c r="G51" s="1071"/>
      <c r="H51" s="286"/>
      <c r="I51" s="286"/>
      <c r="J51" s="286"/>
      <c r="K51" s="286"/>
      <c r="L51" s="339"/>
      <c r="M51" s="286"/>
    </row>
    <row r="52" spans="1:15" x14ac:dyDescent="0.25">
      <c r="A52" s="31">
        <f>IF(D50 = "",A50+C50,A50+D50)</f>
        <v>44631.149305555577</v>
      </c>
      <c r="B52" s="37">
        <f>IF(D50 = "",B50+C50,B50+D50)</f>
        <v>44631.149305555577</v>
      </c>
      <c r="C52" s="170">
        <v>0</v>
      </c>
      <c r="D52" s="327"/>
      <c r="E52" s="37">
        <f>B52+C52</f>
        <v>44631.149305555577</v>
      </c>
      <c r="F52" s="570" t="s">
        <v>2547</v>
      </c>
      <c r="G52" s="480"/>
      <c r="H52" s="481"/>
      <c r="I52" s="481"/>
      <c r="J52" s="481"/>
      <c r="K52" s="481"/>
      <c r="L52" s="479"/>
      <c r="M52" s="478"/>
      <c r="N52" s="586"/>
      <c r="O52" s="587"/>
    </row>
    <row r="53" spans="1:15" x14ac:dyDescent="0.25">
      <c r="A53" s="31">
        <f>IF(D52 = "",A52+C52,A52+D52)</f>
        <v>44631.149305555577</v>
      </c>
      <c r="B53" s="37">
        <f>IF(D52 = "",B52+C52,B52+D52)</f>
        <v>44631.149305555577</v>
      </c>
      <c r="C53" s="170">
        <v>0</v>
      </c>
      <c r="D53" s="327"/>
      <c r="E53" s="37">
        <f t="shared" ref="E53:E72" si="5">B53+C53</f>
        <v>44631.149305555577</v>
      </c>
      <c r="F53" s="570" t="s">
        <v>2548</v>
      </c>
      <c r="G53" s="480"/>
      <c r="H53" s="481"/>
      <c r="I53" s="481"/>
      <c r="J53" s="481"/>
      <c r="K53" s="481"/>
      <c r="L53" s="479"/>
      <c r="M53" s="478"/>
      <c r="N53" s="586"/>
      <c r="O53" s="587"/>
    </row>
    <row r="54" spans="1:15" x14ac:dyDescent="0.25">
      <c r="A54" s="31">
        <f t="shared" ref="A54:A72" si="6">IF(D53 = "",A53+C53,A53+D53)</f>
        <v>44631.149305555577</v>
      </c>
      <c r="B54" s="37">
        <f t="shared" ref="B54:B70" si="7">IF(D53 = "",B53+C53,B53+D53)</f>
        <v>44631.149305555577</v>
      </c>
      <c r="C54" s="170">
        <v>1.0416666666666666E-2</v>
      </c>
      <c r="D54" s="327" t="str">
        <f t="shared" si="0"/>
        <v/>
      </c>
      <c r="E54" s="37">
        <f t="shared" si="5"/>
        <v>44631.159722222241</v>
      </c>
      <c r="F54" s="491" t="s">
        <v>2549</v>
      </c>
      <c r="G54" s="480"/>
      <c r="H54" s="481"/>
      <c r="I54" s="481"/>
      <c r="J54" s="481"/>
      <c r="K54" s="481">
        <v>133.60631313131313</v>
      </c>
      <c r="L54" s="479">
        <f t="shared" si="4"/>
        <v>133.60631313131313</v>
      </c>
      <c r="M54" s="478"/>
    </row>
    <row r="55" spans="1:15" x14ac:dyDescent="0.25">
      <c r="A55" s="31">
        <f t="shared" si="6"/>
        <v>44631.159722222241</v>
      </c>
      <c r="B55" s="37">
        <f t="shared" si="7"/>
        <v>44631.159722222241</v>
      </c>
      <c r="C55" s="170">
        <v>9.375E-2</v>
      </c>
      <c r="D55" s="327" t="str">
        <f t="shared" si="0"/>
        <v/>
      </c>
      <c r="E55" s="37">
        <f t="shared" si="5"/>
        <v>44631.253472222241</v>
      </c>
      <c r="F55" s="601" t="s">
        <v>642</v>
      </c>
      <c r="G55" s="480"/>
      <c r="H55" s="481"/>
      <c r="I55" s="481"/>
      <c r="J55" s="481"/>
      <c r="K55" s="481">
        <v>1621.7</v>
      </c>
      <c r="L55" s="479">
        <f t="shared" si="4"/>
        <v>1621.7</v>
      </c>
      <c r="M55" s="478"/>
    </row>
    <row r="56" spans="1:15" x14ac:dyDescent="0.25">
      <c r="A56" s="31">
        <f t="shared" si="6"/>
        <v>44631.253472222241</v>
      </c>
      <c r="B56" s="37">
        <f t="shared" si="7"/>
        <v>44631.253472222241</v>
      </c>
      <c r="C56" s="170">
        <v>0.1388888888888889</v>
      </c>
      <c r="D56" s="327"/>
      <c r="E56" s="37">
        <f t="shared" si="5"/>
        <v>44631.392361111131</v>
      </c>
      <c r="F56" s="601" t="s">
        <v>643</v>
      </c>
      <c r="G56" s="480"/>
      <c r="H56" s="481"/>
      <c r="I56" s="481"/>
      <c r="J56" s="481"/>
      <c r="K56" s="481">
        <v>260</v>
      </c>
      <c r="L56" s="479">
        <f t="shared" si="4"/>
        <v>260</v>
      </c>
      <c r="M56" s="478"/>
    </row>
    <row r="57" spans="1:15" x14ac:dyDescent="0.25">
      <c r="A57" s="31">
        <f t="shared" si="6"/>
        <v>44631.392361111131</v>
      </c>
      <c r="B57" s="37">
        <f t="shared" si="7"/>
        <v>44631.392361111131</v>
      </c>
      <c r="C57" s="170">
        <v>0.1388888888888889</v>
      </c>
      <c r="D57" s="327" t="str">
        <f t="shared" si="0"/>
        <v/>
      </c>
      <c r="E57" s="37">
        <f t="shared" si="5"/>
        <v>44631.531250000022</v>
      </c>
      <c r="F57" s="601" t="s">
        <v>645</v>
      </c>
      <c r="G57" s="480"/>
      <c r="H57" s="481"/>
      <c r="I57" s="481"/>
      <c r="J57" s="481"/>
      <c r="K57" s="481">
        <v>260</v>
      </c>
      <c r="L57" s="479">
        <f t="shared" si="4"/>
        <v>260</v>
      </c>
      <c r="M57" s="478"/>
    </row>
    <row r="58" spans="1:15" x14ac:dyDescent="0.25">
      <c r="A58" s="31">
        <f t="shared" si="6"/>
        <v>44631.531250000022</v>
      </c>
      <c r="B58" s="37">
        <f t="shared" si="7"/>
        <v>44631.531250000022</v>
      </c>
      <c r="C58" s="170">
        <v>0.1388888888888889</v>
      </c>
      <c r="D58" s="327" t="str">
        <f t="shared" si="0"/>
        <v/>
      </c>
      <c r="E58" s="37">
        <f t="shared" si="5"/>
        <v>44631.670138888912</v>
      </c>
      <c r="F58" s="601" t="s">
        <v>646</v>
      </c>
      <c r="G58" s="480"/>
      <c r="H58" s="481"/>
      <c r="I58" s="481"/>
      <c r="J58" s="481"/>
      <c r="K58" s="481">
        <v>260</v>
      </c>
      <c r="L58" s="479">
        <f t="shared" si="4"/>
        <v>260</v>
      </c>
      <c r="M58" s="478"/>
    </row>
    <row r="59" spans="1:15" x14ac:dyDescent="0.25">
      <c r="A59" s="31">
        <f t="shared" si="6"/>
        <v>44631.670138888912</v>
      </c>
      <c r="B59" s="37">
        <f t="shared" si="7"/>
        <v>44631.670138888912</v>
      </c>
      <c r="C59" s="271">
        <v>8.3333333333333329E-2</v>
      </c>
      <c r="D59" s="327" t="str">
        <f t="shared" si="0"/>
        <v/>
      </c>
      <c r="E59" s="37">
        <f t="shared" si="5"/>
        <v>44631.753472222248</v>
      </c>
      <c r="F59" s="601" t="s">
        <v>647</v>
      </c>
      <c r="G59" s="480"/>
      <c r="H59" s="481"/>
      <c r="I59" s="481"/>
      <c r="J59" s="481"/>
      <c r="K59" s="481"/>
      <c r="L59" s="479"/>
      <c r="M59" s="478"/>
    </row>
    <row r="60" spans="1:15" x14ac:dyDescent="0.25">
      <c r="A60" s="31">
        <f t="shared" si="6"/>
        <v>44631.753472222248</v>
      </c>
      <c r="B60" s="37">
        <f t="shared" si="7"/>
        <v>44631.753472222248</v>
      </c>
      <c r="C60" s="271">
        <v>8.3333333333333329E-2</v>
      </c>
      <c r="D60" s="327"/>
      <c r="E60" s="37">
        <f t="shared" si="5"/>
        <v>44631.836805555584</v>
      </c>
      <c r="F60" s="601" t="s">
        <v>597</v>
      </c>
      <c r="G60" s="480"/>
      <c r="H60" s="481"/>
      <c r="I60" s="481"/>
      <c r="J60" s="481"/>
      <c r="K60" s="481"/>
      <c r="L60" s="479"/>
      <c r="M60" s="478"/>
    </row>
    <row r="61" spans="1:15" x14ac:dyDescent="0.25">
      <c r="A61" s="31">
        <f t="shared" si="6"/>
        <v>44631.836805555584</v>
      </c>
      <c r="B61" s="37">
        <f t="shared" si="7"/>
        <v>44631.836805555584</v>
      </c>
      <c r="C61" s="271">
        <v>3.125E-2</v>
      </c>
      <c r="D61" s="327" t="str">
        <f t="shared" si="0"/>
        <v/>
      </c>
      <c r="E61" s="37">
        <f t="shared" si="5"/>
        <v>44631.868055555584</v>
      </c>
      <c r="F61" s="601" t="s">
        <v>642</v>
      </c>
      <c r="G61" s="480"/>
      <c r="H61" s="481"/>
      <c r="I61" s="481"/>
      <c r="J61" s="481"/>
      <c r="K61" s="481">
        <v>1206.9000000000001</v>
      </c>
      <c r="L61" s="479">
        <f t="shared" si="4"/>
        <v>1206.9000000000001</v>
      </c>
      <c r="M61" s="478"/>
    </row>
    <row r="62" spans="1:15" x14ac:dyDescent="0.25">
      <c r="A62" s="31">
        <f t="shared" si="6"/>
        <v>44631.868055555584</v>
      </c>
      <c r="B62" s="37">
        <f t="shared" si="7"/>
        <v>44631.868055555584</v>
      </c>
      <c r="C62" s="170">
        <v>6.25E-2</v>
      </c>
      <c r="D62" s="327" t="str">
        <f t="shared" si="0"/>
        <v/>
      </c>
      <c r="E62" s="37">
        <f t="shared" si="5"/>
        <v>44631.930555555584</v>
      </c>
      <c r="F62" s="601" t="s">
        <v>647</v>
      </c>
      <c r="G62" s="480"/>
      <c r="H62" s="481"/>
      <c r="I62" s="481"/>
      <c r="J62" s="481"/>
      <c r="K62" s="481"/>
      <c r="L62" s="479"/>
      <c r="M62" s="478"/>
    </row>
    <row r="63" spans="1:15" x14ac:dyDescent="0.25">
      <c r="A63" s="31">
        <f t="shared" si="6"/>
        <v>44631.930555555584</v>
      </c>
      <c r="B63" s="37">
        <f t="shared" si="7"/>
        <v>44631.930555555584</v>
      </c>
      <c r="C63" s="170">
        <v>6.9444444444444434E-2</v>
      </c>
      <c r="D63" s="327" t="str">
        <f t="shared" si="0"/>
        <v/>
      </c>
      <c r="E63" s="37">
        <f t="shared" si="5"/>
        <v>44632.000000000029</v>
      </c>
      <c r="F63" s="601" t="s">
        <v>2550</v>
      </c>
      <c r="G63" s="480"/>
      <c r="H63" s="481"/>
      <c r="I63" s="481"/>
      <c r="J63" s="481"/>
      <c r="K63" s="481"/>
      <c r="L63" s="479"/>
      <c r="M63" s="478"/>
    </row>
    <row r="64" spans="1:15" s="267" customFormat="1" x14ac:dyDescent="0.25">
      <c r="A64" s="31">
        <f t="shared" si="6"/>
        <v>44632.000000000029</v>
      </c>
      <c r="B64" s="37">
        <f t="shared" si="7"/>
        <v>44632.000000000029</v>
      </c>
      <c r="C64" s="170">
        <v>2.0833333333333332E-2</v>
      </c>
      <c r="D64" s="327" t="str">
        <f t="shared" si="0"/>
        <v/>
      </c>
      <c r="E64" s="37">
        <f t="shared" si="5"/>
        <v>44632.020833333365</v>
      </c>
      <c r="F64" s="491" t="s">
        <v>649</v>
      </c>
      <c r="G64" s="483"/>
      <c r="H64" s="481"/>
      <c r="I64" s="481"/>
      <c r="J64" s="481"/>
      <c r="K64" s="481">
        <v>36.920694444444443</v>
      </c>
      <c r="L64" s="479">
        <f>SUM(H64:K64)</f>
        <v>36.920694444444443</v>
      </c>
      <c r="M64" s="478"/>
      <c r="N64" s="1096"/>
      <c r="O64" s="1096"/>
    </row>
    <row r="65" spans="1:15" x14ac:dyDescent="0.25">
      <c r="A65" s="31">
        <f t="shared" si="6"/>
        <v>44632.020833333365</v>
      </c>
      <c r="B65" s="37">
        <f t="shared" si="7"/>
        <v>44632.020833333365</v>
      </c>
      <c r="C65" s="170">
        <v>0</v>
      </c>
      <c r="D65" s="327"/>
      <c r="E65" s="37">
        <f t="shared" si="5"/>
        <v>44632.020833333365</v>
      </c>
      <c r="F65" s="602" t="s">
        <v>650</v>
      </c>
      <c r="G65" s="480"/>
      <c r="H65" s="481"/>
      <c r="I65" s="481"/>
      <c r="J65" s="481"/>
      <c r="K65" s="481"/>
      <c r="L65" s="479"/>
      <c r="M65" s="478"/>
      <c r="N65" s="586"/>
      <c r="O65" s="587"/>
    </row>
    <row r="66" spans="1:15" x14ac:dyDescent="0.25">
      <c r="A66" s="31">
        <f t="shared" si="6"/>
        <v>44632.020833333365</v>
      </c>
      <c r="B66" s="37">
        <f t="shared" si="7"/>
        <v>44632.020833333365</v>
      </c>
      <c r="C66" s="170">
        <v>0.10416666666666667</v>
      </c>
      <c r="D66" s="327" t="str">
        <f t="shared" si="0"/>
        <v/>
      </c>
      <c r="E66" s="37">
        <f t="shared" si="5"/>
        <v>44632.125000000029</v>
      </c>
      <c r="F66" s="601" t="s">
        <v>647</v>
      </c>
      <c r="G66" s="480"/>
      <c r="H66" s="481"/>
      <c r="I66" s="481"/>
      <c r="J66" s="481"/>
      <c r="K66" s="481"/>
      <c r="L66" s="479"/>
      <c r="M66" s="478"/>
      <c r="N66" s="586"/>
      <c r="O66" s="587"/>
    </row>
    <row r="67" spans="1:15" x14ac:dyDescent="0.25">
      <c r="A67" s="31">
        <f t="shared" si="6"/>
        <v>44632.125000000029</v>
      </c>
      <c r="B67" s="37">
        <f t="shared" si="7"/>
        <v>44632.125000000029</v>
      </c>
      <c r="C67" s="170">
        <v>2.0833333333333332E-2</v>
      </c>
      <c r="D67" s="327" t="str">
        <f t="shared" si="0"/>
        <v/>
      </c>
      <c r="E67" s="37">
        <f t="shared" si="5"/>
        <v>44632.145833333365</v>
      </c>
      <c r="F67" s="601" t="s">
        <v>651</v>
      </c>
      <c r="G67" s="480"/>
      <c r="H67" s="481"/>
      <c r="I67" s="481"/>
      <c r="J67" s="481"/>
      <c r="K67" s="481">
        <v>100</v>
      </c>
      <c r="L67" s="479">
        <f t="shared" si="4"/>
        <v>100</v>
      </c>
      <c r="M67" s="478"/>
      <c r="N67" s="586"/>
      <c r="O67" s="587"/>
    </row>
    <row r="68" spans="1:15" x14ac:dyDescent="0.25">
      <c r="A68" s="31">
        <f t="shared" si="6"/>
        <v>44632.145833333365</v>
      </c>
      <c r="B68" s="37">
        <f t="shared" si="7"/>
        <v>44632.145833333365</v>
      </c>
      <c r="C68" s="170">
        <v>3.4722222222222224E-2</v>
      </c>
      <c r="D68" s="327" t="str">
        <f t="shared" si="0"/>
        <v/>
      </c>
      <c r="E68" s="37">
        <f t="shared" si="5"/>
        <v>44632.180555555584</v>
      </c>
      <c r="F68" s="584" t="s">
        <v>2551</v>
      </c>
      <c r="G68" s="480"/>
      <c r="H68" s="481"/>
      <c r="I68" s="481"/>
      <c r="J68" s="481"/>
      <c r="K68" s="481">
        <v>133.60631313131313</v>
      </c>
      <c r="L68" s="479">
        <f t="shared" si="4"/>
        <v>133.60631313131313</v>
      </c>
      <c r="M68" s="478"/>
    </row>
    <row r="69" spans="1:15" x14ac:dyDescent="0.25">
      <c r="A69" s="31">
        <f t="shared" si="6"/>
        <v>44632.180555555584</v>
      </c>
      <c r="B69" s="37">
        <f t="shared" si="7"/>
        <v>44632.180555555584</v>
      </c>
      <c r="C69" s="170">
        <v>0</v>
      </c>
      <c r="D69" s="327"/>
      <c r="E69" s="37">
        <f t="shared" si="5"/>
        <v>44632.180555555584</v>
      </c>
      <c r="F69" s="602" t="s">
        <v>2552</v>
      </c>
      <c r="G69" s="480"/>
      <c r="H69" s="481"/>
      <c r="I69" s="481"/>
      <c r="J69" s="481"/>
      <c r="K69" s="481"/>
      <c r="L69" s="479"/>
      <c r="M69" s="478"/>
    </row>
    <row r="70" spans="1:15" x14ac:dyDescent="0.25">
      <c r="A70" s="31">
        <f t="shared" si="6"/>
        <v>44632.180555555584</v>
      </c>
      <c r="B70" s="37">
        <f t="shared" si="7"/>
        <v>44632.180555555584</v>
      </c>
      <c r="C70" s="170">
        <v>3.4722222222222224E-2</v>
      </c>
      <c r="D70" s="327" t="str">
        <f t="shared" si="0"/>
        <v/>
      </c>
      <c r="E70" s="37">
        <f t="shared" si="5"/>
        <v>44632.215277777803</v>
      </c>
      <c r="F70" s="584" t="s">
        <v>2553</v>
      </c>
      <c r="G70" s="480"/>
      <c r="H70" s="481"/>
      <c r="I70" s="481"/>
      <c r="J70" s="481">
        <v>118.09456762749446</v>
      </c>
      <c r="K70" s="481"/>
      <c r="L70" s="479">
        <f t="shared" si="4"/>
        <v>118.09456762749446</v>
      </c>
      <c r="M70" s="478"/>
    </row>
    <row r="71" spans="1:15" x14ac:dyDescent="0.25">
      <c r="A71" s="31">
        <f t="shared" si="6"/>
        <v>44632.215277777803</v>
      </c>
      <c r="B71" s="37">
        <f>IF(D70 = "",B70+C70,B70+D70)</f>
        <v>44632.215277777803</v>
      </c>
      <c r="C71" s="170">
        <v>0.10416666666666667</v>
      </c>
      <c r="D71" s="327" t="str">
        <f t="shared" si="0"/>
        <v/>
      </c>
      <c r="E71" s="37">
        <f t="shared" si="5"/>
        <v>44632.319444444467</v>
      </c>
      <c r="F71" s="601" t="s">
        <v>656</v>
      </c>
      <c r="G71" s="480"/>
      <c r="H71" s="481"/>
      <c r="I71" s="481"/>
      <c r="J71" s="481"/>
      <c r="K71" s="481"/>
      <c r="L71" s="479"/>
      <c r="M71" s="478"/>
      <c r="O71" s="530"/>
    </row>
    <row r="72" spans="1:15" s="880" customFormat="1" x14ac:dyDescent="0.25">
      <c r="A72" s="706">
        <f t="shared" si="6"/>
        <v>44632.319444444467</v>
      </c>
      <c r="B72" s="685">
        <f>IF(D71 = "",B71+C71,B71+D71)</f>
        <v>44632.319444444467</v>
      </c>
      <c r="C72" s="327">
        <v>2.0416666666666665</v>
      </c>
      <c r="D72" s="327"/>
      <c r="E72" s="685">
        <f t="shared" si="5"/>
        <v>44634.361111111131</v>
      </c>
      <c r="F72" s="878" t="s">
        <v>693</v>
      </c>
      <c r="G72" s="881"/>
      <c r="H72" s="882"/>
      <c r="I72" s="882"/>
      <c r="J72" s="882"/>
      <c r="K72" s="882"/>
      <c r="L72" s="883"/>
      <c r="M72" s="879"/>
      <c r="O72" s="884"/>
    </row>
    <row r="73" spans="1:15" s="267" customFormat="1" ht="11.9" customHeight="1" x14ac:dyDescent="0.25">
      <c r="A73" s="280" t="s">
        <v>664</v>
      </c>
      <c r="B73" s="280"/>
      <c r="C73" s="280"/>
      <c r="D73" s="280"/>
      <c r="E73" s="280"/>
      <c r="F73" s="280"/>
      <c r="G73" s="775"/>
      <c r="H73" s="776"/>
      <c r="I73" s="776"/>
      <c r="J73" s="776"/>
      <c r="K73" s="776"/>
      <c r="L73" s="776"/>
      <c r="M73" s="342"/>
    </row>
    <row r="74" spans="1:15" s="267" customFormat="1" hidden="1" x14ac:dyDescent="0.25">
      <c r="A74" s="31">
        <f>E70</f>
        <v>44632.215277777803</v>
      </c>
      <c r="B74" s="37">
        <f>A74</f>
        <v>44632.215277777803</v>
      </c>
      <c r="C74" s="354">
        <v>0</v>
      </c>
      <c r="D74" s="327" t="str">
        <f t="shared" si="0"/>
        <v/>
      </c>
      <c r="E74" s="37">
        <f t="shared" ref="E74" si="8">B74+C74</f>
        <v>44632.215277777803</v>
      </c>
      <c r="F74" s="491" t="s">
        <v>665</v>
      </c>
      <c r="G74" s="476"/>
      <c r="H74" s="476"/>
      <c r="I74" s="476"/>
      <c r="J74" s="476"/>
      <c r="K74" s="476"/>
      <c r="L74" s="476"/>
      <c r="M74" s="476"/>
      <c r="N74" s="25"/>
      <c r="O74" s="25"/>
    </row>
    <row r="75" spans="1:15" s="712" customFormat="1" x14ac:dyDescent="0.25">
      <c r="A75" s="31">
        <f>IF(D72 = "",A72+C72,A72+D72)</f>
        <v>44634.361111111131</v>
      </c>
      <c r="B75" s="37">
        <f>IF(D72 = "",B72+C72,B72+D72)</f>
        <v>44634.361111111131</v>
      </c>
      <c r="C75" s="683">
        <v>0.125</v>
      </c>
      <c r="D75" s="683" t="s">
        <v>99</v>
      </c>
      <c r="E75" s="37">
        <f>B75+C75</f>
        <v>44634.486111111131</v>
      </c>
      <c r="F75" s="569" t="s">
        <v>666</v>
      </c>
      <c r="G75" s="568"/>
      <c r="H75" s="568"/>
      <c r="I75" s="568"/>
      <c r="J75" s="568"/>
      <c r="K75" s="568"/>
      <c r="L75" s="568"/>
      <c r="M75" s="568"/>
      <c r="N75" s="711"/>
      <c r="O75" s="711"/>
    </row>
    <row r="76" spans="1:15" x14ac:dyDescent="0.25">
      <c r="A76" s="485"/>
      <c r="B76" s="33" t="s">
        <v>534</v>
      </c>
      <c r="C76" s="32">
        <f>SUM(C54:C71,C14:C39,C41:C48)</f>
        <v>3.6458333333333344</v>
      </c>
      <c r="D76" s="32">
        <f>SUM(D54:D71,D14:D39,D41:D48,D74:D75)</f>
        <v>0</v>
      </c>
      <c r="G76" s="274" t="s">
        <v>607</v>
      </c>
      <c r="H76" s="287">
        <f t="shared" ref="H76:M76" si="9">SUM(H54:H71,H41:H48,H14:H39)</f>
        <v>510</v>
      </c>
      <c r="I76" s="287">
        <f t="shared" si="9"/>
        <v>1071.6359978316327</v>
      </c>
      <c r="J76" s="287">
        <f t="shared" si="9"/>
        <v>1970.3299999999997</v>
      </c>
      <c r="K76" s="287">
        <f t="shared" si="9"/>
        <v>5153.7401704545455</v>
      </c>
      <c r="L76" s="287">
        <f t="shared" si="9"/>
        <v>8195.7061682861786</v>
      </c>
      <c r="M76" s="527">
        <f t="shared" si="9"/>
        <v>510</v>
      </c>
    </row>
    <row r="77" spans="1:15" x14ac:dyDescent="0.25">
      <c r="B77" s="31" t="s">
        <v>536</v>
      </c>
      <c r="C77" s="112">
        <f>(C76/24)</f>
        <v>0.15190972222222227</v>
      </c>
      <c r="D77" s="112">
        <f>(D76/24)</f>
        <v>0</v>
      </c>
      <c r="G77" s="26"/>
      <c r="H77" s="26"/>
      <c r="I77" s="26"/>
      <c r="J77" s="26"/>
    </row>
    <row r="78" spans="1:15" x14ac:dyDescent="0.25">
      <c r="C78" s="262"/>
      <c r="D78" s="262"/>
      <c r="G78" s="26"/>
      <c r="H78" s="26"/>
      <c r="I78" s="26"/>
      <c r="J78" s="26"/>
    </row>
    <row r="79" spans="1:15" x14ac:dyDescent="0.25">
      <c r="G79" s="26"/>
      <c r="H79" s="26"/>
      <c r="I79" s="26"/>
      <c r="J79" s="26"/>
    </row>
    <row r="80" spans="1:15" x14ac:dyDescent="0.25">
      <c r="G80" s="26"/>
      <c r="H80" s="26"/>
      <c r="I80" s="26"/>
      <c r="J80" s="26"/>
    </row>
    <row r="81" spans="7:10" x14ac:dyDescent="0.25">
      <c r="G81" s="26"/>
      <c r="H81" s="26"/>
      <c r="I81" s="26"/>
      <c r="J81" s="26"/>
    </row>
    <row r="82" spans="7:10" x14ac:dyDescent="0.25">
      <c r="G82" s="26"/>
      <c r="H82" s="26"/>
      <c r="I82" s="26"/>
      <c r="J82" s="26"/>
    </row>
    <row r="83" spans="7:10" x14ac:dyDescent="0.25">
      <c r="G83" s="26"/>
      <c r="H83" s="26"/>
      <c r="I83" s="26"/>
      <c r="J83" s="26"/>
    </row>
    <row r="84" spans="7:10" x14ac:dyDescent="0.25">
      <c r="G84" s="26"/>
      <c r="H84" s="26"/>
      <c r="I84" s="26"/>
      <c r="J84" s="26"/>
    </row>
    <row r="85" spans="7:10" x14ac:dyDescent="0.25">
      <c r="G85" s="26"/>
      <c r="H85" s="26"/>
      <c r="I85" s="26"/>
      <c r="J85" s="26"/>
    </row>
    <row r="86" spans="7:10" x14ac:dyDescent="0.25">
      <c r="G86" s="26"/>
      <c r="H86" s="26"/>
      <c r="I86" s="26"/>
      <c r="J86" s="26"/>
    </row>
    <row r="87" spans="7:10" x14ac:dyDescent="0.25">
      <c r="G87" s="26"/>
      <c r="H87" s="26"/>
      <c r="I87" s="26"/>
      <c r="J87" s="26"/>
    </row>
    <row r="88" spans="7:10" x14ac:dyDescent="0.25">
      <c r="G88" s="26"/>
      <c r="H88" s="26"/>
      <c r="I88" s="26"/>
      <c r="J88" s="26"/>
    </row>
    <row r="89" spans="7:10" x14ac:dyDescent="0.25">
      <c r="G89" s="26"/>
      <c r="H89" s="26"/>
      <c r="I89" s="26"/>
      <c r="J89" s="26"/>
    </row>
    <row r="90" spans="7:10" x14ac:dyDescent="0.25">
      <c r="G90" s="26"/>
      <c r="H90" s="26"/>
      <c r="I90" s="26"/>
      <c r="J90" s="26"/>
    </row>
    <row r="91" spans="7:10" x14ac:dyDescent="0.25">
      <c r="G91" s="26"/>
      <c r="H91" s="26"/>
      <c r="I91" s="26"/>
      <c r="J91" s="26"/>
    </row>
    <row r="92" spans="7:10" x14ac:dyDescent="0.25">
      <c r="G92" s="26"/>
      <c r="H92" s="26"/>
      <c r="I92" s="26"/>
      <c r="J92" s="26"/>
    </row>
    <row r="93" spans="7:10" x14ac:dyDescent="0.25">
      <c r="G93" s="26"/>
      <c r="H93" s="26"/>
      <c r="I93" s="26"/>
      <c r="J93" s="26"/>
    </row>
    <row r="94" spans="7:10" x14ac:dyDescent="0.25">
      <c r="G94" s="26"/>
      <c r="H94" s="26"/>
      <c r="I94" s="26"/>
      <c r="J94" s="26"/>
    </row>
    <row r="95" spans="7:10" x14ac:dyDescent="0.25">
      <c r="G95" s="26"/>
      <c r="H95" s="26"/>
      <c r="I95" s="26"/>
      <c r="J95" s="26"/>
    </row>
    <row r="96" spans="7:10" x14ac:dyDescent="0.25">
      <c r="G96" s="26"/>
      <c r="H96" s="26"/>
      <c r="I96" s="26"/>
      <c r="J96" s="26"/>
    </row>
    <row r="97" spans="6:10" x14ac:dyDescent="0.25">
      <c r="G97" s="26"/>
      <c r="H97" s="26"/>
      <c r="I97" s="26"/>
      <c r="J97" s="26"/>
    </row>
    <row r="98" spans="6:10" x14ac:dyDescent="0.25">
      <c r="F98" s="26"/>
    </row>
    <row r="99" spans="6:10" x14ac:dyDescent="0.25">
      <c r="F99" s="26"/>
    </row>
  </sheetData>
  <mergeCells count="7">
    <mergeCell ref="N64:O64"/>
    <mergeCell ref="A1:B1"/>
    <mergeCell ref="N14:O14"/>
    <mergeCell ref="N27:O27"/>
    <mergeCell ref="N32:O32"/>
    <mergeCell ref="N46:O46"/>
    <mergeCell ref="A51:G51"/>
  </mergeCells>
  <pageMargins left="0.75" right="0.75" top="1" bottom="1" header="0.5" footer="0.5"/>
  <pageSetup orientation="portrait" r:id="rId1"/>
  <headerFooter alignWithMargins="0">
    <oddFooter>&amp;R&amp;"Arial,Regular"&amp;08&amp;K7F7F7FAmgen Proprietary - Confidential   &amp;C&amp;"Calibri"&amp;11&amp;K000000&amp;"Arial,Regular"&amp;08&amp;K7F7F7FAmgen Proprietary - For Internal Use Only_x000D_&amp;1#&amp;"Calibri"&amp;10&amp;K000000 Non-Amgen</oddFooter>
    <evenFooter>&amp;R&amp;"Arial,Regular"&amp;08&amp;K7F7F7FAmgen Proprietary - Confidential   &amp;C&amp;"Arial,Regular"&amp;08&amp;K7F7F7FAmgen Proprietary - For Internal Use Only</evenFooter>
    <firstFooter>&amp;R&amp;"Arial,Regular"&amp;08&amp;K7F7F7FAmgen Proprietary - Confidential   &amp;C&amp;"Arial,Regular"&amp;08&amp;K7F7F7FAmgen Proprietary - For Internal Use Only</firstFooter>
  </headerFooter>
  <legacyDrawing r:id="rId2"/>
</worksheet>
</file>

<file path=xl/worksheets/sheet6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6DB702-3F7A-438B-86D8-26DF4A2477DE}">
  <sheetPr codeName="Sheet116">
    <pageSetUpPr autoPageBreaks="0"/>
  </sheetPr>
  <dimension ref="A1:O101"/>
  <sheetViews>
    <sheetView zoomScaleNormal="100" workbookViewId="0">
      <selection activeCell="C27" sqref="C27"/>
    </sheetView>
  </sheetViews>
  <sheetFormatPr defaultColWidth="23.453125" defaultRowHeight="11.5" x14ac:dyDescent="0.25"/>
  <cols>
    <col min="1" max="1" width="31.08984375" style="25" customWidth="1"/>
    <col min="2" max="2" width="35" style="25" customWidth="1"/>
    <col min="3" max="3" width="18.6328125" style="25" customWidth="1"/>
    <col min="4" max="4" width="18.453125" style="25" customWidth="1"/>
    <col min="5" max="5" width="15.453125" style="25" bestFit="1" customWidth="1"/>
    <col min="6" max="6" width="93.54296875" style="25" customWidth="1"/>
    <col min="7" max="8" width="5.453125" style="25" bestFit="1" customWidth="1"/>
    <col min="9" max="9" width="9.36328125" style="25" customWidth="1"/>
    <col min="10" max="10" width="5.54296875" style="25" bestFit="1" customWidth="1"/>
    <col min="11" max="11" width="6.54296875" style="25" customWidth="1"/>
    <col min="12" max="12" width="7" style="25" bestFit="1" customWidth="1"/>
    <col min="13" max="13" width="7.54296875" style="25" bestFit="1" customWidth="1"/>
    <col min="14" max="14" width="17.453125" style="25" bestFit="1" customWidth="1"/>
    <col min="15" max="15" width="5.54296875" style="25" bestFit="1" customWidth="1"/>
    <col min="16" max="16384" width="23.453125" style="25"/>
  </cols>
  <sheetData>
    <row r="1" spans="1:15" ht="12" thickBot="1" x14ac:dyDescent="0.3">
      <c r="A1" s="1064" t="s">
        <v>479</v>
      </c>
      <c r="B1" s="1065"/>
    </row>
    <row r="2" spans="1:15" x14ac:dyDescent="0.25">
      <c r="A2" s="43" t="s">
        <v>480</v>
      </c>
      <c r="B2" s="289">
        <v>44645.395833333336</v>
      </c>
    </row>
    <row r="3" spans="1:15" ht="12" thickBot="1" x14ac:dyDescent="0.3">
      <c r="A3" s="42" t="s">
        <v>482</v>
      </c>
      <c r="B3" s="290">
        <f>B2</f>
        <v>44645.395833333336</v>
      </c>
    </row>
    <row r="5" spans="1:15" x14ac:dyDescent="0.25">
      <c r="A5" s="328" t="s">
        <v>484</v>
      </c>
      <c r="B5" s="328"/>
      <c r="C5" s="328"/>
      <c r="D5" s="328"/>
    </row>
    <row r="6" spans="1:15" x14ac:dyDescent="0.25">
      <c r="A6" s="781" t="s">
        <v>485</v>
      </c>
      <c r="B6" s="781" t="s">
        <v>486</v>
      </c>
      <c r="C6" s="781" t="s">
        <v>487</v>
      </c>
      <c r="D6" s="781" t="s">
        <v>488</v>
      </c>
    </row>
    <row r="7" spans="1:15" x14ac:dyDescent="0.25">
      <c r="A7" s="41" t="str">
        <f>F36</f>
        <v xml:space="preserve">   Sample for drug substance analysis (PR-024 in Methanol)</v>
      </c>
      <c r="B7" s="40">
        <f>INDEX($A$14:$A$90,MATCH(A7,$F$14:$F$90,0))</f>
        <v>44649.201388888898</v>
      </c>
      <c r="C7" s="37">
        <f>INDEX($B$14:$B$90,MATCH(A7,$F$14:$F$90,0))</f>
        <v>44649.201388888898</v>
      </c>
      <c r="D7" s="297"/>
    </row>
    <row r="8" spans="1:15" x14ac:dyDescent="0.25">
      <c r="A8" s="41" t="str">
        <f>F48</f>
        <v xml:space="preserve">   Sample for Residual Solvent Methanol (Ethyl Acetate)</v>
      </c>
      <c r="B8" s="40">
        <f>INDEX($A$14:$A$90,MATCH(A8,$F$14:$F$90,0))</f>
        <v>44649.892361111131</v>
      </c>
      <c r="C8" s="37">
        <f>INDEX($B$14:$B$90,MATCH(A8,$F$14:$F$90,0))</f>
        <v>44649.892361111131</v>
      </c>
      <c r="D8" s="297"/>
      <c r="E8" s="901" t="s">
        <v>2662</v>
      </c>
    </row>
    <row r="9" spans="1:15" x14ac:dyDescent="0.25">
      <c r="A9" s="41" t="str">
        <f>F68</f>
        <v xml:space="preserve">   FD Sample for drug substance analysis (PR-024 in Methanol)</v>
      </c>
      <c r="B9" s="40">
        <f>INDEX($A$14:$A$90,MATCH(A9,$F$14:$F$90,0))</f>
        <v>44651.406250000029</v>
      </c>
      <c r="C9" s="37">
        <f>INDEX($B$14:$B$90,MATCH(A9,$F$14:$F$90,0))</f>
        <v>44651.406250000029</v>
      </c>
      <c r="D9" s="371"/>
    </row>
    <row r="10" spans="1:15" x14ac:dyDescent="0.25">
      <c r="A10" s="41" t="str">
        <f>F77</f>
        <v xml:space="preserve">   Sampling of Residual Solvent (Acetone in Ethyl Acetate)</v>
      </c>
      <c r="B10" s="40">
        <f>E77</f>
        <v>44651.850694444467</v>
      </c>
      <c r="C10" s="919" t="s">
        <v>693</v>
      </c>
      <c r="D10" s="371"/>
      <c r="E10" s="901" t="s">
        <v>2660</v>
      </c>
    </row>
    <row r="12" spans="1:15" ht="30.65" customHeight="1" x14ac:dyDescent="0.25">
      <c r="A12" s="749" t="s">
        <v>492</v>
      </c>
      <c r="B12" s="749" t="s">
        <v>576</v>
      </c>
      <c r="C12" s="749" t="s">
        <v>494</v>
      </c>
      <c r="D12" s="749" t="s">
        <v>495</v>
      </c>
      <c r="E12" s="749" t="s">
        <v>560</v>
      </c>
      <c r="F12" s="749" t="s">
        <v>541</v>
      </c>
      <c r="G12" s="749" t="s">
        <v>498</v>
      </c>
      <c r="H12" s="781" t="s">
        <v>92</v>
      </c>
      <c r="I12" s="781" t="s">
        <v>96</v>
      </c>
      <c r="J12" s="781" t="s">
        <v>577</v>
      </c>
      <c r="K12" s="781" t="s">
        <v>500</v>
      </c>
      <c r="L12" s="278" t="s">
        <v>108</v>
      </c>
      <c r="M12" s="278" t="s">
        <v>114</v>
      </c>
    </row>
    <row r="13" spans="1:15" x14ac:dyDescent="0.25">
      <c r="A13" s="279" t="s">
        <v>578</v>
      </c>
      <c r="B13" s="279"/>
      <c r="C13" s="279"/>
      <c r="D13" s="279"/>
      <c r="E13" s="279"/>
      <c r="F13" s="279"/>
      <c r="G13" s="279"/>
      <c r="H13" s="777"/>
      <c r="I13" s="777"/>
      <c r="J13" s="777"/>
      <c r="K13" s="777"/>
      <c r="L13" s="777"/>
      <c r="M13" s="777"/>
    </row>
    <row r="14" spans="1:15" x14ac:dyDescent="0.25">
      <c r="A14" s="31">
        <f>B2</f>
        <v>44645.395833333336</v>
      </c>
      <c r="B14" s="332">
        <f>B2</f>
        <v>44645.395833333336</v>
      </c>
      <c r="C14" s="170">
        <v>0</v>
      </c>
      <c r="D14" s="327" t="str">
        <f t="shared" ref="D14:D76" si="0">IF(_xlfn.ISFORMULA(E14)=TRUE,"",E14-B14)</f>
        <v/>
      </c>
      <c r="E14" s="37">
        <f>B14+C14</f>
        <v>44645.395833333336</v>
      </c>
      <c r="F14" s="584" t="s">
        <v>608</v>
      </c>
      <c r="G14" s="477"/>
      <c r="H14" s="585"/>
      <c r="I14" s="585"/>
      <c r="J14" s="585"/>
      <c r="K14" s="478">
        <v>126.26262626262626</v>
      </c>
      <c r="L14" s="479">
        <f>SUM(H14:K14)</f>
        <v>126.26262626262626</v>
      </c>
      <c r="M14" s="478"/>
      <c r="N14" s="1096"/>
      <c r="O14" s="1096"/>
    </row>
    <row r="15" spans="1:15" ht="12.75" customHeight="1" x14ac:dyDescent="0.25">
      <c r="A15" s="31">
        <f>IF(D14 = "",A14+C14,A14+D14)</f>
        <v>44645.395833333336</v>
      </c>
      <c r="B15" s="37">
        <f t="shared" ref="B15:B49" si="1">IF(D14 = "",B14+C14,B14+D14)</f>
        <v>44645.395833333336</v>
      </c>
      <c r="C15" s="170">
        <v>0</v>
      </c>
      <c r="D15" s="327"/>
      <c r="E15" s="37">
        <f t="shared" ref="E15:E52" si="2">B15+C15</f>
        <v>44645.395833333336</v>
      </c>
      <c r="F15" s="584" t="s">
        <v>610</v>
      </c>
      <c r="G15" s="480"/>
      <c r="H15" s="481"/>
      <c r="I15" s="481"/>
      <c r="J15" s="481">
        <v>110.86474501108647</v>
      </c>
      <c r="K15" s="481"/>
      <c r="L15" s="479">
        <f t="shared" ref="L15:L73" si="3">SUM(H15:K15)</f>
        <v>110.86474501108647</v>
      </c>
      <c r="M15" s="478"/>
      <c r="N15" s="586"/>
      <c r="O15" s="587"/>
    </row>
    <row r="16" spans="1:15" ht="12.75" customHeight="1" x14ac:dyDescent="0.25">
      <c r="A16" s="31">
        <f>IF(D15 = "",A15+C15,A15+D15)</f>
        <v>44645.395833333336</v>
      </c>
      <c r="B16" s="37">
        <f t="shared" si="1"/>
        <v>44645.395833333336</v>
      </c>
      <c r="C16" s="170">
        <v>0</v>
      </c>
      <c r="D16" s="327"/>
      <c r="E16" s="37">
        <f t="shared" si="2"/>
        <v>44645.395833333336</v>
      </c>
      <c r="F16" s="584" t="s">
        <v>612</v>
      </c>
      <c r="G16" s="480"/>
      <c r="H16" s="481"/>
      <c r="I16" s="481"/>
      <c r="J16" s="481">
        <v>150</v>
      </c>
      <c r="K16" s="481"/>
      <c r="L16" s="479">
        <f t="shared" si="3"/>
        <v>150</v>
      </c>
      <c r="M16" s="478"/>
      <c r="N16" s="586" t="s">
        <v>2536</v>
      </c>
      <c r="O16" s="587"/>
    </row>
    <row r="17" spans="1:15" ht="12.75" customHeight="1" x14ac:dyDescent="0.25">
      <c r="A17" s="31">
        <f t="shared" ref="A17:A49" si="4">IF(D16 = "",A16+C16,A16+D16)</f>
        <v>44645.395833333336</v>
      </c>
      <c r="B17" s="37">
        <f t="shared" si="1"/>
        <v>44645.395833333336</v>
      </c>
      <c r="C17" s="170">
        <v>0</v>
      </c>
      <c r="D17" s="327" t="str">
        <f t="shared" si="0"/>
        <v/>
      </c>
      <c r="E17" s="37">
        <f t="shared" si="2"/>
        <v>44645.395833333336</v>
      </c>
      <c r="F17" s="584" t="s">
        <v>2542</v>
      </c>
      <c r="G17" s="480"/>
      <c r="H17" s="481">
        <v>60</v>
      </c>
      <c r="I17" s="481"/>
      <c r="J17" s="481"/>
      <c r="K17" s="481"/>
      <c r="L17" s="479"/>
      <c r="M17" s="481">
        <v>60</v>
      </c>
      <c r="N17" s="586" t="s">
        <v>2536</v>
      </c>
      <c r="O17" s="587"/>
    </row>
    <row r="18" spans="1:15" ht="13.5" customHeight="1" x14ac:dyDescent="0.25">
      <c r="A18" s="31">
        <f t="shared" si="4"/>
        <v>44645.395833333336</v>
      </c>
      <c r="B18" s="37">
        <f t="shared" si="1"/>
        <v>44645.395833333336</v>
      </c>
      <c r="C18" s="170">
        <v>0</v>
      </c>
      <c r="D18" s="327"/>
      <c r="E18" s="37">
        <f t="shared" si="2"/>
        <v>44645.395833333336</v>
      </c>
      <c r="F18" s="584" t="s">
        <v>616</v>
      </c>
      <c r="G18" s="480"/>
      <c r="H18" s="481"/>
      <c r="I18" s="481">
        <v>30</v>
      </c>
      <c r="J18" s="481"/>
      <c r="K18" s="481"/>
      <c r="L18" s="479">
        <f t="shared" si="3"/>
        <v>30</v>
      </c>
      <c r="M18" s="478"/>
      <c r="N18" s="586" t="s">
        <v>2536</v>
      </c>
      <c r="O18" s="587"/>
    </row>
    <row r="19" spans="1:15" x14ac:dyDescent="0.25">
      <c r="A19" s="31">
        <f t="shared" si="4"/>
        <v>44645.395833333336</v>
      </c>
      <c r="B19" s="37">
        <f t="shared" si="1"/>
        <v>44645.395833333336</v>
      </c>
      <c r="C19" s="170">
        <v>0</v>
      </c>
      <c r="D19" s="327" t="str">
        <f t="shared" si="0"/>
        <v/>
      </c>
      <c r="E19" s="37">
        <f t="shared" si="2"/>
        <v>44645.395833333336</v>
      </c>
      <c r="F19" s="584" t="s">
        <v>618</v>
      </c>
      <c r="G19" s="480"/>
      <c r="H19" s="481"/>
      <c r="I19" s="481"/>
      <c r="J19" s="481">
        <v>30</v>
      </c>
      <c r="K19" s="481"/>
      <c r="L19" s="479">
        <f t="shared" si="3"/>
        <v>30</v>
      </c>
      <c r="M19" s="478"/>
      <c r="N19" s="586" t="s">
        <v>2536</v>
      </c>
    </row>
    <row r="20" spans="1:15" x14ac:dyDescent="0.25">
      <c r="A20" s="31">
        <f>IF(D19 = "",A19+C19,A19+D19)</f>
        <v>44645.395833333336</v>
      </c>
      <c r="B20" s="37">
        <f>IF(D19 = "",B19+C19,B19+D19)</f>
        <v>44645.395833333336</v>
      </c>
      <c r="C20" s="170">
        <v>1.3888888888888888E-2</v>
      </c>
      <c r="D20" s="327" t="str">
        <f t="shared" si="0"/>
        <v/>
      </c>
      <c r="E20" s="37">
        <f t="shared" si="2"/>
        <v>44645.409722222226</v>
      </c>
      <c r="F20" s="584" t="s">
        <v>619</v>
      </c>
      <c r="G20" s="480"/>
      <c r="H20" s="481"/>
      <c r="I20" s="481"/>
      <c r="J20" s="481"/>
      <c r="K20" s="481">
        <v>54.229797979797979</v>
      </c>
      <c r="L20" s="479">
        <f t="shared" si="3"/>
        <v>54.229797979797979</v>
      </c>
      <c r="M20" s="478"/>
    </row>
    <row r="21" spans="1:15" ht="13.5" customHeight="1" x14ac:dyDescent="0.25">
      <c r="A21" s="31">
        <f t="shared" si="4"/>
        <v>44645.409722222226</v>
      </c>
      <c r="B21" s="37">
        <f t="shared" si="1"/>
        <v>44645.409722222226</v>
      </c>
      <c r="C21" s="170">
        <v>3.125E-2</v>
      </c>
      <c r="D21" s="327" t="str">
        <f t="shared" si="0"/>
        <v/>
      </c>
      <c r="E21" s="37">
        <f t="shared" si="2"/>
        <v>44645.440972222226</v>
      </c>
      <c r="F21" s="584" t="s">
        <v>620</v>
      </c>
      <c r="G21" s="480"/>
      <c r="H21" s="481"/>
      <c r="I21" s="481">
        <v>501.63599783163266</v>
      </c>
      <c r="J21" s="481"/>
      <c r="K21" s="481"/>
      <c r="L21" s="479">
        <f t="shared" si="3"/>
        <v>501.63599783163266</v>
      </c>
      <c r="M21" s="478"/>
      <c r="N21" s="586"/>
      <c r="O21" s="587"/>
    </row>
    <row r="22" spans="1:15" ht="13.5" hidden="1" customHeight="1" x14ac:dyDescent="0.25">
      <c r="A22" s="604">
        <f t="shared" si="4"/>
        <v>44645.440972222226</v>
      </c>
      <c r="B22" s="605">
        <f t="shared" si="1"/>
        <v>44645.440972222226</v>
      </c>
      <c r="C22" s="562">
        <v>0</v>
      </c>
      <c r="D22" s="562"/>
      <c r="E22" s="605">
        <f t="shared" si="2"/>
        <v>44645.440972222226</v>
      </c>
      <c r="F22" s="606" t="s">
        <v>693</v>
      </c>
      <c r="G22" s="480"/>
      <c r="H22" s="481"/>
      <c r="I22" s="481"/>
      <c r="J22" s="481"/>
      <c r="K22" s="481"/>
      <c r="L22" s="588"/>
      <c r="M22" s="481"/>
    </row>
    <row r="23" spans="1:15" ht="13.5" customHeight="1" x14ac:dyDescent="0.25">
      <c r="A23" s="31">
        <f t="shared" si="4"/>
        <v>44645.440972222226</v>
      </c>
      <c r="B23" s="37">
        <f t="shared" si="1"/>
        <v>44645.440972222226</v>
      </c>
      <c r="C23" s="170">
        <v>0.4375</v>
      </c>
      <c r="D23" s="327"/>
      <c r="E23" s="37">
        <f t="shared" si="2"/>
        <v>44645.878472222226</v>
      </c>
      <c r="F23" s="584" t="s">
        <v>621</v>
      </c>
      <c r="G23" s="480"/>
      <c r="H23" s="481">
        <v>450</v>
      </c>
      <c r="I23" s="481"/>
      <c r="J23" s="481"/>
      <c r="K23" s="481"/>
      <c r="L23" s="588"/>
      <c r="M23" s="481">
        <v>450</v>
      </c>
    </row>
    <row r="24" spans="1:15" ht="13.5" hidden="1" customHeight="1" x14ac:dyDescent="0.25">
      <c r="A24" s="604">
        <f t="shared" si="4"/>
        <v>44645.878472222226</v>
      </c>
      <c r="B24" s="605">
        <f t="shared" si="1"/>
        <v>44645.878472222226</v>
      </c>
      <c r="C24" s="562">
        <v>0</v>
      </c>
      <c r="D24" s="562"/>
      <c r="E24" s="605">
        <f t="shared" si="2"/>
        <v>44645.878472222226</v>
      </c>
      <c r="F24" s="606" t="s">
        <v>693</v>
      </c>
      <c r="G24" s="480"/>
      <c r="H24" s="481"/>
      <c r="I24" s="481"/>
      <c r="J24" s="481"/>
      <c r="K24" s="481"/>
      <c r="L24" s="588"/>
      <c r="M24" s="481"/>
    </row>
    <row r="25" spans="1:15" x14ac:dyDescent="0.25">
      <c r="A25" s="31">
        <f t="shared" si="4"/>
        <v>44645.878472222226</v>
      </c>
      <c r="B25" s="37">
        <f t="shared" si="1"/>
        <v>44645.878472222226</v>
      </c>
      <c r="C25" s="170">
        <v>0.2638888888888889</v>
      </c>
      <c r="D25" s="327" t="str">
        <f t="shared" si="0"/>
        <v/>
      </c>
      <c r="E25" s="37">
        <f t="shared" si="2"/>
        <v>44646.142361111117</v>
      </c>
      <c r="F25" s="584" t="s">
        <v>622</v>
      </c>
      <c r="G25" s="589"/>
      <c r="H25" s="481"/>
      <c r="I25" s="481">
        <v>270</v>
      </c>
      <c r="J25" s="481"/>
      <c r="K25" s="481"/>
      <c r="L25" s="479">
        <f t="shared" si="3"/>
        <v>270</v>
      </c>
      <c r="M25" s="478"/>
    </row>
    <row r="26" spans="1:15" hidden="1" x14ac:dyDescent="0.25">
      <c r="A26" s="410">
        <f t="shared" si="4"/>
        <v>44646.142361111117</v>
      </c>
      <c r="B26" s="329">
        <f t="shared" si="1"/>
        <v>44646.142361111117</v>
      </c>
      <c r="C26" s="905">
        <v>0</v>
      </c>
      <c r="D26" s="905" t="str">
        <f t="shared" si="0"/>
        <v/>
      </c>
      <c r="E26" s="37">
        <f t="shared" si="2"/>
        <v>44646.142361111117</v>
      </c>
      <c r="F26" s="906" t="s">
        <v>2543</v>
      </c>
      <c r="G26" s="907"/>
      <c r="H26" s="908"/>
      <c r="I26" s="908"/>
      <c r="J26" s="908"/>
      <c r="K26" s="908"/>
      <c r="L26" s="909"/>
      <c r="M26" s="910"/>
    </row>
    <row r="27" spans="1:15" x14ac:dyDescent="0.25">
      <c r="A27" s="912">
        <f t="shared" si="4"/>
        <v>44646.142361111117</v>
      </c>
      <c r="B27" s="913">
        <f t="shared" si="1"/>
        <v>44646.142361111117</v>
      </c>
      <c r="C27" s="914">
        <v>2.2118055555555558</v>
      </c>
      <c r="D27" s="914"/>
      <c r="E27" s="911">
        <f t="shared" si="2"/>
        <v>44648.354166666672</v>
      </c>
      <c r="F27" s="915" t="s">
        <v>693</v>
      </c>
      <c r="G27" s="916"/>
      <c r="H27" s="917"/>
      <c r="I27" s="917"/>
      <c r="J27" s="917"/>
      <c r="K27" s="917"/>
      <c r="L27" s="918"/>
      <c r="M27" s="918"/>
    </row>
    <row r="28" spans="1:15" ht="12.65" customHeight="1" x14ac:dyDescent="0.25">
      <c r="A28" s="330">
        <f t="shared" si="4"/>
        <v>44648.354166666672</v>
      </c>
      <c r="B28" s="331">
        <f t="shared" si="1"/>
        <v>44648.354166666672</v>
      </c>
      <c r="C28" s="354">
        <v>0.2638888888888889</v>
      </c>
      <c r="D28" s="470"/>
      <c r="E28" s="37">
        <f t="shared" si="2"/>
        <v>44648.618055555562</v>
      </c>
      <c r="F28" s="595" t="s">
        <v>623</v>
      </c>
      <c r="G28" s="596"/>
      <c r="H28" s="597"/>
      <c r="I28" s="597">
        <v>270</v>
      </c>
      <c r="J28" s="597"/>
      <c r="K28" s="597"/>
      <c r="L28" s="598">
        <f t="shared" si="3"/>
        <v>270</v>
      </c>
      <c r="M28" s="599"/>
      <c r="N28" s="1096"/>
      <c r="O28" s="1096"/>
    </row>
    <row r="29" spans="1:15" ht="12.75" customHeight="1" x14ac:dyDescent="0.25">
      <c r="A29" s="31">
        <f t="shared" si="4"/>
        <v>44648.618055555562</v>
      </c>
      <c r="B29" s="37">
        <f>IF(D28 = "",B28+C28,B28+D28)</f>
        <v>44648.618055555562</v>
      </c>
      <c r="C29" s="170">
        <v>0.25694444444444448</v>
      </c>
      <c r="D29" s="327"/>
      <c r="E29" s="37">
        <f t="shared" si="2"/>
        <v>44648.875000000007</v>
      </c>
      <c r="F29" s="584" t="s">
        <v>625</v>
      </c>
      <c r="G29" s="589"/>
      <c r="H29" s="481"/>
      <c r="I29" s="481"/>
      <c r="J29" s="481"/>
      <c r="K29" s="481">
        <v>450</v>
      </c>
      <c r="L29" s="479">
        <f t="shared" si="3"/>
        <v>450</v>
      </c>
      <c r="M29" s="478"/>
      <c r="N29" s="586"/>
      <c r="O29" s="587"/>
    </row>
    <row r="30" spans="1:15" ht="12.75" customHeight="1" x14ac:dyDescent="0.25">
      <c r="A30" s="31">
        <f t="shared" si="4"/>
        <v>44648.875000000007</v>
      </c>
      <c r="B30" s="37">
        <f t="shared" si="1"/>
        <v>44648.875000000007</v>
      </c>
      <c r="C30" s="170">
        <v>6.25E-2</v>
      </c>
      <c r="D30" s="327">
        <v>0.10416666666666667</v>
      </c>
      <c r="E30" s="37">
        <f t="shared" si="2"/>
        <v>44648.937500000007</v>
      </c>
      <c r="F30" s="584" t="s">
        <v>589</v>
      </c>
      <c r="G30" s="589"/>
      <c r="H30" s="481"/>
      <c r="I30" s="481"/>
      <c r="J30" s="481"/>
      <c r="K30" s="481"/>
      <c r="L30" s="479"/>
      <c r="M30" s="478"/>
      <c r="N30" s="586"/>
      <c r="O30" s="587"/>
    </row>
    <row r="31" spans="1:15" ht="12.75" hidden="1" customHeight="1" x14ac:dyDescent="0.25">
      <c r="A31" s="31">
        <f t="shared" si="4"/>
        <v>44648.979166666672</v>
      </c>
      <c r="B31" s="37">
        <f t="shared" si="1"/>
        <v>44648.979166666672</v>
      </c>
      <c r="C31" s="562">
        <v>0</v>
      </c>
      <c r="D31" s="562"/>
      <c r="E31" s="37">
        <f t="shared" si="2"/>
        <v>44648.979166666672</v>
      </c>
      <c r="F31" s="606" t="s">
        <v>2544</v>
      </c>
      <c r="G31" s="480"/>
      <c r="H31" s="481"/>
      <c r="I31" s="481"/>
      <c r="J31" s="481"/>
      <c r="K31" s="481"/>
      <c r="L31" s="479"/>
      <c r="M31" s="478"/>
      <c r="N31" s="586"/>
      <c r="O31" s="587"/>
    </row>
    <row r="32" spans="1:15" x14ac:dyDescent="0.25">
      <c r="A32" s="31">
        <f>IF(D30 = "",A30+C30,A30+D30)</f>
        <v>44648.979166666672</v>
      </c>
      <c r="B32" s="37">
        <f t="shared" si="1"/>
        <v>44648.979166666672</v>
      </c>
      <c r="C32" s="170">
        <v>8.3333333333333329E-2</v>
      </c>
      <c r="D32" s="327"/>
      <c r="E32" s="37">
        <f t="shared" si="2"/>
        <v>44649.062500000007</v>
      </c>
      <c r="F32" s="584" t="s">
        <v>627</v>
      </c>
      <c r="G32" s="480"/>
      <c r="H32" s="481"/>
      <c r="I32" s="481"/>
      <c r="J32" s="481"/>
      <c r="K32" s="481">
        <v>461.78450126262624</v>
      </c>
      <c r="L32" s="479">
        <f t="shared" si="3"/>
        <v>461.78450126262624</v>
      </c>
      <c r="M32" s="478"/>
    </row>
    <row r="33" spans="1:15" x14ac:dyDescent="0.25">
      <c r="A33" s="31">
        <f t="shared" si="4"/>
        <v>44649.062500000007</v>
      </c>
      <c r="B33" s="37">
        <f t="shared" si="1"/>
        <v>44649.062500000007</v>
      </c>
      <c r="C33" s="170">
        <v>8.3333333333333329E-2</v>
      </c>
      <c r="D33" s="327"/>
      <c r="E33" s="37">
        <f t="shared" si="2"/>
        <v>44649.145833333343</v>
      </c>
      <c r="F33" s="584" t="s">
        <v>589</v>
      </c>
      <c r="G33" s="480"/>
      <c r="H33" s="481"/>
      <c r="I33" s="481"/>
      <c r="J33" s="481"/>
      <c r="K33" s="481"/>
      <c r="L33" s="479"/>
      <c r="M33" s="478"/>
      <c r="N33" s="1096"/>
      <c r="O33" s="1096"/>
    </row>
    <row r="34" spans="1:15" x14ac:dyDescent="0.25">
      <c r="A34" s="31">
        <f t="shared" si="4"/>
        <v>44649.145833333343</v>
      </c>
      <c r="B34" s="37">
        <f t="shared" si="1"/>
        <v>44649.145833333343</v>
      </c>
      <c r="C34" s="170">
        <v>2.0833333333333332E-2</v>
      </c>
      <c r="D34" s="327"/>
      <c r="E34" s="37">
        <f t="shared" si="2"/>
        <v>44649.166666666679</v>
      </c>
      <c r="F34" s="584" t="s">
        <v>628</v>
      </c>
      <c r="G34" s="480"/>
      <c r="H34" s="481"/>
      <c r="I34" s="481"/>
      <c r="J34" s="481"/>
      <c r="K34" s="481"/>
      <c r="L34" s="479"/>
      <c r="M34" s="478"/>
      <c r="N34" s="586" t="s">
        <v>2536</v>
      </c>
      <c r="O34" s="587"/>
    </row>
    <row r="35" spans="1:15" x14ac:dyDescent="0.25">
      <c r="A35" s="31">
        <f t="shared" si="4"/>
        <v>44649.166666666679</v>
      </c>
      <c r="B35" s="37">
        <f t="shared" si="1"/>
        <v>44649.166666666679</v>
      </c>
      <c r="C35" s="170">
        <v>3.4722222222222224E-2</v>
      </c>
      <c r="D35" s="327" t="str">
        <f t="shared" si="0"/>
        <v/>
      </c>
      <c r="E35" s="37">
        <f t="shared" si="2"/>
        <v>44649.201388888898</v>
      </c>
      <c r="F35" s="584" t="s">
        <v>2463</v>
      </c>
      <c r="G35" s="480"/>
      <c r="H35" s="481"/>
      <c r="I35" s="481"/>
      <c r="J35" s="481"/>
      <c r="K35" s="481">
        <v>48.729924242424239</v>
      </c>
      <c r="L35" s="479">
        <f t="shared" si="3"/>
        <v>48.729924242424239</v>
      </c>
      <c r="M35" s="478"/>
      <c r="N35" s="586"/>
      <c r="O35" s="587"/>
    </row>
    <row r="36" spans="1:15" x14ac:dyDescent="0.25">
      <c r="A36" s="31">
        <f t="shared" si="4"/>
        <v>44649.201388888898</v>
      </c>
      <c r="B36" s="37">
        <f t="shared" si="1"/>
        <v>44649.201388888898</v>
      </c>
      <c r="C36" s="170">
        <v>0</v>
      </c>
      <c r="D36" s="327"/>
      <c r="E36" s="37">
        <f t="shared" si="2"/>
        <v>44649.201388888898</v>
      </c>
      <c r="F36" s="600" t="s">
        <v>631</v>
      </c>
      <c r="G36" s="480"/>
      <c r="H36" s="481"/>
      <c r="I36" s="481"/>
      <c r="J36" s="481"/>
      <c r="K36" s="481"/>
      <c r="L36" s="479"/>
      <c r="M36" s="478"/>
      <c r="N36" s="586" t="s">
        <v>2536</v>
      </c>
      <c r="O36" s="587"/>
    </row>
    <row r="37" spans="1:15" x14ac:dyDescent="0.25">
      <c r="A37" s="31">
        <f t="shared" si="4"/>
        <v>44649.201388888898</v>
      </c>
      <c r="B37" s="37">
        <f t="shared" si="1"/>
        <v>44649.201388888898</v>
      </c>
      <c r="C37" s="170">
        <v>1.3888888888888888E-2</v>
      </c>
      <c r="D37" s="327"/>
      <c r="E37" s="37">
        <f t="shared" si="2"/>
        <v>44649.215277777788</v>
      </c>
      <c r="F37" s="584" t="s">
        <v>2545</v>
      </c>
      <c r="G37" s="480"/>
      <c r="H37" s="481"/>
      <c r="I37" s="481"/>
      <c r="J37" s="481"/>
      <c r="K37" s="481"/>
      <c r="L37" s="479"/>
      <c r="M37" s="478"/>
      <c r="N37" s="586"/>
      <c r="O37" s="587"/>
    </row>
    <row r="38" spans="1:15" x14ac:dyDescent="0.25">
      <c r="A38" s="31">
        <f t="shared" si="4"/>
        <v>44649.215277777788</v>
      </c>
      <c r="B38" s="37">
        <f t="shared" si="1"/>
        <v>44649.215277777788</v>
      </c>
      <c r="C38" s="170">
        <v>1.3888888888888888E-2</v>
      </c>
      <c r="D38" s="327"/>
      <c r="E38" s="37">
        <f t="shared" si="2"/>
        <v>44649.229166666679</v>
      </c>
      <c r="F38" s="584" t="s">
        <v>2463</v>
      </c>
      <c r="G38" s="480"/>
      <c r="H38" s="481"/>
      <c r="I38" s="481"/>
      <c r="J38" s="481"/>
      <c r="K38" s="481"/>
      <c r="L38" s="479"/>
      <c r="M38" s="478"/>
      <c r="N38" s="586"/>
      <c r="O38" s="587"/>
    </row>
    <row r="39" spans="1:15" x14ac:dyDescent="0.25">
      <c r="A39" s="31">
        <f t="shared" si="4"/>
        <v>44649.229166666679</v>
      </c>
      <c r="B39" s="37">
        <f t="shared" si="1"/>
        <v>44649.229166666679</v>
      </c>
      <c r="C39" s="170">
        <v>1.3888888888888888E-2</v>
      </c>
      <c r="D39" s="327"/>
      <c r="E39" s="37">
        <f t="shared" si="2"/>
        <v>44649.243055555569</v>
      </c>
      <c r="F39" s="600" t="s">
        <v>2546</v>
      </c>
      <c r="G39" s="480"/>
      <c r="H39" s="481"/>
      <c r="I39" s="481"/>
      <c r="J39" s="481"/>
      <c r="K39" s="481"/>
      <c r="L39" s="479"/>
      <c r="M39" s="478"/>
      <c r="N39" s="586" t="s">
        <v>2536</v>
      </c>
      <c r="O39" s="587"/>
    </row>
    <row r="40" spans="1:15" x14ac:dyDescent="0.25">
      <c r="A40" s="31">
        <f t="shared" si="4"/>
        <v>44649.243055555569</v>
      </c>
      <c r="B40" s="37">
        <f t="shared" si="1"/>
        <v>44649.243055555569</v>
      </c>
      <c r="C40" s="170">
        <v>0.11458333333333333</v>
      </c>
      <c r="D40" s="327"/>
      <c r="E40" s="37">
        <f t="shared" si="2"/>
        <v>44649.357638888905</v>
      </c>
      <c r="F40" s="601" t="s">
        <v>589</v>
      </c>
      <c r="G40" s="480"/>
      <c r="H40" s="481"/>
      <c r="I40" s="481"/>
      <c r="J40" s="481"/>
      <c r="K40" s="481"/>
      <c r="L40" s="479"/>
      <c r="M40" s="478"/>
    </row>
    <row r="41" spans="1:15" s="267" customFormat="1" ht="14.9" hidden="1" customHeight="1" x14ac:dyDescent="0.25">
      <c r="A41" s="31">
        <f t="shared" si="4"/>
        <v>44649.357638888905</v>
      </c>
      <c r="B41" s="37">
        <f t="shared" si="1"/>
        <v>44649.357638888905</v>
      </c>
      <c r="C41" s="280"/>
      <c r="D41" s="280"/>
      <c r="E41" s="37">
        <f t="shared" si="2"/>
        <v>44649.357638888905</v>
      </c>
      <c r="F41" s="280"/>
      <c r="G41" s="280"/>
      <c r="H41" s="284"/>
      <c r="I41" s="284"/>
      <c r="J41" s="284"/>
      <c r="K41" s="284"/>
      <c r="L41" s="285"/>
      <c r="M41" s="341"/>
    </row>
    <row r="42" spans="1:15" x14ac:dyDescent="0.25">
      <c r="A42" s="31">
        <f t="shared" si="4"/>
        <v>44649.357638888905</v>
      </c>
      <c r="B42" s="37">
        <f t="shared" si="1"/>
        <v>44649.357638888905</v>
      </c>
      <c r="C42" s="170">
        <v>1.3888888888888888E-2</v>
      </c>
      <c r="D42" s="327"/>
      <c r="E42" s="37">
        <f t="shared" si="2"/>
        <v>44649.371527777796</v>
      </c>
      <c r="F42" s="482" t="s">
        <v>632</v>
      </c>
      <c r="G42" s="480"/>
      <c r="H42" s="481"/>
      <c r="I42" s="481"/>
      <c r="J42" s="481">
        <v>53.22811529933481</v>
      </c>
      <c r="K42" s="481"/>
      <c r="L42" s="479">
        <f t="shared" si="3"/>
        <v>53.22811529933481</v>
      </c>
      <c r="M42" s="478"/>
    </row>
    <row r="43" spans="1:15" x14ac:dyDescent="0.25">
      <c r="A43" s="31">
        <f t="shared" si="4"/>
        <v>44649.371527777796</v>
      </c>
      <c r="B43" s="37">
        <f t="shared" si="1"/>
        <v>44649.371527777796</v>
      </c>
      <c r="C43" s="170">
        <v>0.125</v>
      </c>
      <c r="D43" s="327"/>
      <c r="E43" s="37">
        <f t="shared" si="2"/>
        <v>44649.496527777796</v>
      </c>
      <c r="F43" s="482" t="s">
        <v>633</v>
      </c>
      <c r="G43" s="480"/>
      <c r="H43" s="481"/>
      <c r="I43" s="481"/>
      <c r="J43" s="481">
        <v>402.40454545454548</v>
      </c>
      <c r="K43" s="481"/>
      <c r="L43" s="479">
        <f t="shared" si="3"/>
        <v>402.40454545454548</v>
      </c>
      <c r="M43" s="478"/>
    </row>
    <row r="44" spans="1:15" x14ac:dyDescent="0.25">
      <c r="A44" s="31">
        <f t="shared" si="4"/>
        <v>44649.496527777796</v>
      </c>
      <c r="B44" s="37">
        <f t="shared" si="1"/>
        <v>44649.496527777796</v>
      </c>
      <c r="C44" s="170">
        <v>0.125</v>
      </c>
      <c r="D44" s="327"/>
      <c r="E44" s="37">
        <f t="shared" si="2"/>
        <v>44649.621527777796</v>
      </c>
      <c r="F44" s="482" t="s">
        <v>634</v>
      </c>
      <c r="G44" s="480"/>
      <c r="H44" s="481"/>
      <c r="I44" s="481"/>
      <c r="J44" s="481">
        <v>401.28492239467846</v>
      </c>
      <c r="K44" s="481"/>
      <c r="L44" s="479">
        <f t="shared" si="3"/>
        <v>401.28492239467846</v>
      </c>
      <c r="M44" s="478"/>
    </row>
    <row r="45" spans="1:15" x14ac:dyDescent="0.25">
      <c r="A45" s="31">
        <f t="shared" si="4"/>
        <v>44649.621527777796</v>
      </c>
      <c r="B45" s="37">
        <f t="shared" si="1"/>
        <v>44649.621527777796</v>
      </c>
      <c r="C45" s="170">
        <v>0.125</v>
      </c>
      <c r="D45" s="327"/>
      <c r="E45" s="37">
        <f t="shared" si="2"/>
        <v>44649.746527777796</v>
      </c>
      <c r="F45" s="482" t="s">
        <v>635</v>
      </c>
      <c r="G45" s="480"/>
      <c r="H45" s="481"/>
      <c r="I45" s="481"/>
      <c r="J45" s="481">
        <v>401.58048780487803</v>
      </c>
      <c r="K45" s="481"/>
      <c r="L45" s="479">
        <f t="shared" si="3"/>
        <v>401.58048780487803</v>
      </c>
      <c r="M45" s="478"/>
    </row>
    <row r="46" spans="1:15" x14ac:dyDescent="0.25">
      <c r="A46" s="31">
        <f t="shared" si="4"/>
        <v>44649.746527777796</v>
      </c>
      <c r="B46" s="37">
        <f t="shared" si="1"/>
        <v>44649.746527777796</v>
      </c>
      <c r="C46" s="170">
        <v>0.125</v>
      </c>
      <c r="D46" s="327"/>
      <c r="E46" s="37">
        <f t="shared" si="2"/>
        <v>44649.871527777796</v>
      </c>
      <c r="F46" s="482" t="s">
        <v>636</v>
      </c>
      <c r="G46" s="480"/>
      <c r="H46" s="481"/>
      <c r="I46" s="481"/>
      <c r="J46" s="481">
        <v>302.87261640798226</v>
      </c>
      <c r="K46" s="481"/>
      <c r="L46" s="479">
        <f t="shared" si="3"/>
        <v>302.87261640798226</v>
      </c>
      <c r="M46" s="478"/>
      <c r="N46" s="586"/>
      <c r="O46" s="587"/>
    </row>
    <row r="47" spans="1:15" x14ac:dyDescent="0.25">
      <c r="A47" s="31">
        <f t="shared" si="4"/>
        <v>44649.871527777796</v>
      </c>
      <c r="B47" s="37">
        <f t="shared" si="1"/>
        <v>44649.871527777796</v>
      </c>
      <c r="C47" s="170">
        <v>2.0833333333333332E-2</v>
      </c>
      <c r="D47" s="327" t="str">
        <f t="shared" si="0"/>
        <v/>
      </c>
      <c r="E47" s="37">
        <f t="shared" si="2"/>
        <v>44649.892361111131</v>
      </c>
      <c r="F47" s="482" t="s">
        <v>2463</v>
      </c>
      <c r="G47" s="480"/>
      <c r="H47" s="481"/>
      <c r="I47" s="481"/>
      <c r="J47" s="481"/>
      <c r="K47" s="481"/>
      <c r="L47" s="479"/>
      <c r="M47" s="478"/>
      <c r="N47" s="1096"/>
      <c r="O47" s="1096"/>
    </row>
    <row r="48" spans="1:15" x14ac:dyDescent="0.25">
      <c r="A48" s="31">
        <f t="shared" si="4"/>
        <v>44649.892361111131</v>
      </c>
      <c r="B48" s="37">
        <f t="shared" si="1"/>
        <v>44649.892361111131</v>
      </c>
      <c r="C48" s="170">
        <v>0</v>
      </c>
      <c r="D48" s="327"/>
      <c r="E48" s="37">
        <f t="shared" si="2"/>
        <v>44649.892361111131</v>
      </c>
      <c r="F48" s="710" t="s">
        <v>638</v>
      </c>
      <c r="G48" s="480"/>
      <c r="H48" s="481"/>
      <c r="I48" s="481"/>
      <c r="J48" s="481"/>
      <c r="K48" s="481"/>
      <c r="L48" s="479"/>
      <c r="M48" s="478"/>
      <c r="N48" s="586" t="s">
        <v>2536</v>
      </c>
      <c r="O48" s="587"/>
    </row>
    <row r="49" spans="1:15" x14ac:dyDescent="0.25">
      <c r="A49" s="31">
        <f t="shared" si="4"/>
        <v>44649.892361111131</v>
      </c>
      <c r="B49" s="37">
        <f t="shared" si="1"/>
        <v>44649.892361111131</v>
      </c>
      <c r="C49" s="170">
        <v>6.5972222222222224E-2</v>
      </c>
      <c r="D49" s="327" t="str">
        <f t="shared" si="0"/>
        <v/>
      </c>
      <c r="E49" s="37">
        <f t="shared" si="2"/>
        <v>44649.95833333335</v>
      </c>
      <c r="F49" s="482" t="s">
        <v>639</v>
      </c>
      <c r="G49" s="480"/>
      <c r="H49" s="481"/>
      <c r="I49" s="481"/>
      <c r="J49" s="481"/>
      <c r="K49" s="481"/>
      <c r="L49" s="479"/>
      <c r="M49" s="478"/>
      <c r="N49" s="586"/>
      <c r="O49" s="587"/>
    </row>
    <row r="50" spans="1:15" x14ac:dyDescent="0.25">
      <c r="A50" s="912">
        <f t="shared" ref="A50" si="5">IF(D49 = "",A49+C49,A49+D49)</f>
        <v>44649.95833333335</v>
      </c>
      <c r="B50" s="913">
        <f t="shared" ref="B50" si="6">IF(D49 = "",B49+C49,B49+D49)</f>
        <v>44649.95833333335</v>
      </c>
      <c r="C50" s="914">
        <v>0.25</v>
      </c>
      <c r="D50" s="914"/>
      <c r="E50" s="911">
        <f t="shared" ref="E50" si="7">B50+C50</f>
        <v>44650.20833333335</v>
      </c>
      <c r="F50" s="915" t="s">
        <v>693</v>
      </c>
      <c r="G50" s="480"/>
      <c r="H50" s="481"/>
      <c r="I50" s="481"/>
      <c r="J50" s="481"/>
      <c r="K50" s="481"/>
      <c r="L50" s="479"/>
      <c r="M50" s="478"/>
      <c r="N50" s="586"/>
      <c r="O50" s="587"/>
    </row>
    <row r="51" spans="1:15" x14ac:dyDescent="0.25">
      <c r="A51" s="31">
        <f>IF(D49 = "",A49+C49,A49+D49)</f>
        <v>44649.95833333335</v>
      </c>
      <c r="B51" s="37">
        <f>IF(D49 = "",B49+C49,B49+D49)</f>
        <v>44649.95833333335</v>
      </c>
      <c r="C51" s="170">
        <v>1.3888888888888888E-2</v>
      </c>
      <c r="D51" s="327"/>
      <c r="E51" s="37">
        <f>B51+C51</f>
        <v>44649.972222222241</v>
      </c>
      <c r="F51" s="570" t="s">
        <v>2547</v>
      </c>
      <c r="G51" s="480"/>
      <c r="H51" s="481"/>
      <c r="I51" s="481"/>
      <c r="J51" s="481"/>
      <c r="K51" s="481"/>
      <c r="L51" s="479"/>
      <c r="M51" s="478"/>
      <c r="N51" s="586"/>
      <c r="O51" s="587"/>
    </row>
    <row r="52" spans="1:15" x14ac:dyDescent="0.25">
      <c r="A52" s="31">
        <f>IF(D51 = "",A51+C51,A51+D51)</f>
        <v>44649.972222222241</v>
      </c>
      <c r="B52" s="37">
        <f>IF(D51 = "",B51+C51,B51+D51)</f>
        <v>44649.972222222241</v>
      </c>
      <c r="C52" s="170">
        <v>1.3888888888888888E-2</v>
      </c>
      <c r="D52" s="327"/>
      <c r="E52" s="37">
        <f t="shared" si="2"/>
        <v>44649.986111111131</v>
      </c>
      <c r="F52" s="570" t="s">
        <v>2548</v>
      </c>
      <c r="G52" s="480"/>
      <c r="H52" s="481"/>
      <c r="I52" s="481"/>
      <c r="J52" s="481"/>
      <c r="K52" s="481"/>
      <c r="L52" s="479"/>
      <c r="M52" s="478"/>
      <c r="N52" s="586"/>
      <c r="O52" s="587"/>
    </row>
    <row r="53" spans="1:15" x14ac:dyDescent="0.25">
      <c r="A53" s="1070" t="s">
        <v>640</v>
      </c>
      <c r="B53" s="1070"/>
      <c r="C53" s="1070"/>
      <c r="D53" s="1070"/>
      <c r="E53" s="1070"/>
      <c r="F53" s="1070"/>
      <c r="G53" s="1071"/>
      <c r="H53" s="286"/>
      <c r="I53" s="286"/>
      <c r="J53" s="286"/>
      <c r="K53" s="286"/>
      <c r="L53" s="339"/>
      <c r="M53" s="286"/>
    </row>
    <row r="54" spans="1:15" x14ac:dyDescent="0.25">
      <c r="A54" s="31">
        <f>IF(D52 = "",A52+C52,A52+D52)</f>
        <v>44649.986111111131</v>
      </c>
      <c r="B54" s="37">
        <f>IF(D52 = "",B52+C52,B52+D52)</f>
        <v>44649.986111111131</v>
      </c>
      <c r="C54" s="170">
        <v>0</v>
      </c>
      <c r="D54" s="327"/>
      <c r="E54" s="37">
        <f>B54+C54</f>
        <v>44649.986111111131</v>
      </c>
      <c r="F54" s="570" t="s">
        <v>2547</v>
      </c>
      <c r="G54" s="480"/>
      <c r="H54" s="481"/>
      <c r="I54" s="481"/>
      <c r="J54" s="481"/>
      <c r="K54" s="481"/>
      <c r="L54" s="479"/>
      <c r="M54" s="478"/>
      <c r="N54" s="586"/>
      <c r="O54" s="587"/>
    </row>
    <row r="55" spans="1:15" x14ac:dyDescent="0.25">
      <c r="A55" s="31">
        <f>IF(D54 = "",A54+C54,A54+D54)</f>
        <v>44649.986111111131</v>
      </c>
      <c r="B55" s="37">
        <f>IF(D54 = "",B54+C54,B54+D54)</f>
        <v>44649.986111111131</v>
      </c>
      <c r="C55" s="170">
        <v>0</v>
      </c>
      <c r="D55" s="327"/>
      <c r="E55" s="37">
        <f t="shared" ref="E55:E74" si="8">B55+C55</f>
        <v>44649.986111111131</v>
      </c>
      <c r="F55" s="570" t="s">
        <v>2548</v>
      </c>
      <c r="G55" s="480"/>
      <c r="H55" s="481"/>
      <c r="I55" s="481"/>
      <c r="J55" s="481"/>
      <c r="K55" s="481"/>
      <c r="L55" s="479"/>
      <c r="M55" s="478"/>
      <c r="N55" s="586"/>
      <c r="O55" s="587"/>
    </row>
    <row r="56" spans="1:15" x14ac:dyDescent="0.25">
      <c r="A56" s="31">
        <f t="shared" ref="A56:A73" si="9">IF(D55 = "",A55+C55,A55+D55)</f>
        <v>44649.986111111131</v>
      </c>
      <c r="B56" s="37">
        <f t="shared" ref="B56:B73" si="10">IF(D55 = "",B55+C55,B55+D55)</f>
        <v>44649.986111111131</v>
      </c>
      <c r="C56" s="170">
        <v>1.0416666666666666E-2</v>
      </c>
      <c r="D56" s="327" t="str">
        <f t="shared" si="0"/>
        <v/>
      </c>
      <c r="E56" s="37">
        <f t="shared" si="8"/>
        <v>44649.996527777796</v>
      </c>
      <c r="F56" s="491" t="s">
        <v>2549</v>
      </c>
      <c r="G56" s="480"/>
      <c r="H56" s="481"/>
      <c r="I56" s="481"/>
      <c r="J56" s="481"/>
      <c r="K56" s="481">
        <v>133.60631313131313</v>
      </c>
      <c r="L56" s="479">
        <f t="shared" si="3"/>
        <v>133.60631313131313</v>
      </c>
      <c r="M56" s="478"/>
    </row>
    <row r="57" spans="1:15" x14ac:dyDescent="0.25">
      <c r="A57" s="31">
        <f t="shared" si="9"/>
        <v>44649.996527777796</v>
      </c>
      <c r="B57" s="37">
        <f t="shared" si="10"/>
        <v>44649.996527777796</v>
      </c>
      <c r="C57" s="170">
        <v>9.375E-2</v>
      </c>
      <c r="D57" s="327" t="str">
        <f t="shared" si="0"/>
        <v/>
      </c>
      <c r="E57" s="37">
        <f t="shared" si="8"/>
        <v>44650.090277777796</v>
      </c>
      <c r="F57" s="601" t="s">
        <v>642</v>
      </c>
      <c r="G57" s="480"/>
      <c r="H57" s="481"/>
      <c r="I57" s="481"/>
      <c r="J57" s="481"/>
      <c r="K57" s="481">
        <v>1621.7</v>
      </c>
      <c r="L57" s="479">
        <f t="shared" si="3"/>
        <v>1621.7</v>
      </c>
      <c r="M57" s="478"/>
    </row>
    <row r="58" spans="1:15" x14ac:dyDescent="0.25">
      <c r="A58" s="31">
        <f t="shared" si="9"/>
        <v>44650.090277777796</v>
      </c>
      <c r="B58" s="37">
        <f t="shared" si="10"/>
        <v>44650.090277777796</v>
      </c>
      <c r="C58" s="170">
        <v>0.1388888888888889</v>
      </c>
      <c r="D58" s="327">
        <v>0.6875</v>
      </c>
      <c r="E58" s="37">
        <f t="shared" si="8"/>
        <v>44650.229166666686</v>
      </c>
      <c r="F58" s="601" t="s">
        <v>643</v>
      </c>
      <c r="G58" s="480"/>
      <c r="H58" s="481"/>
      <c r="I58" s="481"/>
      <c r="J58" s="481"/>
      <c r="K58" s="481">
        <v>260</v>
      </c>
      <c r="L58" s="479">
        <f t="shared" si="3"/>
        <v>260</v>
      </c>
      <c r="M58" s="478"/>
    </row>
    <row r="59" spans="1:15" hidden="1" x14ac:dyDescent="0.25">
      <c r="A59" s="604">
        <f t="shared" si="9"/>
        <v>44650.777777777796</v>
      </c>
      <c r="B59" s="605">
        <f>IF(D58 = "",B58+C58,B58+D58)</f>
        <v>44650.777777777796</v>
      </c>
      <c r="C59" s="562">
        <v>0</v>
      </c>
      <c r="D59" s="562"/>
      <c r="E59" s="605">
        <f t="shared" si="8"/>
        <v>44650.777777777796</v>
      </c>
      <c r="F59" s="606" t="s">
        <v>693</v>
      </c>
      <c r="G59" s="796"/>
      <c r="H59" s="800"/>
      <c r="I59" s="800"/>
      <c r="J59" s="800"/>
      <c r="K59" s="800"/>
      <c r="L59" s="903"/>
      <c r="M59" s="806"/>
    </row>
    <row r="60" spans="1:15" x14ac:dyDescent="0.25">
      <c r="A60" s="31">
        <f>IF(D59 = "",A59+C59,A59+D59)</f>
        <v>44650.777777777796</v>
      </c>
      <c r="B60" s="37">
        <f>IF(D59 = "",B59+C59,B59+D59)</f>
        <v>44650.777777777796</v>
      </c>
      <c r="C60" s="170">
        <v>0.1388888888888889</v>
      </c>
      <c r="D60" s="327"/>
      <c r="E60" s="37">
        <f t="shared" si="8"/>
        <v>44650.916666666686</v>
      </c>
      <c r="F60" s="601" t="s">
        <v>645</v>
      </c>
      <c r="G60" s="480"/>
      <c r="H60" s="481"/>
      <c r="I60" s="481"/>
      <c r="J60" s="481"/>
      <c r="K60" s="481">
        <v>260</v>
      </c>
      <c r="L60" s="479">
        <f t="shared" si="3"/>
        <v>260</v>
      </c>
      <c r="M60" s="478"/>
    </row>
    <row r="61" spans="1:15" x14ac:dyDescent="0.25">
      <c r="A61" s="31">
        <f>IF(D60 = "",A60+C60,A60+D60)</f>
        <v>44650.916666666686</v>
      </c>
      <c r="B61" s="37">
        <f t="shared" si="10"/>
        <v>44650.916666666686</v>
      </c>
      <c r="C61" s="170">
        <v>0.1388888888888889</v>
      </c>
      <c r="D61" s="327" t="str">
        <f t="shared" si="0"/>
        <v/>
      </c>
      <c r="E61" s="37">
        <f t="shared" si="8"/>
        <v>44651.055555555577</v>
      </c>
      <c r="F61" s="601" t="s">
        <v>646</v>
      </c>
      <c r="G61" s="480"/>
      <c r="H61" s="481"/>
      <c r="I61" s="481"/>
      <c r="J61" s="481"/>
      <c r="K61" s="481">
        <v>260</v>
      </c>
      <c r="L61" s="479">
        <f t="shared" si="3"/>
        <v>260</v>
      </c>
      <c r="M61" s="478"/>
    </row>
    <row r="62" spans="1:15" x14ac:dyDescent="0.25">
      <c r="A62" s="31">
        <f>IF(D61 = "",A61+C61,A61+D61)</f>
        <v>44651.055555555577</v>
      </c>
      <c r="B62" s="37">
        <f>IF(D61 = "",B61+C61,B61+D61)</f>
        <v>44651.055555555577</v>
      </c>
      <c r="C62" s="271">
        <v>8.3333333333333329E-2</v>
      </c>
      <c r="D62" s="327" t="str">
        <f t="shared" si="0"/>
        <v/>
      </c>
      <c r="E62" s="37">
        <f t="shared" si="8"/>
        <v>44651.138888888912</v>
      </c>
      <c r="F62" s="601" t="s">
        <v>647</v>
      </c>
      <c r="G62" s="480"/>
      <c r="H62" s="481"/>
      <c r="I62" s="481" t="s">
        <v>2663</v>
      </c>
      <c r="J62" s="481"/>
      <c r="K62" s="481"/>
      <c r="L62" s="479"/>
      <c r="M62" s="478"/>
    </row>
    <row r="63" spans="1:15" x14ac:dyDescent="0.25">
      <c r="A63" s="31">
        <f t="shared" si="9"/>
        <v>44651.138888888912</v>
      </c>
      <c r="B63" s="37">
        <f t="shared" si="10"/>
        <v>44651.138888888912</v>
      </c>
      <c r="C63" s="271">
        <v>8.3333333333333329E-2</v>
      </c>
      <c r="D63" s="327"/>
      <c r="E63" s="37">
        <f t="shared" si="8"/>
        <v>44651.222222222248</v>
      </c>
      <c r="F63" s="601" t="s">
        <v>597</v>
      </c>
      <c r="G63" s="480"/>
      <c r="H63" s="481"/>
      <c r="I63" s="481"/>
      <c r="J63" s="481"/>
      <c r="K63" s="481"/>
      <c r="L63" s="479"/>
      <c r="M63" s="478"/>
      <c r="N63" s="586" t="s">
        <v>2536</v>
      </c>
    </row>
    <row r="64" spans="1:15" x14ac:dyDescent="0.25">
      <c r="A64" s="31">
        <f t="shared" si="9"/>
        <v>44651.222222222248</v>
      </c>
      <c r="B64" s="37">
        <f t="shared" si="10"/>
        <v>44651.222222222248</v>
      </c>
      <c r="C64" s="271">
        <v>3.125E-2</v>
      </c>
      <c r="D64" s="327" t="str">
        <f t="shared" si="0"/>
        <v/>
      </c>
      <c r="E64" s="37">
        <f t="shared" si="8"/>
        <v>44651.253472222248</v>
      </c>
      <c r="F64" s="601" t="s">
        <v>642</v>
      </c>
      <c r="G64" s="480"/>
      <c r="H64" s="481"/>
      <c r="I64" s="481"/>
      <c r="J64" s="481"/>
      <c r="K64" s="481">
        <v>1206.9000000000001</v>
      </c>
      <c r="L64" s="479">
        <f t="shared" si="3"/>
        <v>1206.9000000000001</v>
      </c>
      <c r="M64" s="478"/>
    </row>
    <row r="65" spans="1:15" x14ac:dyDescent="0.25">
      <c r="A65" s="31">
        <f t="shared" si="9"/>
        <v>44651.253472222248</v>
      </c>
      <c r="B65" s="37">
        <f t="shared" si="10"/>
        <v>44651.253472222248</v>
      </c>
      <c r="C65" s="170">
        <v>6.25E-2</v>
      </c>
      <c r="D65" s="327" t="str">
        <f t="shared" si="0"/>
        <v/>
      </c>
      <c r="E65" s="37">
        <f t="shared" si="8"/>
        <v>44651.315972222248</v>
      </c>
      <c r="F65" s="601" t="s">
        <v>647</v>
      </c>
      <c r="G65" s="480"/>
      <c r="H65" s="481"/>
      <c r="I65" s="481"/>
      <c r="J65" s="481"/>
      <c r="K65" s="481"/>
      <c r="L65" s="479"/>
      <c r="M65" s="478"/>
    </row>
    <row r="66" spans="1:15" x14ac:dyDescent="0.25">
      <c r="A66" s="31">
        <f t="shared" si="9"/>
        <v>44651.315972222248</v>
      </c>
      <c r="B66" s="37">
        <f t="shared" si="10"/>
        <v>44651.315972222248</v>
      </c>
      <c r="C66" s="170">
        <v>6.9444444444444434E-2</v>
      </c>
      <c r="D66" s="327" t="str">
        <f t="shared" si="0"/>
        <v/>
      </c>
      <c r="E66" s="37">
        <f t="shared" si="8"/>
        <v>44651.385416666693</v>
      </c>
      <c r="F66" s="601" t="s">
        <v>2550</v>
      </c>
      <c r="G66" s="480"/>
      <c r="H66" s="481"/>
      <c r="I66" s="481"/>
      <c r="J66" s="481"/>
      <c r="K66" s="481"/>
      <c r="L66" s="479"/>
      <c r="M66" s="478"/>
      <c r="N66" s="586" t="s">
        <v>2536</v>
      </c>
    </row>
    <row r="67" spans="1:15" s="267" customFormat="1" ht="12.75" customHeight="1" x14ac:dyDescent="0.25">
      <c r="A67" s="31">
        <f t="shared" si="9"/>
        <v>44651.385416666693</v>
      </c>
      <c r="B67" s="37">
        <f t="shared" si="10"/>
        <v>44651.385416666693</v>
      </c>
      <c r="C67" s="170">
        <v>2.0833333333333332E-2</v>
      </c>
      <c r="D67" s="327" t="str">
        <f t="shared" si="0"/>
        <v/>
      </c>
      <c r="E67" s="37">
        <f t="shared" si="8"/>
        <v>44651.406250000029</v>
      </c>
      <c r="F67" s="491" t="s">
        <v>649</v>
      </c>
      <c r="G67" s="483"/>
      <c r="H67" s="481"/>
      <c r="I67" s="481"/>
      <c r="J67" s="481"/>
      <c r="K67" s="481">
        <v>36.920694444444443</v>
      </c>
      <c r="L67" s="479">
        <f>SUM(H67:K67)</f>
        <v>36.920694444444443</v>
      </c>
      <c r="M67" s="478"/>
      <c r="N67" s="1096"/>
      <c r="O67" s="1096"/>
    </row>
    <row r="68" spans="1:15" x14ac:dyDescent="0.25">
      <c r="A68" s="31">
        <f t="shared" si="9"/>
        <v>44651.406250000029</v>
      </c>
      <c r="B68" s="37">
        <f t="shared" si="10"/>
        <v>44651.406250000029</v>
      </c>
      <c r="C68" s="170">
        <v>0</v>
      </c>
      <c r="D68" s="327"/>
      <c r="E68" s="37">
        <f t="shared" si="8"/>
        <v>44651.406250000029</v>
      </c>
      <c r="F68" s="920" t="s">
        <v>650</v>
      </c>
      <c r="G68" s="480"/>
      <c r="H68" s="481"/>
      <c r="I68" s="481"/>
      <c r="J68" s="481"/>
      <c r="K68" s="481"/>
      <c r="L68" s="479"/>
      <c r="M68" s="478"/>
      <c r="N68" s="586" t="s">
        <v>2536</v>
      </c>
      <c r="O68" s="587"/>
    </row>
    <row r="69" spans="1:15" x14ac:dyDescent="0.25">
      <c r="A69" s="31">
        <f t="shared" si="9"/>
        <v>44651.406250000029</v>
      </c>
      <c r="B69" s="37">
        <f t="shared" si="10"/>
        <v>44651.406250000029</v>
      </c>
      <c r="C69" s="170">
        <v>0.10416666666666667</v>
      </c>
      <c r="D69" s="327" t="str">
        <f t="shared" si="0"/>
        <v/>
      </c>
      <c r="E69" s="37">
        <f t="shared" si="8"/>
        <v>44651.510416666693</v>
      </c>
      <c r="F69" s="601" t="s">
        <v>647</v>
      </c>
      <c r="G69" s="480"/>
      <c r="H69" s="481"/>
      <c r="I69" s="481"/>
      <c r="J69" s="481"/>
      <c r="K69" s="481"/>
      <c r="L69" s="479"/>
      <c r="M69" s="478"/>
      <c r="N69" s="586"/>
      <c r="O69" s="587"/>
    </row>
    <row r="70" spans="1:15" x14ac:dyDescent="0.25">
      <c r="A70" s="31">
        <f t="shared" si="9"/>
        <v>44651.510416666693</v>
      </c>
      <c r="B70" s="37">
        <f t="shared" si="10"/>
        <v>44651.510416666693</v>
      </c>
      <c r="C70" s="170">
        <v>2.0833333333333332E-2</v>
      </c>
      <c r="D70" s="327" t="str">
        <f t="shared" si="0"/>
        <v/>
      </c>
      <c r="E70" s="37">
        <f t="shared" si="8"/>
        <v>44651.531250000029</v>
      </c>
      <c r="F70" s="601" t="s">
        <v>651</v>
      </c>
      <c r="G70" s="480"/>
      <c r="H70" s="481"/>
      <c r="I70" s="481"/>
      <c r="J70" s="481"/>
      <c r="K70" s="481">
        <v>100</v>
      </c>
      <c r="L70" s="479">
        <f t="shared" si="3"/>
        <v>100</v>
      </c>
      <c r="M70" s="478"/>
      <c r="N70" s="586"/>
      <c r="O70" s="587"/>
    </row>
    <row r="71" spans="1:15" x14ac:dyDescent="0.25">
      <c r="A71" s="31">
        <f t="shared" si="9"/>
        <v>44651.531250000029</v>
      </c>
      <c r="B71" s="37">
        <f t="shared" si="10"/>
        <v>44651.531250000029</v>
      </c>
      <c r="C71" s="170">
        <v>3.4722222222222224E-2</v>
      </c>
      <c r="D71" s="327" t="str">
        <f t="shared" si="0"/>
        <v/>
      </c>
      <c r="E71" s="37">
        <f t="shared" si="8"/>
        <v>44651.565972222248</v>
      </c>
      <c r="F71" s="584" t="s">
        <v>2551</v>
      </c>
      <c r="G71" s="480"/>
      <c r="H71" s="481"/>
      <c r="I71" s="481"/>
      <c r="J71" s="481"/>
      <c r="K71" s="481">
        <v>133.60631313131313</v>
      </c>
      <c r="L71" s="479">
        <f t="shared" si="3"/>
        <v>133.60631313131313</v>
      </c>
      <c r="M71" s="478"/>
    </row>
    <row r="72" spans="1:15" x14ac:dyDescent="0.25">
      <c r="A72" s="31">
        <f t="shared" si="9"/>
        <v>44651.565972222248</v>
      </c>
      <c r="B72" s="37">
        <f t="shared" si="10"/>
        <v>44651.565972222248</v>
      </c>
      <c r="C72" s="170">
        <v>0</v>
      </c>
      <c r="D72" s="327"/>
      <c r="E72" s="37">
        <f t="shared" si="8"/>
        <v>44651.565972222248</v>
      </c>
      <c r="F72" s="602" t="s">
        <v>2552</v>
      </c>
      <c r="G72" s="480"/>
      <c r="H72" s="481"/>
      <c r="I72" s="481"/>
      <c r="J72" s="481"/>
      <c r="K72" s="481"/>
      <c r="L72" s="479"/>
      <c r="M72" s="478"/>
      <c r="N72" s="586" t="s">
        <v>2536</v>
      </c>
    </row>
    <row r="73" spans="1:15" x14ac:dyDescent="0.25">
      <c r="A73" s="31">
        <f t="shared" si="9"/>
        <v>44651.565972222248</v>
      </c>
      <c r="B73" s="37">
        <f t="shared" si="10"/>
        <v>44651.565972222248</v>
      </c>
      <c r="C73" s="170">
        <v>3.4722222222222224E-2</v>
      </c>
      <c r="D73" s="327" t="str">
        <f t="shared" si="0"/>
        <v/>
      </c>
      <c r="E73" s="37">
        <f t="shared" si="8"/>
        <v>44651.600694444467</v>
      </c>
      <c r="F73" s="584" t="s">
        <v>2553</v>
      </c>
      <c r="G73" s="480"/>
      <c r="H73" s="481"/>
      <c r="I73" s="481"/>
      <c r="J73" s="481">
        <v>118.09456762749446</v>
      </c>
      <c r="K73" s="481"/>
      <c r="L73" s="479">
        <f t="shared" si="3"/>
        <v>118.09456762749446</v>
      </c>
      <c r="M73" s="478"/>
    </row>
    <row r="74" spans="1:15" x14ac:dyDescent="0.25">
      <c r="A74" s="31">
        <f>IF(D73 = "",A73+C73,A73+D73)</f>
        <v>44651.600694444467</v>
      </c>
      <c r="B74" s="37">
        <f>IF(D73 = "",B73+C73,B73+D73)</f>
        <v>44651.600694444467</v>
      </c>
      <c r="C74" s="170">
        <v>0.10416666666666667</v>
      </c>
      <c r="D74" s="327" t="str">
        <f t="shared" si="0"/>
        <v/>
      </c>
      <c r="E74" s="37">
        <f t="shared" si="8"/>
        <v>44651.704861111131</v>
      </c>
      <c r="F74" s="601" t="s">
        <v>656</v>
      </c>
      <c r="G74" s="480"/>
      <c r="H74" s="481"/>
      <c r="I74" s="481"/>
      <c r="J74" s="481"/>
      <c r="K74" s="481"/>
      <c r="L74" s="479"/>
      <c r="M74" s="478"/>
      <c r="O74" s="530"/>
    </row>
    <row r="75" spans="1:15" s="267" customFormat="1" ht="11.9" customHeight="1" x14ac:dyDescent="0.25">
      <c r="A75" s="280" t="s">
        <v>664</v>
      </c>
      <c r="B75" s="280"/>
      <c r="C75" s="280"/>
      <c r="D75" s="280"/>
      <c r="E75" s="280"/>
      <c r="F75" s="280"/>
      <c r="G75" s="775"/>
      <c r="H75" s="776"/>
      <c r="I75" s="776"/>
      <c r="J75" s="776"/>
      <c r="K75" s="776"/>
      <c r="L75" s="776"/>
      <c r="M75" s="342"/>
    </row>
    <row r="76" spans="1:15" s="267" customFormat="1" hidden="1" x14ac:dyDescent="0.25">
      <c r="A76" s="31">
        <f>E73</f>
        <v>44651.600694444467</v>
      </c>
      <c r="B76" s="37">
        <f>A76</f>
        <v>44651.600694444467</v>
      </c>
      <c r="C76" s="354">
        <v>0</v>
      </c>
      <c r="D76" s="327" t="str">
        <f t="shared" si="0"/>
        <v/>
      </c>
      <c r="E76" s="37">
        <f t="shared" ref="E76" si="11">B76+C76</f>
        <v>44651.600694444467</v>
      </c>
      <c r="F76" s="491" t="s">
        <v>665</v>
      </c>
      <c r="G76" s="476"/>
      <c r="H76" s="476"/>
      <c r="I76" s="476"/>
      <c r="J76" s="476"/>
      <c r="K76" s="476"/>
      <c r="L76" s="476"/>
      <c r="M76" s="476"/>
      <c r="N76" s="25"/>
      <c r="O76" s="25"/>
    </row>
    <row r="77" spans="1:15" s="712" customFormat="1" x14ac:dyDescent="0.25">
      <c r="A77" s="31">
        <f>IF(D74 = "",A74+C74,A74+D74)</f>
        <v>44651.704861111131</v>
      </c>
      <c r="B77" s="37">
        <f>IF(D74 = "",B74+C74,B74+D74)</f>
        <v>44651.704861111131</v>
      </c>
      <c r="C77" s="683">
        <v>0.14583333333333334</v>
      </c>
      <c r="D77" s="683" t="s">
        <v>99</v>
      </c>
      <c r="E77" s="37">
        <f>B77+C77</f>
        <v>44651.850694444467</v>
      </c>
      <c r="F77" s="921" t="s">
        <v>2664</v>
      </c>
      <c r="G77" s="568"/>
      <c r="H77" s="568"/>
      <c r="I77" s="568"/>
      <c r="J77" s="568"/>
      <c r="K77" s="568"/>
      <c r="L77" s="568"/>
      <c r="M77" s="568"/>
      <c r="N77" s="586" t="s">
        <v>2536</v>
      </c>
      <c r="O77" s="711"/>
    </row>
    <row r="78" spans="1:15" x14ac:dyDescent="0.25">
      <c r="A78" s="485"/>
      <c r="B78" s="33" t="s">
        <v>534</v>
      </c>
      <c r="C78" s="32">
        <f>SUM(C56:C74,C14:C40,C42:C49)</f>
        <v>5.6909722222222241</v>
      </c>
      <c r="D78" s="32">
        <f>SUM(D56:D74,D14:D40,D42:D49,D76:D77)</f>
        <v>0.79166666666666663</v>
      </c>
      <c r="G78" s="274" t="s">
        <v>607</v>
      </c>
      <c r="H78" s="287">
        <f t="shared" ref="H78:M78" si="12">SUM(H56:H74,H42:H49,H14:H40)</f>
        <v>510</v>
      </c>
      <c r="I78" s="287">
        <f t="shared" si="12"/>
        <v>1071.6359978316327</v>
      </c>
      <c r="J78" s="287">
        <f t="shared" si="12"/>
        <v>1970.3299999999997</v>
      </c>
      <c r="K78" s="287">
        <f t="shared" si="12"/>
        <v>5153.7401704545455</v>
      </c>
      <c r="L78" s="287">
        <f t="shared" si="12"/>
        <v>8195.7061682861786</v>
      </c>
      <c r="M78" s="527">
        <f t="shared" si="12"/>
        <v>510</v>
      </c>
    </row>
    <row r="79" spans="1:15" x14ac:dyDescent="0.25">
      <c r="B79" s="31" t="s">
        <v>536</v>
      </c>
      <c r="C79" s="112">
        <f>(C78/24)</f>
        <v>0.23712384259259267</v>
      </c>
      <c r="D79" s="112">
        <f>(D78/24)</f>
        <v>3.2986111111111112E-2</v>
      </c>
      <c r="G79" s="26"/>
      <c r="H79" s="26"/>
      <c r="I79" s="26"/>
      <c r="J79" s="26"/>
    </row>
    <row r="80" spans="1:15" x14ac:dyDescent="0.25">
      <c r="C80" s="262"/>
      <c r="D80" s="262"/>
      <c r="G80" s="26"/>
      <c r="H80" s="26"/>
      <c r="I80" s="26"/>
      <c r="J80" s="26"/>
    </row>
    <row r="81" spans="7:10" x14ac:dyDescent="0.25">
      <c r="G81" s="26"/>
      <c r="H81" s="26"/>
      <c r="I81" s="26"/>
      <c r="J81" s="26"/>
    </row>
    <row r="82" spans="7:10" x14ac:dyDescent="0.25">
      <c r="G82" s="26"/>
      <c r="H82" s="26"/>
      <c r="I82" s="26"/>
      <c r="J82" s="26"/>
    </row>
    <row r="83" spans="7:10" x14ac:dyDescent="0.25">
      <c r="G83" s="26"/>
      <c r="H83" s="26"/>
      <c r="I83" s="26"/>
      <c r="J83" s="26"/>
    </row>
    <row r="84" spans="7:10" x14ac:dyDescent="0.25">
      <c r="G84" s="26"/>
      <c r="H84" s="26"/>
      <c r="I84" s="26"/>
      <c r="J84" s="26"/>
    </row>
    <row r="85" spans="7:10" x14ac:dyDescent="0.25">
      <c r="G85" s="26"/>
      <c r="H85" s="26"/>
      <c r="I85" s="26"/>
      <c r="J85" s="26"/>
    </row>
    <row r="86" spans="7:10" x14ac:dyDescent="0.25">
      <c r="G86" s="26"/>
      <c r="H86" s="26"/>
      <c r="I86" s="26"/>
      <c r="J86" s="26"/>
    </row>
    <row r="87" spans="7:10" x14ac:dyDescent="0.25">
      <c r="G87" s="26"/>
      <c r="H87" s="26"/>
      <c r="I87" s="26"/>
      <c r="J87" s="26"/>
    </row>
    <row r="88" spans="7:10" x14ac:dyDescent="0.25">
      <c r="G88" s="26"/>
      <c r="H88" s="26"/>
      <c r="I88" s="26"/>
      <c r="J88" s="26"/>
    </row>
    <row r="89" spans="7:10" x14ac:dyDescent="0.25">
      <c r="G89" s="26"/>
      <c r="H89" s="26"/>
      <c r="I89" s="26"/>
      <c r="J89" s="26"/>
    </row>
    <row r="90" spans="7:10" x14ac:dyDescent="0.25">
      <c r="G90" s="26"/>
      <c r="H90" s="26"/>
      <c r="I90" s="26"/>
      <c r="J90" s="26"/>
    </row>
    <row r="91" spans="7:10" x14ac:dyDescent="0.25">
      <c r="G91" s="26"/>
      <c r="H91" s="26"/>
      <c r="I91" s="26"/>
      <c r="J91" s="26"/>
    </row>
    <row r="92" spans="7:10" x14ac:dyDescent="0.25">
      <c r="G92" s="26"/>
      <c r="H92" s="26"/>
      <c r="I92" s="26"/>
      <c r="J92" s="26"/>
    </row>
    <row r="93" spans="7:10" x14ac:dyDescent="0.25">
      <c r="G93" s="26"/>
      <c r="H93" s="26"/>
      <c r="I93" s="26"/>
      <c r="J93" s="26"/>
    </row>
    <row r="94" spans="7:10" x14ac:dyDescent="0.25">
      <c r="G94" s="26"/>
      <c r="H94" s="26"/>
      <c r="I94" s="26"/>
      <c r="J94" s="26"/>
    </row>
    <row r="95" spans="7:10" x14ac:dyDescent="0.25">
      <c r="G95" s="26"/>
      <c r="H95" s="26"/>
      <c r="I95" s="26"/>
      <c r="J95" s="26"/>
    </row>
    <row r="96" spans="7:10" x14ac:dyDescent="0.25">
      <c r="G96" s="26"/>
      <c r="H96" s="26"/>
      <c r="I96" s="26"/>
      <c r="J96" s="26"/>
    </row>
    <row r="97" spans="6:10" x14ac:dyDescent="0.25">
      <c r="G97" s="26"/>
      <c r="H97" s="26"/>
      <c r="I97" s="26"/>
      <c r="J97" s="26"/>
    </row>
    <row r="98" spans="6:10" x14ac:dyDescent="0.25">
      <c r="G98" s="26"/>
      <c r="H98" s="26"/>
      <c r="I98" s="26"/>
      <c r="J98" s="26"/>
    </row>
    <row r="99" spans="6:10" x14ac:dyDescent="0.25">
      <c r="G99" s="26"/>
      <c r="H99" s="26"/>
      <c r="I99" s="26"/>
      <c r="J99" s="26"/>
    </row>
    <row r="100" spans="6:10" x14ac:dyDescent="0.25">
      <c r="F100" s="26"/>
    </row>
    <row r="101" spans="6:10" x14ac:dyDescent="0.25">
      <c r="F101" s="26"/>
    </row>
  </sheetData>
  <mergeCells count="7">
    <mergeCell ref="N67:O67"/>
    <mergeCell ref="A1:B1"/>
    <mergeCell ref="N14:O14"/>
    <mergeCell ref="N28:O28"/>
    <mergeCell ref="N33:O33"/>
    <mergeCell ref="N47:O47"/>
    <mergeCell ref="A53:G53"/>
  </mergeCells>
  <pageMargins left="0.75" right="0.75" top="1" bottom="1" header="0.5" footer="0.5"/>
  <pageSetup orientation="portrait" r:id="rId1"/>
  <headerFooter alignWithMargins="0">
    <oddFooter>&amp;R&amp;"Arial,Regular"&amp;08&amp;K7F7F7FAmgen Proprietary - Confidential   &amp;C&amp;"Calibri"&amp;11&amp;K000000&amp;"Arial,Regular"&amp;08&amp;K7F7F7FAmgen Proprietary - For Internal Use Only_x000D_&amp;1#&amp;"Calibri"&amp;10&amp;K000000 Non-Amgen</oddFooter>
    <evenFooter>&amp;R&amp;"Arial,Regular"&amp;08&amp;K7F7F7FAmgen Proprietary - Confidential   &amp;C&amp;"Arial,Regular"&amp;08&amp;K7F7F7FAmgen Proprietary - For Internal Use Only</evenFooter>
    <firstFooter>&amp;R&amp;"Arial,Regular"&amp;08&amp;K7F7F7FAmgen Proprietary - Confidential   &amp;C&amp;"Arial,Regular"&amp;08&amp;K7F7F7FAmgen Proprietary - For Internal Use Only</firstFooter>
  </headerFooter>
  <legacyDrawing r:id="rId2"/>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4E3E0-9E18-4B42-92EE-21AF57AF02D7}">
  <sheetPr codeName="Sheet55">
    <pageSetUpPr autoPageBreaks="0"/>
  </sheetPr>
  <dimension ref="A1:O59"/>
  <sheetViews>
    <sheetView topLeftCell="A6" zoomScale="130" zoomScaleNormal="130" workbookViewId="0">
      <selection activeCell="B23" sqref="B23"/>
    </sheetView>
  </sheetViews>
  <sheetFormatPr defaultColWidth="23.453125" defaultRowHeight="11.5" x14ac:dyDescent="0.25"/>
  <cols>
    <col min="1" max="1" width="26" style="25" customWidth="1"/>
    <col min="2" max="2" width="28.453125" style="25" customWidth="1"/>
    <col min="3" max="3" width="25" style="25" customWidth="1"/>
    <col min="4" max="4" width="17.453125" style="25" customWidth="1"/>
    <col min="5" max="5" width="23.453125" style="25" customWidth="1"/>
    <col min="6" max="6" width="67.54296875" style="25" bestFit="1" customWidth="1"/>
    <col min="7" max="7" width="41.453125" style="25" bestFit="1" customWidth="1"/>
    <col min="8" max="8" width="16.54296875" style="25" customWidth="1"/>
    <col min="9" max="9" width="14.453125" style="25" customWidth="1"/>
    <col min="10" max="10" width="11.54296875" style="25" customWidth="1"/>
    <col min="11" max="11" width="12.453125" style="25" customWidth="1"/>
    <col min="12" max="12" width="13.54296875" style="25" customWidth="1"/>
    <col min="13" max="13" width="13.453125" style="25" customWidth="1"/>
    <col min="14" max="16384" width="23.453125" style="25"/>
  </cols>
  <sheetData>
    <row r="1" spans="1:15" x14ac:dyDescent="0.25">
      <c r="A1" s="1100" t="s">
        <v>479</v>
      </c>
      <c r="B1" s="1100"/>
    </row>
    <row r="2" spans="1:15" x14ac:dyDescent="0.25">
      <c r="A2" s="781" t="s">
        <v>480</v>
      </c>
      <c r="B2" s="31">
        <f>A11</f>
        <v>44690.395833333336</v>
      </c>
      <c r="C2" s="719"/>
    </row>
    <row r="3" spans="1:15" x14ac:dyDescent="0.25">
      <c r="A3" s="781" t="s">
        <v>482</v>
      </c>
      <c r="B3" s="541">
        <f>A11</f>
        <v>44690.395833333336</v>
      </c>
    </row>
    <row r="5" spans="1:15" x14ac:dyDescent="0.25">
      <c r="A5" s="1100" t="s">
        <v>484</v>
      </c>
      <c r="B5" s="1100"/>
      <c r="C5" s="1100"/>
      <c r="D5" s="1100"/>
    </row>
    <row r="6" spans="1:15" x14ac:dyDescent="0.25">
      <c r="A6" s="781" t="s">
        <v>485</v>
      </c>
      <c r="B6" s="781" t="s">
        <v>486</v>
      </c>
      <c r="C6" s="781" t="s">
        <v>487</v>
      </c>
      <c r="D6" s="781" t="s">
        <v>488</v>
      </c>
    </row>
    <row r="7" spans="1:15" x14ac:dyDescent="0.25">
      <c r="A7" s="324" t="str">
        <f>F13</f>
        <v>IPC: Reaction Conversion</v>
      </c>
      <c r="B7" s="325">
        <f>INDEX($B$11:$B$66,MATCH(A7,$F$11:$F$66,0))</f>
        <v>44690.927083333336</v>
      </c>
      <c r="C7" s="272">
        <f>INDEX($B$11:$B$66,MATCH(A7,$F$11:$F$66,0))</f>
        <v>44690.927083333336</v>
      </c>
      <c r="D7" s="405"/>
    </row>
    <row r="8" spans="1:15" x14ac:dyDescent="0.25">
      <c r="A8" s="324" t="str">
        <f>F34</f>
        <v>IPC: GC, LC, KF</v>
      </c>
      <c r="B8" s="325">
        <f>A34</f>
        <v>44697.666666666672</v>
      </c>
      <c r="C8" s="272">
        <f>INDEX($B$11:$B$66,MATCH(A8,$F$11:$F$66,0))</f>
        <v>44697.979166666672</v>
      </c>
      <c r="D8" s="405"/>
      <c r="E8" s="399"/>
    </row>
    <row r="10" spans="1:15" ht="23" x14ac:dyDescent="0.25">
      <c r="A10" s="749" t="s">
        <v>492</v>
      </c>
      <c r="B10" s="749" t="s">
        <v>493</v>
      </c>
      <c r="C10" s="749" t="s">
        <v>494</v>
      </c>
      <c r="D10" s="86" t="s">
        <v>495</v>
      </c>
      <c r="E10" s="749" t="s">
        <v>540</v>
      </c>
      <c r="F10" s="749" t="s">
        <v>541</v>
      </c>
      <c r="G10" s="749" t="s">
        <v>498</v>
      </c>
      <c r="H10" s="184" t="s">
        <v>92</v>
      </c>
      <c r="I10" s="184" t="s">
        <v>248</v>
      </c>
      <c r="J10" s="184" t="s">
        <v>267</v>
      </c>
      <c r="K10" s="184" t="s">
        <v>677</v>
      </c>
      <c r="L10" s="184" t="s">
        <v>678</v>
      </c>
      <c r="M10" s="184" t="s">
        <v>501</v>
      </c>
    </row>
    <row r="11" spans="1:15" ht="12" customHeight="1" x14ac:dyDescent="0.25">
      <c r="A11" s="31">
        <v>44690.395833333336</v>
      </c>
      <c r="B11" s="38">
        <f>A11</f>
        <v>44690.395833333336</v>
      </c>
      <c r="C11" s="170">
        <v>0.22916666666666666</v>
      </c>
      <c r="D11" s="327">
        <v>0.28125</v>
      </c>
      <c r="E11" s="37">
        <f>B11+C11</f>
        <v>44690.625</v>
      </c>
      <c r="F11" s="264" t="s">
        <v>679</v>
      </c>
      <c r="G11" s="78"/>
      <c r="H11" s="352"/>
      <c r="I11" s="352"/>
      <c r="J11" s="352"/>
      <c r="K11" s="352"/>
      <c r="L11" s="352"/>
      <c r="M11" s="352"/>
      <c r="N11" s="1066" t="s">
        <v>609</v>
      </c>
      <c r="O11" s="1067"/>
    </row>
    <row r="12" spans="1:15" ht="12" customHeight="1" x14ac:dyDescent="0.25">
      <c r="A12" s="31">
        <f>IF(D11 = "",A11+C11,A11+D11)</f>
        <v>44690.677083333336</v>
      </c>
      <c r="B12" s="37">
        <f t="shared" ref="B12:B21" si="0">IF(D11 = "",B11+C11,B11+D11)</f>
        <v>44690.677083333336</v>
      </c>
      <c r="C12" s="170">
        <v>0.25</v>
      </c>
      <c r="D12" s="327" t="str">
        <f>IF(_xlfn.ISFORMULA(E12)=TRUE,"",E12-B12)</f>
        <v/>
      </c>
      <c r="E12" s="37">
        <f t="shared" ref="E12:E14" si="1">B12+C12</f>
        <v>44690.927083333336</v>
      </c>
      <c r="F12" s="264" t="s">
        <v>680</v>
      </c>
      <c r="G12" s="35"/>
      <c r="H12" s="778"/>
      <c r="I12" s="778"/>
      <c r="J12" s="778"/>
      <c r="K12" s="778"/>
      <c r="L12" s="778"/>
      <c r="M12" s="778"/>
      <c r="N12" s="268" t="s">
        <v>681</v>
      </c>
      <c r="O12" s="343">
        <f>SUM(L11:L14)</f>
        <v>606.29999999999995</v>
      </c>
    </row>
    <row r="13" spans="1:15" ht="12" customHeight="1" x14ac:dyDescent="0.25">
      <c r="A13" s="31">
        <f>IF(D12 = "",A12+C12,A12+D12)</f>
        <v>44690.927083333336</v>
      </c>
      <c r="B13" s="37">
        <f t="shared" si="0"/>
        <v>44690.927083333336</v>
      </c>
      <c r="C13" s="170">
        <v>0.13541666666666666</v>
      </c>
      <c r="D13" s="327" t="str">
        <f t="shared" ref="D13:D35" si="2">IF(_xlfn.ISFORMULA(E13)=TRUE,"",E13-B13)</f>
        <v/>
      </c>
      <c r="E13" s="37">
        <f t="shared" si="1"/>
        <v>44691.0625</v>
      </c>
      <c r="F13" s="320" t="s">
        <v>567</v>
      </c>
      <c r="G13" s="39"/>
      <c r="H13" s="778"/>
      <c r="I13" s="778"/>
      <c r="J13" s="778"/>
      <c r="K13" s="778"/>
      <c r="L13" s="778"/>
      <c r="M13" s="778"/>
      <c r="N13" s="268" t="s">
        <v>682</v>
      </c>
      <c r="O13" s="343">
        <f>SUM(M11:M14)</f>
        <v>0</v>
      </c>
    </row>
    <row r="14" spans="1:15" ht="12" customHeight="1" x14ac:dyDescent="0.25">
      <c r="A14" s="31">
        <f>IF(D13 = "",A13+C13,A13+D13)</f>
        <v>44691.0625</v>
      </c>
      <c r="B14" s="37">
        <f t="shared" si="0"/>
        <v>44691.0625</v>
      </c>
      <c r="C14" s="170">
        <v>0.39583333333333331</v>
      </c>
      <c r="D14" s="327" t="str">
        <f t="shared" si="2"/>
        <v/>
      </c>
      <c r="E14" s="37">
        <f t="shared" si="1"/>
        <v>44691.458333333336</v>
      </c>
      <c r="F14" s="321" t="s">
        <v>683</v>
      </c>
      <c r="G14" s="35"/>
      <c r="H14" s="778">
        <v>511.4</v>
      </c>
      <c r="I14" s="778"/>
      <c r="J14" s="778">
        <v>94.9</v>
      </c>
      <c r="K14" s="778"/>
      <c r="L14" s="778">
        <f>H14+J14</f>
        <v>606.29999999999995</v>
      </c>
      <c r="M14" s="778"/>
    </row>
    <row r="15" spans="1:15" ht="12" customHeight="1" x14ac:dyDescent="0.25">
      <c r="A15" s="1097" t="s">
        <v>2554</v>
      </c>
      <c r="B15" s="1098"/>
      <c r="C15" s="1098"/>
      <c r="D15" s="1098"/>
      <c r="E15" s="1098"/>
      <c r="F15" s="1098"/>
      <c r="G15" s="1098"/>
      <c r="H15" s="1098"/>
      <c r="I15" s="1098"/>
      <c r="J15" s="1098"/>
      <c r="K15" s="1098"/>
      <c r="L15" s="1098"/>
      <c r="M15" s="1099"/>
    </row>
    <row r="16" spans="1:15" ht="12" customHeight="1" x14ac:dyDescent="0.25">
      <c r="A16" s="706">
        <f>IF(D14 = "",A14+C14,A14+D14)</f>
        <v>44691.458333333336</v>
      </c>
      <c r="B16" s="685">
        <f>A14+"1:00"</f>
        <v>44691.104166666664</v>
      </c>
      <c r="C16" s="707">
        <v>2.0833333333333332E-2</v>
      </c>
      <c r="D16" s="327" t="str">
        <f t="shared" si="2"/>
        <v/>
      </c>
      <c r="E16" s="685">
        <f>B16+C16</f>
        <v>44691.125</v>
      </c>
      <c r="F16" s="708" t="s">
        <v>684</v>
      </c>
      <c r="G16" s="1101" t="s">
        <v>685</v>
      </c>
      <c r="H16" s="709"/>
      <c r="I16" s="709">
        <v>50</v>
      </c>
      <c r="J16" s="709"/>
      <c r="K16" s="709"/>
      <c r="L16" s="709"/>
      <c r="M16" s="709">
        <f>I16</f>
        <v>50</v>
      </c>
      <c r="N16" s="1066" t="s">
        <v>624</v>
      </c>
      <c r="O16" s="1067"/>
    </row>
    <row r="17" spans="1:15" ht="12" customHeight="1" x14ac:dyDescent="0.25">
      <c r="A17" s="706">
        <f>IF(D16 = "",A16+C16,A16+D16)</f>
        <v>44691.479166666672</v>
      </c>
      <c r="B17" s="685">
        <f t="shared" si="0"/>
        <v>44691.125</v>
      </c>
      <c r="C17" s="707">
        <v>1.0416666666666666E-2</v>
      </c>
      <c r="D17" s="327" t="str">
        <f t="shared" si="2"/>
        <v/>
      </c>
      <c r="E17" s="685">
        <f t="shared" ref="E17:E35" si="3">B17+C17</f>
        <v>44691.135416666664</v>
      </c>
      <c r="F17" s="708" t="s">
        <v>2555</v>
      </c>
      <c r="G17" s="1102"/>
      <c r="H17" s="709">
        <v>150</v>
      </c>
      <c r="I17" s="709"/>
      <c r="J17" s="709"/>
      <c r="K17" s="709"/>
      <c r="L17" s="709">
        <f>H17</f>
        <v>150</v>
      </c>
      <c r="M17" s="709"/>
      <c r="N17" s="268" t="s">
        <v>681</v>
      </c>
      <c r="O17" s="343">
        <f>SUM(L16:L23)</f>
        <v>250</v>
      </c>
    </row>
    <row r="18" spans="1:15" ht="12" customHeight="1" x14ac:dyDescent="0.25">
      <c r="A18" s="706">
        <f>IF(D17 = "",A17+C17,A17+D17)</f>
        <v>44691.489583333336</v>
      </c>
      <c r="B18" s="685">
        <f t="shared" si="0"/>
        <v>44691.135416666664</v>
      </c>
      <c r="C18" s="707">
        <v>4.1666666666666664E-2</v>
      </c>
      <c r="D18" s="327" t="str">
        <f t="shared" si="2"/>
        <v/>
      </c>
      <c r="E18" s="685">
        <f t="shared" si="3"/>
        <v>44691.177083333328</v>
      </c>
      <c r="F18" s="708" t="s">
        <v>2556</v>
      </c>
      <c r="G18" s="1102"/>
      <c r="H18" s="709">
        <v>100</v>
      </c>
      <c r="I18" s="709"/>
      <c r="J18" s="709"/>
      <c r="K18" s="709"/>
      <c r="L18" s="709">
        <v>100</v>
      </c>
      <c r="M18" s="709"/>
      <c r="N18" s="268" t="s">
        <v>682</v>
      </c>
      <c r="O18" s="343">
        <f>SUM(M16:M23)</f>
        <v>400</v>
      </c>
    </row>
    <row r="19" spans="1:15" ht="12" customHeight="1" x14ac:dyDescent="0.25">
      <c r="A19" s="706">
        <f>IF(D18 = "",A18+C18,A18+D18)</f>
        <v>44691.53125</v>
      </c>
      <c r="B19" s="685">
        <f t="shared" si="0"/>
        <v>44691.177083333328</v>
      </c>
      <c r="C19" s="707">
        <v>1.0416666666666666E-2</v>
      </c>
      <c r="D19" s="327" t="str">
        <f t="shared" si="2"/>
        <v/>
      </c>
      <c r="E19" s="685">
        <f t="shared" si="3"/>
        <v>44691.187499999993</v>
      </c>
      <c r="F19" s="708" t="s">
        <v>2557</v>
      </c>
      <c r="G19" s="1102"/>
      <c r="H19" s="709"/>
      <c r="I19" s="709"/>
      <c r="J19" s="709"/>
      <c r="K19" s="709">
        <v>150</v>
      </c>
      <c r="L19" s="709"/>
      <c r="M19" s="709">
        <v>150</v>
      </c>
    </row>
    <row r="20" spans="1:15" ht="12" customHeight="1" x14ac:dyDescent="0.25">
      <c r="A20" s="706">
        <f>IF(D19 = "",A19+C19,A19+D19)</f>
        <v>44691.541666666664</v>
      </c>
      <c r="B20" s="685">
        <f t="shared" si="0"/>
        <v>44691.187499999993</v>
      </c>
      <c r="C20" s="707">
        <v>4.1666666666666664E-2</v>
      </c>
      <c r="D20" s="327"/>
      <c r="E20" s="685">
        <f t="shared" si="3"/>
        <v>44691.229166666657</v>
      </c>
      <c r="F20" s="708" t="s">
        <v>688</v>
      </c>
      <c r="G20" s="1102"/>
      <c r="H20" s="709"/>
      <c r="I20" s="709"/>
      <c r="J20" s="709"/>
      <c r="K20" s="709">
        <v>100</v>
      </c>
      <c r="L20" s="709"/>
      <c r="M20" s="709">
        <f>K20</f>
        <v>100</v>
      </c>
    </row>
    <row r="21" spans="1:15" ht="12" customHeight="1" x14ac:dyDescent="0.25">
      <c r="A21" s="706">
        <f>IF(D20 = "",A20+C20,A20+D20)</f>
        <v>44691.583333333328</v>
      </c>
      <c r="B21" s="685">
        <f t="shared" si="0"/>
        <v>44691.229166666657</v>
      </c>
      <c r="C21" s="707">
        <v>4.1666666666666664E-2</v>
      </c>
      <c r="D21" s="327"/>
      <c r="E21" s="685">
        <f t="shared" si="3"/>
        <v>44691.270833333321</v>
      </c>
      <c r="F21" s="708" t="s">
        <v>689</v>
      </c>
      <c r="G21" s="1102"/>
      <c r="H21" s="709"/>
      <c r="I21" s="709"/>
      <c r="J21" s="709"/>
      <c r="K21" s="709">
        <v>100</v>
      </c>
      <c r="L21" s="709"/>
      <c r="M21" s="709">
        <v>100</v>
      </c>
    </row>
    <row r="22" spans="1:15" ht="12" customHeight="1" x14ac:dyDescent="0.25">
      <c r="A22" s="31">
        <f>IF(D14 = "",A14+C14,A14+D14)</f>
        <v>44691.458333333336</v>
      </c>
      <c r="B22" s="37">
        <f>IF(D14 = "",B14+C14,B14+D14)</f>
        <v>44691.458333333336</v>
      </c>
      <c r="C22" s="172">
        <v>3.125E-2</v>
      </c>
      <c r="D22" s="327" t="str">
        <f t="shared" si="2"/>
        <v/>
      </c>
      <c r="E22" s="37">
        <f t="shared" si="3"/>
        <v>44691.489583333336</v>
      </c>
      <c r="F22" s="264" t="s">
        <v>690</v>
      </c>
      <c r="G22" s="35"/>
      <c r="H22" s="393"/>
      <c r="I22" s="393"/>
      <c r="J22" s="393"/>
      <c r="K22" s="393"/>
      <c r="L22" s="393"/>
      <c r="M22" s="393"/>
    </row>
    <row r="23" spans="1:15" ht="12" customHeight="1" x14ac:dyDescent="0.25">
      <c r="A23" s="31">
        <f>IF(D22 = "",A22+C22,A22+D22)</f>
        <v>44691.489583333336</v>
      </c>
      <c r="B23" s="37">
        <f t="shared" ref="B23:B35" si="4">IF(D22 = "",B22+C22,B22+D22)</f>
        <v>44691.489583333336</v>
      </c>
      <c r="C23" s="172">
        <v>0.89583333333333337</v>
      </c>
      <c r="D23" s="327" t="str">
        <f t="shared" si="2"/>
        <v/>
      </c>
      <c r="E23" s="37">
        <f t="shared" si="3"/>
        <v>44692.385416666672</v>
      </c>
      <c r="F23" s="264" t="s">
        <v>691</v>
      </c>
      <c r="G23" s="39"/>
      <c r="H23" s="778"/>
      <c r="I23" s="778"/>
      <c r="J23" s="778"/>
      <c r="K23" s="1074">
        <v>300</v>
      </c>
      <c r="L23" s="778"/>
      <c r="M23" s="778"/>
    </row>
    <row r="24" spans="1:15" ht="12" customHeight="1" x14ac:dyDescent="0.25">
      <c r="A24" s="31">
        <f>IF(D23 = "",A23+C23,A23+D23)</f>
        <v>44692.385416666672</v>
      </c>
      <c r="B24" s="37">
        <f t="shared" si="4"/>
        <v>44692.385416666672</v>
      </c>
      <c r="C24" s="170">
        <v>0.41666666666666669</v>
      </c>
      <c r="D24" s="327" t="str">
        <f t="shared" si="2"/>
        <v/>
      </c>
      <c r="E24" s="37">
        <f t="shared" si="3"/>
        <v>44692.802083333336</v>
      </c>
      <c r="F24" s="264" t="s">
        <v>548</v>
      </c>
      <c r="G24" s="35"/>
      <c r="H24" s="778"/>
      <c r="I24" s="778"/>
      <c r="J24" s="778"/>
      <c r="K24" s="1074"/>
      <c r="L24" s="778"/>
      <c r="M24" s="778"/>
      <c r="N24" s="1066" t="s">
        <v>630</v>
      </c>
      <c r="O24" s="1067"/>
    </row>
    <row r="25" spans="1:15" ht="12" customHeight="1" x14ac:dyDescent="0.25">
      <c r="A25" s="31">
        <f>IF(D24 = "",A24+C24,A24+D24)</f>
        <v>44692.802083333336</v>
      </c>
      <c r="B25" s="37">
        <f>IF(D24 = "",B24+C24,B24+D24)</f>
        <v>44692.802083333336</v>
      </c>
      <c r="C25" s="170">
        <v>0.1875</v>
      </c>
      <c r="D25" s="327" t="str">
        <f t="shared" si="2"/>
        <v/>
      </c>
      <c r="E25" s="37">
        <f t="shared" si="3"/>
        <v>44692.989583333336</v>
      </c>
      <c r="F25" s="264" t="s">
        <v>549</v>
      </c>
      <c r="G25" s="35"/>
      <c r="H25" s="778"/>
      <c r="I25" s="1075">
        <v>467.03699999999998</v>
      </c>
      <c r="J25" s="778"/>
      <c r="K25" s="1074"/>
      <c r="L25" s="778"/>
      <c r="M25" s="778"/>
      <c r="N25" s="268" t="s">
        <v>682</v>
      </c>
      <c r="O25" s="343">
        <f>SUM(M24:M26)</f>
        <v>767.03700000000003</v>
      </c>
    </row>
    <row r="26" spans="1:15" ht="12" customHeight="1" x14ac:dyDescent="0.25">
      <c r="A26" s="31">
        <f>IF(D25 = "",A25+C25,A25+D25)</f>
        <v>44692.989583333336</v>
      </c>
      <c r="B26" s="37">
        <f t="shared" si="4"/>
        <v>44692.989583333336</v>
      </c>
      <c r="C26" s="170">
        <v>1.0208333333333333</v>
      </c>
      <c r="D26" s="327">
        <v>0.63541666666666663</v>
      </c>
      <c r="E26" s="37">
        <f t="shared" si="3"/>
        <v>44694.010416666672</v>
      </c>
      <c r="F26" s="264" t="s">
        <v>692</v>
      </c>
      <c r="G26" s="35"/>
      <c r="H26" s="778"/>
      <c r="I26" s="1076"/>
      <c r="J26" s="778"/>
      <c r="K26" s="1074"/>
      <c r="L26" s="778"/>
      <c r="M26" s="778">
        <f>I25+K23</f>
        <v>767.03700000000003</v>
      </c>
      <c r="N26" s="268" t="s">
        <v>682</v>
      </c>
      <c r="O26" s="343">
        <f>SUM(M24:M26)</f>
        <v>767.03700000000003</v>
      </c>
    </row>
    <row r="27" spans="1:15" ht="12" customHeight="1" x14ac:dyDescent="0.25">
      <c r="A27" s="410">
        <f>IF(D26 = "",A26+C26,A26+D26)</f>
        <v>44693.625</v>
      </c>
      <c r="B27" s="329">
        <f>IF(D26 = "",B26+C26,B26+D26)</f>
        <v>44693.625</v>
      </c>
      <c r="C27" s="173">
        <v>1.3333333333333333</v>
      </c>
      <c r="D27" s="468">
        <v>1.6458333333333333</v>
      </c>
      <c r="E27" s="329">
        <f t="shared" si="3"/>
        <v>44694.958333333336</v>
      </c>
      <c r="F27" s="353" t="s">
        <v>551</v>
      </c>
      <c r="G27" s="178"/>
      <c r="H27" s="779"/>
      <c r="I27" s="394"/>
      <c r="J27" s="779"/>
      <c r="K27" s="779"/>
      <c r="L27" s="779"/>
      <c r="M27" s="779"/>
    </row>
    <row r="28" spans="1:15" ht="12" hidden="1" customHeight="1" x14ac:dyDescent="0.25">
      <c r="A28" s="322">
        <f>A27</f>
        <v>44693.625</v>
      </c>
      <c r="B28" s="323">
        <f>B27</f>
        <v>44693.625</v>
      </c>
      <c r="C28" s="400">
        <v>1.0416666666666666E-2</v>
      </c>
      <c r="D28" s="400" t="str">
        <f t="shared" si="2"/>
        <v/>
      </c>
      <c r="E28" s="323">
        <f t="shared" si="3"/>
        <v>44693.635416666664</v>
      </c>
      <c r="F28" s="531" t="s">
        <v>2558</v>
      </c>
      <c r="G28" s="533"/>
      <c r="H28" s="392"/>
      <c r="I28" s="392"/>
      <c r="J28" s="392"/>
      <c r="K28" s="392"/>
      <c r="L28" s="392"/>
      <c r="M28" s="392"/>
    </row>
    <row r="29" spans="1:15" ht="12" hidden="1" customHeight="1" x14ac:dyDescent="0.25">
      <c r="A29" s="322">
        <f>A28+C28</f>
        <v>44693.635416666664</v>
      </c>
      <c r="B29" s="323">
        <f>B28+C28</f>
        <v>44693.635416666664</v>
      </c>
      <c r="C29" s="400">
        <v>2.0833333333333332E-2</v>
      </c>
      <c r="D29" s="400" t="str">
        <f t="shared" si="2"/>
        <v/>
      </c>
      <c r="E29" s="323">
        <f t="shared" si="3"/>
        <v>44693.65625</v>
      </c>
      <c r="F29" s="531" t="s">
        <v>2559</v>
      </c>
      <c r="G29" s="533"/>
      <c r="H29" s="392"/>
      <c r="I29" s="392"/>
      <c r="J29" s="392"/>
      <c r="K29" s="392"/>
      <c r="L29" s="392"/>
      <c r="M29" s="392"/>
    </row>
    <row r="30" spans="1:15" ht="12" hidden="1" customHeight="1" x14ac:dyDescent="0.25">
      <c r="A30" s="322">
        <f t="shared" ref="A30:A31" si="5">A29+C29</f>
        <v>44693.65625</v>
      </c>
      <c r="B30" s="323">
        <f>B29+C29</f>
        <v>44693.65625</v>
      </c>
      <c r="C30" s="400">
        <v>0.1875</v>
      </c>
      <c r="D30" s="400"/>
      <c r="E30" s="323">
        <f t="shared" si="3"/>
        <v>44693.84375</v>
      </c>
      <c r="F30" s="531" t="s">
        <v>2560</v>
      </c>
      <c r="G30" s="533"/>
      <c r="H30" s="392"/>
      <c r="I30" s="392"/>
      <c r="J30" s="392"/>
      <c r="K30" s="392"/>
      <c r="L30" s="392"/>
      <c r="M30" s="392"/>
    </row>
    <row r="31" spans="1:15" ht="12" hidden="1" customHeight="1" x14ac:dyDescent="0.25">
      <c r="A31" s="322">
        <f t="shared" si="5"/>
        <v>44693.84375</v>
      </c>
      <c r="B31" s="323">
        <f>B30+C30</f>
        <v>44693.84375</v>
      </c>
      <c r="C31" s="400">
        <v>6.25E-2</v>
      </c>
      <c r="D31" s="400"/>
      <c r="E31" s="323">
        <f t="shared" si="3"/>
        <v>44693.90625</v>
      </c>
      <c r="F31" s="531" t="s">
        <v>520</v>
      </c>
      <c r="G31" s="533"/>
      <c r="H31" s="392"/>
      <c r="I31" s="392"/>
      <c r="J31" s="392"/>
      <c r="K31" s="392"/>
      <c r="L31" s="392"/>
      <c r="M31" s="392"/>
    </row>
    <row r="32" spans="1:15" ht="12" customHeight="1" x14ac:dyDescent="0.25">
      <c r="A32" s="534">
        <f>A27+C27</f>
        <v>44694.958333333336</v>
      </c>
      <c r="B32" s="535">
        <f>IF(D27 = "",B27+C27,B27+D27)</f>
        <v>44695.270833333336</v>
      </c>
      <c r="C32" s="536">
        <v>2.0416666666666665</v>
      </c>
      <c r="D32" s="537">
        <v>2.0625</v>
      </c>
      <c r="E32" s="535">
        <f>B32+C32</f>
        <v>44697.3125</v>
      </c>
      <c r="F32" s="538" t="s">
        <v>693</v>
      </c>
      <c r="G32" s="539"/>
      <c r="H32" s="540"/>
      <c r="I32" s="540"/>
      <c r="J32" s="540"/>
      <c r="K32" s="540"/>
      <c r="L32" s="540"/>
      <c r="M32" s="540"/>
    </row>
    <row r="33" spans="1:13" ht="12" customHeight="1" x14ac:dyDescent="0.25">
      <c r="A33" s="330">
        <f>IF(D32 = "",A32+C32,A32+D32)</f>
        <v>44697.020833333336</v>
      </c>
      <c r="B33" s="331">
        <f t="shared" si="4"/>
        <v>44697.333333333336</v>
      </c>
      <c r="C33" s="354">
        <v>0.95833333333333337</v>
      </c>
      <c r="D33" s="470">
        <f>(C33+C27)-D27</f>
        <v>0.64583333333333326</v>
      </c>
      <c r="E33" s="331">
        <f t="shared" si="3"/>
        <v>44698.291666666672</v>
      </c>
      <c r="F33" s="355" t="s">
        <v>551</v>
      </c>
      <c r="G33" s="356"/>
      <c r="H33" s="780"/>
      <c r="I33" s="780"/>
      <c r="J33" s="780"/>
      <c r="K33" s="780"/>
      <c r="L33" s="780"/>
      <c r="M33" s="780"/>
    </row>
    <row r="34" spans="1:13" ht="12" customHeight="1" x14ac:dyDescent="0.25">
      <c r="A34" s="31">
        <f>IF(D33 = "",A33+C33,A33+D33)</f>
        <v>44697.666666666672</v>
      </c>
      <c r="B34" s="37">
        <f t="shared" si="4"/>
        <v>44697.979166666672</v>
      </c>
      <c r="C34" s="170">
        <v>1.5</v>
      </c>
      <c r="D34" s="327" t="str">
        <f t="shared" si="2"/>
        <v/>
      </c>
      <c r="E34" s="37">
        <f>B34+C34</f>
        <v>44699.479166666672</v>
      </c>
      <c r="F34" s="320" t="s">
        <v>694</v>
      </c>
      <c r="G34" s="35"/>
      <c r="H34" s="778"/>
      <c r="I34" s="778"/>
      <c r="J34" s="778"/>
      <c r="K34" s="778"/>
      <c r="L34" s="778"/>
      <c r="M34" s="778"/>
    </row>
    <row r="35" spans="1:13" ht="12" customHeight="1" x14ac:dyDescent="0.25">
      <c r="A35" s="31">
        <f>IF(D34 = "",A34+C34,A34+D34)</f>
        <v>44699.166666666672</v>
      </c>
      <c r="B35" s="37">
        <f t="shared" si="4"/>
        <v>44699.479166666672</v>
      </c>
      <c r="C35" s="170">
        <v>0.125</v>
      </c>
      <c r="D35" s="327" t="str">
        <f t="shared" si="2"/>
        <v/>
      </c>
      <c r="E35" s="37">
        <f t="shared" si="3"/>
        <v>44699.604166666672</v>
      </c>
      <c r="F35" s="264" t="s">
        <v>554</v>
      </c>
      <c r="G35" s="35"/>
      <c r="H35" s="397"/>
      <c r="I35" s="397"/>
      <c r="J35" s="397"/>
      <c r="K35" s="397"/>
      <c r="L35" s="397"/>
      <c r="M35" s="397"/>
    </row>
    <row r="36" spans="1:13" ht="21" x14ac:dyDescent="0.55000000000000004">
      <c r="A36" s="34"/>
      <c r="B36" s="33" t="s">
        <v>534</v>
      </c>
      <c r="C36" s="32">
        <f>SUM(C11:C14,C22:C27,C33:C35)</f>
        <v>7.4791666666666661</v>
      </c>
      <c r="D36" s="32">
        <f>SUM(D11:D14,D22:D27,D33:D35)</f>
        <v>3.208333333333333</v>
      </c>
      <c r="G36" s="243" t="s">
        <v>535</v>
      </c>
      <c r="H36" s="350">
        <f>SUM(H11:H26)</f>
        <v>761.4</v>
      </c>
      <c r="I36" s="350">
        <f>SUM(I11:I26)</f>
        <v>517.03700000000003</v>
      </c>
      <c r="J36" s="350">
        <f>SUM(J11:J26)</f>
        <v>94.9</v>
      </c>
      <c r="K36" s="351">
        <f>SUM(K11:K35)</f>
        <v>650</v>
      </c>
      <c r="L36" s="351">
        <f>SUM(L11:L35)</f>
        <v>856.3</v>
      </c>
      <c r="M36" s="351">
        <f>SUM(M11:M35)</f>
        <v>1167.037</v>
      </c>
    </row>
    <row r="37" spans="1:13" x14ac:dyDescent="0.25">
      <c r="B37" s="31" t="s">
        <v>536</v>
      </c>
      <c r="C37" s="30">
        <f>(C36*60)/1440</f>
        <v>0.31163194444444442</v>
      </c>
      <c r="D37" s="30">
        <f>(D36*60)/1440</f>
        <v>0.13368055555555552</v>
      </c>
      <c r="G37" s="26"/>
      <c r="H37" s="26"/>
      <c r="I37" s="26"/>
      <c r="J37" s="26"/>
      <c r="K37" s="26"/>
      <c r="L37" s="26"/>
      <c r="M37" s="26"/>
    </row>
    <row r="38" spans="1:13" x14ac:dyDescent="0.25">
      <c r="F38" s="26"/>
      <c r="G38" s="26"/>
      <c r="H38" s="26"/>
      <c r="I38" s="26"/>
      <c r="J38" s="26"/>
      <c r="K38" s="26"/>
      <c r="L38" s="26"/>
    </row>
    <row r="39" spans="1:13" x14ac:dyDescent="0.25">
      <c r="F39" s="26"/>
      <c r="G39" s="26"/>
      <c r="H39" s="26"/>
      <c r="I39" s="26"/>
      <c r="J39" s="26"/>
      <c r="K39" s="26"/>
      <c r="L39" s="26"/>
    </row>
    <row r="40" spans="1:13" ht="11.9" hidden="1" customHeight="1" x14ac:dyDescent="0.25">
      <c r="A40" s="1072" t="s">
        <v>555</v>
      </c>
      <c r="B40" s="1073"/>
      <c r="F40" s="26"/>
      <c r="G40" s="26"/>
      <c r="H40" s="26"/>
      <c r="I40" s="26"/>
      <c r="J40" s="26"/>
      <c r="K40" s="26"/>
      <c r="L40" s="26"/>
    </row>
    <row r="41" spans="1:13" hidden="1" x14ac:dyDescent="0.25">
      <c r="A41" s="781" t="s">
        <v>556</v>
      </c>
      <c r="B41" s="29" t="e">
        <f>MAX(A24,#REF!)</f>
        <v>#REF!</v>
      </c>
      <c r="F41" s="26"/>
      <c r="G41" s="26"/>
      <c r="H41" s="26"/>
      <c r="I41" s="26"/>
      <c r="J41" s="26"/>
      <c r="K41" s="26"/>
      <c r="L41" s="26"/>
    </row>
    <row r="42" spans="1:13" hidden="1" x14ac:dyDescent="0.25">
      <c r="A42" s="781" t="s">
        <v>557</v>
      </c>
      <c r="B42" s="28" t="e">
        <f>MAX((#REF!+#REF!),(B24+C24))</f>
        <v>#REF!</v>
      </c>
      <c r="F42" s="26"/>
      <c r="G42" s="26"/>
      <c r="H42" s="26"/>
      <c r="I42" s="26"/>
      <c r="J42" s="26"/>
      <c r="K42" s="26"/>
      <c r="L42" s="26"/>
    </row>
    <row r="43" spans="1:13" x14ac:dyDescent="0.25">
      <c r="F43" s="26"/>
      <c r="G43" s="26"/>
      <c r="H43" s="26"/>
      <c r="I43" s="26"/>
      <c r="J43" s="26"/>
      <c r="K43" s="26"/>
      <c r="L43" s="26"/>
    </row>
    <row r="44" spans="1:13" x14ac:dyDescent="0.25">
      <c r="F44" s="26"/>
      <c r="G44" s="26"/>
      <c r="H44" s="26"/>
      <c r="I44" s="26"/>
      <c r="J44" s="26"/>
      <c r="K44" s="26"/>
      <c r="L44" s="26"/>
    </row>
    <row r="45" spans="1:13" x14ac:dyDescent="0.25">
      <c r="F45" s="26"/>
      <c r="G45" s="26"/>
      <c r="H45" s="26"/>
      <c r="I45" s="26"/>
      <c r="J45" s="26"/>
      <c r="K45" s="26"/>
      <c r="L45" s="26"/>
    </row>
    <row r="46" spans="1:13" x14ac:dyDescent="0.25">
      <c r="F46" s="26"/>
      <c r="G46" s="26"/>
      <c r="H46" s="26"/>
      <c r="I46" s="26"/>
      <c r="J46" s="26"/>
      <c r="K46" s="26"/>
      <c r="L46" s="26"/>
    </row>
    <row r="47" spans="1:13" x14ac:dyDescent="0.25">
      <c r="C47" s="27"/>
      <c r="F47" s="26"/>
      <c r="G47" s="26"/>
      <c r="H47" s="26"/>
      <c r="I47" s="26"/>
      <c r="J47" s="26"/>
      <c r="K47" s="26"/>
      <c r="L47" s="26"/>
    </row>
    <row r="48" spans="1:13" x14ac:dyDescent="0.25">
      <c r="F48" s="26"/>
      <c r="G48" s="26"/>
      <c r="H48" s="26"/>
      <c r="I48" s="26"/>
      <c r="J48" s="26"/>
      <c r="K48" s="26"/>
      <c r="L48" s="26"/>
    </row>
    <row r="49" spans="4:12" x14ac:dyDescent="0.25">
      <c r="F49" s="26"/>
      <c r="G49" s="26"/>
      <c r="H49" s="26"/>
      <c r="I49" s="26"/>
      <c r="J49" s="26"/>
      <c r="K49" s="26"/>
      <c r="L49" s="26"/>
    </row>
    <row r="50" spans="4:12" x14ac:dyDescent="0.25">
      <c r="F50" s="26"/>
      <c r="G50" s="26"/>
      <c r="H50" s="26"/>
      <c r="I50" s="26"/>
      <c r="J50" s="26"/>
      <c r="K50" s="26"/>
      <c r="L50" s="26"/>
    </row>
    <row r="51" spans="4:12" x14ac:dyDescent="0.25">
      <c r="F51" s="26"/>
      <c r="G51" s="26"/>
      <c r="H51" s="26"/>
      <c r="I51" s="26"/>
      <c r="J51" s="26"/>
      <c r="K51" s="26"/>
      <c r="L51" s="26"/>
    </row>
    <row r="52" spans="4:12" x14ac:dyDescent="0.25">
      <c r="F52" s="26"/>
      <c r="G52" s="26"/>
      <c r="H52" s="26"/>
      <c r="I52" s="26"/>
      <c r="J52" s="26"/>
      <c r="K52" s="26"/>
      <c r="L52" s="26"/>
    </row>
    <row r="53" spans="4:12" x14ac:dyDescent="0.25">
      <c r="F53" s="26"/>
      <c r="G53" s="26"/>
      <c r="H53" s="26"/>
      <c r="I53" s="26"/>
      <c r="J53" s="26"/>
      <c r="K53" s="26"/>
      <c r="L53" s="26"/>
    </row>
    <row r="54" spans="4:12" x14ac:dyDescent="0.25">
      <c r="F54" s="26"/>
      <c r="G54" s="26"/>
      <c r="H54" s="26"/>
      <c r="I54" s="26"/>
      <c r="J54" s="26"/>
      <c r="K54" s="26"/>
      <c r="L54" s="26"/>
    </row>
    <row r="55" spans="4:12" x14ac:dyDescent="0.25">
      <c r="F55" s="26"/>
      <c r="G55" s="26"/>
      <c r="H55" s="26"/>
      <c r="I55" s="26"/>
      <c r="J55" s="26"/>
      <c r="K55" s="26"/>
      <c r="L55" s="26"/>
    </row>
    <row r="56" spans="4:12" x14ac:dyDescent="0.25">
      <c r="F56" s="26"/>
      <c r="G56" s="26"/>
      <c r="H56" s="26"/>
      <c r="I56" s="26"/>
      <c r="J56" s="26"/>
      <c r="K56" s="26"/>
      <c r="L56" s="26"/>
    </row>
    <row r="57" spans="4:12" x14ac:dyDescent="0.25">
      <c r="D57" s="927"/>
      <c r="F57" s="26"/>
      <c r="G57" s="26"/>
      <c r="H57" s="26"/>
      <c r="I57" s="26"/>
      <c r="J57" s="26"/>
      <c r="K57" s="26"/>
      <c r="L57" s="26"/>
    </row>
    <row r="58" spans="4:12" x14ac:dyDescent="0.25">
      <c r="E58" s="26"/>
    </row>
    <row r="59" spans="4:12" x14ac:dyDescent="0.25">
      <c r="E59" s="26"/>
    </row>
  </sheetData>
  <mergeCells count="10">
    <mergeCell ref="K23:K26"/>
    <mergeCell ref="N24:O24"/>
    <mergeCell ref="I25:I26"/>
    <mergeCell ref="A40:B40"/>
    <mergeCell ref="A1:B1"/>
    <mergeCell ref="A5:D5"/>
    <mergeCell ref="N11:O11"/>
    <mergeCell ref="A15:M15"/>
    <mergeCell ref="G16:G21"/>
    <mergeCell ref="N16:O16"/>
  </mergeCells>
  <pageMargins left="0.75" right="0.75" top="1" bottom="1" header="0.5" footer="0.5"/>
  <pageSetup orientation="portrait" r:id="rId1"/>
  <headerFooter alignWithMargins="0">
    <oddFooter>&amp;R&amp;"Arial,Regular"&amp;08&amp;K7F7F7FAmgen Proprietary - Confidential   &amp;C&amp;"Arial,Regular"&amp;08&amp;K7F7F7FAmgen Proprietary - For Internal Use Only</oddFooter>
    <evenFooter>&amp;R&amp;"Arial,Regular"&amp;08&amp;K7F7F7FAmgen Proprietary - Confidential   &amp;C&amp;"Arial,Regular"&amp;08&amp;K7F7F7FAmgen Proprietary - For Internal Use Only</evenFooter>
    <firstFooter>&amp;R&amp;"Arial,Regular"&amp;08&amp;K7F7F7FAmgen Proprietary - Confidential   &amp;C&amp;"Arial,Regular"&amp;08&amp;K7F7F7FAmgen Proprietary - For Internal Use Only</firstFooter>
  </headerFooter>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248B98-E533-4B05-9E26-9CBFC217D2EB}">
  <sheetPr codeName="Sheet56">
    <pageSetUpPr autoPageBreaks="0"/>
  </sheetPr>
  <dimension ref="A1:O59"/>
  <sheetViews>
    <sheetView topLeftCell="A4" zoomScale="120" zoomScaleNormal="120" workbookViewId="0">
      <selection activeCell="E35" sqref="E35"/>
    </sheetView>
  </sheetViews>
  <sheetFormatPr defaultColWidth="23.453125" defaultRowHeight="11.5" x14ac:dyDescent="0.25"/>
  <cols>
    <col min="1" max="1" width="26" style="25" customWidth="1"/>
    <col min="2" max="2" width="28.453125" style="25" customWidth="1"/>
    <col min="3" max="3" width="25" style="25" customWidth="1"/>
    <col min="4" max="4" width="17.54296875" style="25" customWidth="1"/>
    <col min="5" max="5" width="23.453125" style="25" customWidth="1"/>
    <col min="6" max="6" width="67.54296875" style="25" bestFit="1" customWidth="1"/>
    <col min="7" max="7" width="41.453125" style="25" bestFit="1" customWidth="1"/>
    <col min="8" max="8" width="16.54296875" style="25" customWidth="1"/>
    <col min="9" max="9" width="14.453125" style="25" customWidth="1"/>
    <col min="10" max="10" width="11.54296875" style="25" customWidth="1"/>
    <col min="11" max="11" width="12.453125" style="25" customWidth="1"/>
    <col min="12" max="12" width="13.54296875" style="25" customWidth="1"/>
    <col min="13" max="13" width="13.453125" style="25" customWidth="1"/>
    <col min="14" max="16384" width="23.453125" style="25"/>
  </cols>
  <sheetData>
    <row r="1" spans="1:15" x14ac:dyDescent="0.25">
      <c r="A1" s="1100" t="s">
        <v>479</v>
      </c>
      <c r="B1" s="1100"/>
    </row>
    <row r="2" spans="1:15" x14ac:dyDescent="0.25">
      <c r="A2" s="781" t="s">
        <v>480</v>
      </c>
      <c r="B2" s="31">
        <f>A11</f>
        <v>44712.895833333336</v>
      </c>
      <c r="C2" s="719"/>
    </row>
    <row r="3" spans="1:15" x14ac:dyDescent="0.25">
      <c r="A3" s="781" t="s">
        <v>482</v>
      </c>
      <c r="B3" s="541">
        <f>A11</f>
        <v>44712.895833333336</v>
      </c>
    </row>
    <row r="5" spans="1:15" x14ac:dyDescent="0.25">
      <c r="A5" s="1100" t="s">
        <v>484</v>
      </c>
      <c r="B5" s="1100"/>
      <c r="C5" s="1100"/>
      <c r="D5" s="1100"/>
    </row>
    <row r="6" spans="1:15" x14ac:dyDescent="0.25">
      <c r="A6" s="781" t="s">
        <v>485</v>
      </c>
      <c r="B6" s="781" t="s">
        <v>486</v>
      </c>
      <c r="C6" s="781" t="s">
        <v>487</v>
      </c>
      <c r="D6" s="781" t="s">
        <v>488</v>
      </c>
    </row>
    <row r="7" spans="1:15" x14ac:dyDescent="0.25">
      <c r="A7" s="324" t="str">
        <f>F13</f>
        <v>IPC: Reaction Conversion</v>
      </c>
      <c r="B7" s="325">
        <f>INDEX($B$11:$B$66,MATCH(A7,$F$11:$F$66,0))</f>
        <v>44713.375</v>
      </c>
      <c r="C7" s="272">
        <f>INDEX($B$11:$B$66,MATCH(A7,$F$11:$F$66,0))</f>
        <v>44713.375</v>
      </c>
      <c r="D7" s="405"/>
    </row>
    <row r="8" spans="1:15" x14ac:dyDescent="0.25">
      <c r="A8" s="324" t="str">
        <f>F34</f>
        <v>IPC: GC, LC, KF</v>
      </c>
      <c r="B8" s="325">
        <f>A34</f>
        <v>44718.791666666672</v>
      </c>
      <c r="C8" s="272">
        <f>INDEX($B$11:$B$66,MATCH(A8,$F$11:$F$66,0))</f>
        <v>44718.791666666672</v>
      </c>
      <c r="D8" s="405"/>
      <c r="E8" s="399"/>
    </row>
    <row r="10" spans="1:15" ht="23" x14ac:dyDescent="0.25">
      <c r="A10" s="749" t="s">
        <v>492</v>
      </c>
      <c r="B10" s="749" t="s">
        <v>493</v>
      </c>
      <c r="C10" s="749" t="s">
        <v>494</v>
      </c>
      <c r="D10" s="86" t="s">
        <v>495</v>
      </c>
      <c r="E10" s="749" t="s">
        <v>540</v>
      </c>
      <c r="F10" s="749" t="s">
        <v>541</v>
      </c>
      <c r="G10" s="749" t="s">
        <v>498</v>
      </c>
      <c r="H10" s="184" t="s">
        <v>92</v>
      </c>
      <c r="I10" s="184" t="s">
        <v>248</v>
      </c>
      <c r="J10" s="184" t="s">
        <v>267</v>
      </c>
      <c r="K10" s="184" t="s">
        <v>677</v>
      </c>
      <c r="L10" s="184" t="s">
        <v>678</v>
      </c>
      <c r="M10" s="184" t="s">
        <v>501</v>
      </c>
    </row>
    <row r="11" spans="1:15" ht="12" customHeight="1" x14ac:dyDescent="0.25">
      <c r="A11" s="31">
        <v>44712.895833333336</v>
      </c>
      <c r="B11" s="38">
        <f>A11</f>
        <v>44712.895833333336</v>
      </c>
      <c r="C11" s="170">
        <v>0.22916666666666666</v>
      </c>
      <c r="D11" s="327" t="str">
        <f>IF(_xlfn.ISFORMULA(E11)=TRUE,"",E11-B11)</f>
        <v/>
      </c>
      <c r="E11" s="37">
        <f>B11+C11</f>
        <v>44713.125</v>
      </c>
      <c r="F11" s="264" t="s">
        <v>679</v>
      </c>
      <c r="G11" s="78"/>
      <c r="H11" s="352"/>
      <c r="I11" s="352"/>
      <c r="J11" s="352"/>
      <c r="K11" s="352"/>
      <c r="L11" s="352"/>
      <c r="M11" s="352"/>
      <c r="N11" s="1066" t="s">
        <v>609</v>
      </c>
      <c r="O11" s="1067"/>
    </row>
    <row r="12" spans="1:15" ht="12" customHeight="1" x14ac:dyDescent="0.25">
      <c r="A12" s="939">
        <f>IF(D11 = "",A11+C11,A11+D11)</f>
        <v>44713.125</v>
      </c>
      <c r="B12" s="940">
        <f t="shared" ref="B12:B21" si="0">IF(D11 = "",B11+C11,B11+D11)</f>
        <v>44713.125</v>
      </c>
      <c r="C12" s="941">
        <v>0.25</v>
      </c>
      <c r="D12" s="941" t="str">
        <f t="shared" ref="D12:D35" si="1">IF(_xlfn.ISFORMULA(E12)=TRUE,"",E12-B12)</f>
        <v/>
      </c>
      <c r="E12" s="940">
        <f t="shared" ref="E12:E14" si="2">B12+C12</f>
        <v>44713.375</v>
      </c>
      <c r="F12" s="942" t="s">
        <v>680</v>
      </c>
      <c r="G12" s="35"/>
      <c r="H12" s="778"/>
      <c r="I12" s="778"/>
      <c r="J12" s="778"/>
      <c r="K12" s="778"/>
      <c r="L12" s="778"/>
      <c r="M12" s="778"/>
      <c r="N12" s="268" t="s">
        <v>681</v>
      </c>
      <c r="O12" s="343">
        <f>SUM(L11:L14)</f>
        <v>606.29999999999995</v>
      </c>
    </row>
    <row r="13" spans="1:15" ht="12" customHeight="1" x14ac:dyDescent="0.25">
      <c r="A13" s="31">
        <f t="shared" ref="A13" si="3">IF(D12 = "",A12+C12,A12+D12)</f>
        <v>44713.375</v>
      </c>
      <c r="B13" s="37">
        <f t="shared" si="0"/>
        <v>44713.375</v>
      </c>
      <c r="C13" s="170">
        <v>0.13541666666666666</v>
      </c>
      <c r="D13" s="327" t="str">
        <f t="shared" si="1"/>
        <v/>
      </c>
      <c r="E13" s="37">
        <f t="shared" si="2"/>
        <v>44713.510416666664</v>
      </c>
      <c r="F13" s="320" t="s">
        <v>567</v>
      </c>
      <c r="G13" s="39"/>
      <c r="H13" s="778"/>
      <c r="I13" s="778"/>
      <c r="J13" s="778"/>
      <c r="K13" s="778"/>
      <c r="L13" s="778"/>
      <c r="M13" s="778"/>
      <c r="N13" s="268" t="s">
        <v>682</v>
      </c>
      <c r="O13" s="343">
        <f>SUM(M11:M14)</f>
        <v>0</v>
      </c>
    </row>
    <row r="14" spans="1:15" ht="12" customHeight="1" x14ac:dyDescent="0.25">
      <c r="A14" s="31">
        <f>IF(D13 = "",A13+C13,A13+D13)</f>
        <v>44713.510416666664</v>
      </c>
      <c r="B14" s="37">
        <f t="shared" si="0"/>
        <v>44713.510416666664</v>
      </c>
      <c r="C14" s="170">
        <v>0.39583333333333331</v>
      </c>
      <c r="D14" s="327" t="str">
        <f t="shared" si="1"/>
        <v/>
      </c>
      <c r="E14" s="37">
        <f t="shared" si="2"/>
        <v>44713.90625</v>
      </c>
      <c r="F14" s="321" t="s">
        <v>683</v>
      </c>
      <c r="G14" s="35"/>
      <c r="H14" s="778">
        <v>511.4</v>
      </c>
      <c r="I14" s="778"/>
      <c r="J14" s="778">
        <v>94.9</v>
      </c>
      <c r="K14" s="778"/>
      <c r="L14" s="778">
        <f>H14+J14</f>
        <v>606.29999999999995</v>
      </c>
      <c r="M14" s="778"/>
    </row>
    <row r="15" spans="1:15" ht="12" customHeight="1" x14ac:dyDescent="0.25">
      <c r="A15" s="1097" t="s">
        <v>2554</v>
      </c>
      <c r="B15" s="1098"/>
      <c r="C15" s="1098"/>
      <c r="D15" s="1098"/>
      <c r="E15" s="1098"/>
      <c r="F15" s="1098"/>
      <c r="G15" s="1098"/>
      <c r="H15" s="1098"/>
      <c r="I15" s="1098"/>
      <c r="J15" s="1098"/>
      <c r="K15" s="1098"/>
      <c r="L15" s="1098"/>
      <c r="M15" s="1099"/>
    </row>
    <row r="16" spans="1:15" ht="12" customHeight="1" x14ac:dyDescent="0.25">
      <c r="A16" s="706">
        <f>IF(D14 = "",A14+C14,A14+D14)</f>
        <v>44713.90625</v>
      </c>
      <c r="B16" s="685">
        <f>A14+"1:00"</f>
        <v>44713.552083333328</v>
      </c>
      <c r="C16" s="707">
        <v>2.0833333333333332E-2</v>
      </c>
      <c r="D16" s="327" t="str">
        <f t="shared" si="1"/>
        <v/>
      </c>
      <c r="E16" s="685">
        <f>B16+C16</f>
        <v>44713.572916666664</v>
      </c>
      <c r="F16" s="708" t="s">
        <v>684</v>
      </c>
      <c r="G16" s="1101" t="s">
        <v>685</v>
      </c>
      <c r="H16" s="709"/>
      <c r="I16" s="709">
        <v>50</v>
      </c>
      <c r="J16" s="709"/>
      <c r="K16" s="709"/>
      <c r="L16" s="709"/>
      <c r="M16" s="709">
        <f>I16</f>
        <v>50</v>
      </c>
      <c r="N16" s="1066" t="s">
        <v>624</v>
      </c>
      <c r="O16" s="1067"/>
    </row>
    <row r="17" spans="1:15" ht="12" customHeight="1" x14ac:dyDescent="0.25">
      <c r="A17" s="706">
        <f t="shared" ref="A17:A21" si="4">IF(D16 = "",A16+C16,A16+D16)</f>
        <v>44713.927083333336</v>
      </c>
      <c r="B17" s="685">
        <f t="shared" si="0"/>
        <v>44713.572916666664</v>
      </c>
      <c r="C17" s="707">
        <v>1.0416666666666666E-2</v>
      </c>
      <c r="D17" s="327" t="str">
        <f t="shared" si="1"/>
        <v/>
      </c>
      <c r="E17" s="685">
        <f t="shared" ref="E17:E35" si="5">B17+C17</f>
        <v>44713.583333333328</v>
      </c>
      <c r="F17" s="708" t="s">
        <v>2555</v>
      </c>
      <c r="G17" s="1102"/>
      <c r="H17" s="709">
        <v>150</v>
      </c>
      <c r="I17" s="709"/>
      <c r="J17" s="709"/>
      <c r="K17" s="709"/>
      <c r="L17" s="709">
        <f>H17</f>
        <v>150</v>
      </c>
      <c r="M17" s="709"/>
      <c r="N17" s="268" t="s">
        <v>681</v>
      </c>
      <c r="O17" s="343">
        <f>SUM(L16:L23)</f>
        <v>250</v>
      </c>
    </row>
    <row r="18" spans="1:15" ht="12" customHeight="1" x14ac:dyDescent="0.25">
      <c r="A18" s="706">
        <f t="shared" si="4"/>
        <v>44713.9375</v>
      </c>
      <c r="B18" s="685">
        <f t="shared" si="0"/>
        <v>44713.583333333328</v>
      </c>
      <c r="C18" s="707">
        <v>4.1666666666666664E-2</v>
      </c>
      <c r="D18" s="327" t="str">
        <f t="shared" si="1"/>
        <v/>
      </c>
      <c r="E18" s="685">
        <f t="shared" si="5"/>
        <v>44713.624999999993</v>
      </c>
      <c r="F18" s="708" t="s">
        <v>2556</v>
      </c>
      <c r="G18" s="1102"/>
      <c r="H18" s="709">
        <v>100</v>
      </c>
      <c r="I18" s="709"/>
      <c r="J18" s="709"/>
      <c r="K18" s="709"/>
      <c r="L18" s="709">
        <v>100</v>
      </c>
      <c r="M18" s="709"/>
      <c r="N18" s="268" t="s">
        <v>682</v>
      </c>
      <c r="O18" s="343">
        <f>SUM(M16:M23)</f>
        <v>400</v>
      </c>
    </row>
    <row r="19" spans="1:15" ht="12" customHeight="1" x14ac:dyDescent="0.25">
      <c r="A19" s="706">
        <f t="shared" si="4"/>
        <v>44713.979166666664</v>
      </c>
      <c r="B19" s="685">
        <f t="shared" si="0"/>
        <v>44713.624999999993</v>
      </c>
      <c r="C19" s="707">
        <v>1.0416666666666666E-2</v>
      </c>
      <c r="D19" s="327" t="str">
        <f t="shared" si="1"/>
        <v/>
      </c>
      <c r="E19" s="685">
        <f t="shared" si="5"/>
        <v>44713.635416666657</v>
      </c>
      <c r="F19" s="708" t="s">
        <v>2557</v>
      </c>
      <c r="G19" s="1102"/>
      <c r="H19" s="709"/>
      <c r="I19" s="709"/>
      <c r="J19" s="709"/>
      <c r="K19" s="709">
        <v>150</v>
      </c>
      <c r="L19" s="709"/>
      <c r="M19" s="709">
        <v>150</v>
      </c>
    </row>
    <row r="20" spans="1:15" ht="12" customHeight="1" x14ac:dyDescent="0.25">
      <c r="A20" s="706">
        <f t="shared" si="4"/>
        <v>44713.989583333328</v>
      </c>
      <c r="B20" s="685">
        <f t="shared" si="0"/>
        <v>44713.635416666657</v>
      </c>
      <c r="C20" s="707">
        <v>4.1666666666666664E-2</v>
      </c>
      <c r="D20" s="327"/>
      <c r="E20" s="685">
        <f t="shared" si="5"/>
        <v>44713.677083333321</v>
      </c>
      <c r="F20" s="708" t="s">
        <v>688</v>
      </c>
      <c r="G20" s="1102"/>
      <c r="H20" s="709"/>
      <c r="I20" s="709"/>
      <c r="J20" s="709"/>
      <c r="K20" s="709">
        <v>100</v>
      </c>
      <c r="L20" s="709"/>
      <c r="M20" s="709">
        <f>K20</f>
        <v>100</v>
      </c>
    </row>
    <row r="21" spans="1:15" ht="12" customHeight="1" x14ac:dyDescent="0.25">
      <c r="A21" s="706">
        <f t="shared" si="4"/>
        <v>44714.031249999993</v>
      </c>
      <c r="B21" s="685">
        <f t="shared" si="0"/>
        <v>44713.677083333321</v>
      </c>
      <c r="C21" s="707">
        <v>4.1666666666666664E-2</v>
      </c>
      <c r="D21" s="327"/>
      <c r="E21" s="685">
        <f t="shared" si="5"/>
        <v>44713.718749999985</v>
      </c>
      <c r="F21" s="708" t="s">
        <v>689</v>
      </c>
      <c r="G21" s="1102"/>
      <c r="H21" s="709"/>
      <c r="I21" s="709"/>
      <c r="J21" s="709"/>
      <c r="K21" s="709">
        <v>100</v>
      </c>
      <c r="L21" s="709"/>
      <c r="M21" s="709">
        <v>100</v>
      </c>
    </row>
    <row r="22" spans="1:15" ht="12" customHeight="1" x14ac:dyDescent="0.25">
      <c r="A22" s="31">
        <f>IF(D14 = "",A14+C14,A14+D14)</f>
        <v>44713.90625</v>
      </c>
      <c r="B22" s="37">
        <f>IF(D14 = "",B14+C14,B14+D14)</f>
        <v>44713.90625</v>
      </c>
      <c r="C22" s="172">
        <v>3.125E-2</v>
      </c>
      <c r="D22" s="327" t="str">
        <f t="shared" si="1"/>
        <v/>
      </c>
      <c r="E22" s="37">
        <f t="shared" si="5"/>
        <v>44713.9375</v>
      </c>
      <c r="F22" s="264" t="s">
        <v>690</v>
      </c>
      <c r="G22" s="35"/>
      <c r="H22" s="393"/>
      <c r="I22" s="393"/>
      <c r="J22" s="393"/>
      <c r="K22" s="393"/>
      <c r="L22" s="393"/>
      <c r="M22" s="393"/>
    </row>
    <row r="23" spans="1:15" ht="12" customHeight="1" x14ac:dyDescent="0.25">
      <c r="A23" s="31">
        <f t="shared" ref="A23:A27" si="6">IF(D22 = "",A22+C22,A22+D22)</f>
        <v>44713.9375</v>
      </c>
      <c r="B23" s="37">
        <f t="shared" ref="B23:B35" si="7">IF(D22 = "",B22+C22,B22+D22)</f>
        <v>44713.9375</v>
      </c>
      <c r="C23" s="172">
        <v>0.89583333333333337</v>
      </c>
      <c r="D23" s="327" t="str">
        <f t="shared" si="1"/>
        <v/>
      </c>
      <c r="E23" s="37">
        <f t="shared" si="5"/>
        <v>44714.833333333336</v>
      </c>
      <c r="F23" s="264" t="s">
        <v>691</v>
      </c>
      <c r="G23" s="39"/>
      <c r="H23" s="778"/>
      <c r="I23" s="778"/>
      <c r="J23" s="778"/>
      <c r="K23" s="1074">
        <v>300</v>
      </c>
      <c r="L23" s="778"/>
      <c r="M23" s="778"/>
    </row>
    <row r="24" spans="1:15" ht="12" customHeight="1" x14ac:dyDescent="0.25">
      <c r="A24" s="31">
        <f t="shared" si="6"/>
        <v>44714.833333333336</v>
      </c>
      <c r="B24" s="37">
        <f t="shared" si="7"/>
        <v>44714.833333333336</v>
      </c>
      <c r="C24" s="170">
        <v>0.41666666666666669</v>
      </c>
      <c r="D24" s="327" t="str">
        <f t="shared" si="1"/>
        <v/>
      </c>
      <c r="E24" s="37">
        <f t="shared" si="5"/>
        <v>44715.25</v>
      </c>
      <c r="F24" s="264" t="s">
        <v>548</v>
      </c>
      <c r="G24" s="35"/>
      <c r="H24" s="778"/>
      <c r="I24" s="778"/>
      <c r="J24" s="778"/>
      <c r="K24" s="1074"/>
      <c r="L24" s="778"/>
      <c r="M24" s="778"/>
      <c r="N24" s="1066" t="s">
        <v>630</v>
      </c>
      <c r="O24" s="1067"/>
    </row>
    <row r="25" spans="1:15" ht="12" customHeight="1" x14ac:dyDescent="0.25">
      <c r="A25" s="31">
        <f>IF(D24 = "",A24+C24,A24+D24)</f>
        <v>44715.25</v>
      </c>
      <c r="B25" s="37">
        <f>IF(D24 = "",B24+C24,B24+D24)</f>
        <v>44715.25</v>
      </c>
      <c r="C25" s="170">
        <v>0.1875</v>
      </c>
      <c r="D25" s="327" t="str">
        <f t="shared" si="1"/>
        <v/>
      </c>
      <c r="E25" s="37">
        <f t="shared" si="5"/>
        <v>44715.4375</v>
      </c>
      <c r="F25" s="264" t="s">
        <v>549</v>
      </c>
      <c r="G25" s="35"/>
      <c r="H25" s="778"/>
      <c r="I25" s="1075">
        <v>467.03699999999998</v>
      </c>
      <c r="J25" s="778"/>
      <c r="K25" s="1074"/>
      <c r="L25" s="778"/>
      <c r="M25" s="778"/>
      <c r="N25" s="268" t="s">
        <v>682</v>
      </c>
      <c r="O25" s="343">
        <f>SUM(M24:M26)</f>
        <v>767.03700000000003</v>
      </c>
    </row>
    <row r="26" spans="1:15" ht="12" customHeight="1" x14ac:dyDescent="0.25">
      <c r="A26" s="31">
        <f t="shared" si="6"/>
        <v>44715.4375</v>
      </c>
      <c r="B26" s="37">
        <f t="shared" si="7"/>
        <v>44715.4375</v>
      </c>
      <c r="C26" s="170">
        <v>1.0208333333333333</v>
      </c>
      <c r="D26" s="327"/>
      <c r="E26" s="37">
        <f t="shared" si="5"/>
        <v>44716.458333333336</v>
      </c>
      <c r="F26" s="264" t="s">
        <v>692</v>
      </c>
      <c r="G26" s="35"/>
      <c r="H26" s="778"/>
      <c r="I26" s="1076"/>
      <c r="J26" s="778"/>
      <c r="K26" s="1074"/>
      <c r="L26" s="778"/>
      <c r="M26" s="778">
        <f>I25+K23</f>
        <v>767.03700000000003</v>
      </c>
      <c r="N26" s="268" t="s">
        <v>682</v>
      </c>
      <c r="O26" s="343">
        <f>SUM(M24:M26)</f>
        <v>767.03700000000003</v>
      </c>
    </row>
    <row r="27" spans="1:15" ht="12" customHeight="1" x14ac:dyDescent="0.25">
      <c r="A27" s="410">
        <f t="shared" si="6"/>
        <v>44716.458333333336</v>
      </c>
      <c r="B27" s="329">
        <f>IF(D26 = "",B26+C26,B26+D26)</f>
        <v>44716.458333333336</v>
      </c>
      <c r="C27" s="173">
        <v>2.3333333333333335</v>
      </c>
      <c r="D27" s="468" t="str">
        <f t="shared" si="1"/>
        <v/>
      </c>
      <c r="E27" s="329">
        <f t="shared" si="5"/>
        <v>44718.791666666672</v>
      </c>
      <c r="F27" s="353" t="s">
        <v>551</v>
      </c>
      <c r="G27" s="178"/>
      <c r="H27" s="779"/>
      <c r="I27" s="394"/>
      <c r="J27" s="779"/>
      <c r="K27" s="779"/>
      <c r="L27" s="779"/>
      <c r="M27" s="779"/>
    </row>
    <row r="28" spans="1:15" ht="12" hidden="1" customHeight="1" x14ac:dyDescent="0.25">
      <c r="A28" s="322">
        <f>A27</f>
        <v>44716.458333333336</v>
      </c>
      <c r="B28" s="323">
        <f>B27</f>
        <v>44716.458333333336</v>
      </c>
      <c r="C28" s="400">
        <v>1.0416666666666666E-2</v>
      </c>
      <c r="D28" s="400" t="str">
        <f t="shared" si="1"/>
        <v/>
      </c>
      <c r="E28" s="323">
        <f t="shared" si="5"/>
        <v>44716.46875</v>
      </c>
      <c r="F28" s="531" t="s">
        <v>2558</v>
      </c>
      <c r="G28" s="533"/>
      <c r="H28" s="392"/>
      <c r="I28" s="392"/>
      <c r="J28" s="392"/>
      <c r="K28" s="392"/>
      <c r="L28" s="392"/>
      <c r="M28" s="392"/>
    </row>
    <row r="29" spans="1:15" ht="12" hidden="1" customHeight="1" x14ac:dyDescent="0.25">
      <c r="A29" s="322">
        <f>A28+C28</f>
        <v>44716.46875</v>
      </c>
      <c r="B29" s="323">
        <f>B28+C28</f>
        <v>44716.46875</v>
      </c>
      <c r="C29" s="400">
        <v>2.0833333333333332E-2</v>
      </c>
      <c r="D29" s="400" t="str">
        <f t="shared" si="1"/>
        <v/>
      </c>
      <c r="E29" s="323">
        <f t="shared" si="5"/>
        <v>44716.489583333336</v>
      </c>
      <c r="F29" s="531" t="s">
        <v>2559</v>
      </c>
      <c r="G29" s="533"/>
      <c r="H29" s="392"/>
      <c r="I29" s="392"/>
      <c r="J29" s="392"/>
      <c r="K29" s="392"/>
      <c r="L29" s="392"/>
      <c r="M29" s="392"/>
    </row>
    <row r="30" spans="1:15" ht="12" hidden="1" customHeight="1" x14ac:dyDescent="0.25">
      <c r="A30" s="322">
        <f t="shared" ref="A30:A31" si="8">A29+C29</f>
        <v>44716.489583333336</v>
      </c>
      <c r="B30" s="323">
        <f>B29+C29</f>
        <v>44716.489583333336</v>
      </c>
      <c r="C30" s="400">
        <v>0.1875</v>
      </c>
      <c r="D30" s="400"/>
      <c r="E30" s="323">
        <f t="shared" si="5"/>
        <v>44716.677083333336</v>
      </c>
      <c r="F30" s="531" t="s">
        <v>2560</v>
      </c>
      <c r="G30" s="533"/>
      <c r="H30" s="392"/>
      <c r="I30" s="392"/>
      <c r="J30" s="392"/>
      <c r="K30" s="392"/>
      <c r="L30" s="392"/>
      <c r="M30" s="392"/>
    </row>
    <row r="31" spans="1:15" ht="12" hidden="1" customHeight="1" x14ac:dyDescent="0.25">
      <c r="A31" s="322">
        <f t="shared" si="8"/>
        <v>44716.677083333336</v>
      </c>
      <c r="B31" s="323">
        <f>B30+C30</f>
        <v>44716.677083333336</v>
      </c>
      <c r="C31" s="400">
        <v>6.25E-2</v>
      </c>
      <c r="D31" s="400"/>
      <c r="E31" s="323">
        <f t="shared" si="5"/>
        <v>44716.739583333336</v>
      </c>
      <c r="F31" s="531" t="s">
        <v>520</v>
      </c>
      <c r="G31" s="533"/>
      <c r="H31" s="392"/>
      <c r="I31" s="392"/>
      <c r="J31" s="392"/>
      <c r="K31" s="392"/>
      <c r="L31" s="392"/>
      <c r="M31" s="392"/>
    </row>
    <row r="32" spans="1:15" ht="12" customHeight="1" x14ac:dyDescent="0.25">
      <c r="A32" s="534">
        <f t="shared" ref="A32" si="9">A27+C27</f>
        <v>44718.791666666672</v>
      </c>
      <c r="B32" s="535">
        <f>IF(D27 = "",B27+C27,B27+D27)</f>
        <v>44718.791666666672</v>
      </c>
      <c r="C32" s="536">
        <v>0</v>
      </c>
      <c r="D32" s="537"/>
      <c r="E32" s="535">
        <f t="shared" si="5"/>
        <v>44718.791666666672</v>
      </c>
      <c r="F32" s="538" t="s">
        <v>2665</v>
      </c>
      <c r="G32" s="539"/>
      <c r="H32" s="540"/>
      <c r="I32" s="540"/>
      <c r="J32" s="540"/>
      <c r="K32" s="540"/>
      <c r="L32" s="540"/>
      <c r="M32" s="540"/>
    </row>
    <row r="33" spans="1:13" ht="12" customHeight="1" x14ac:dyDescent="0.25">
      <c r="A33" s="330">
        <f t="shared" ref="A33:A35" si="10">IF(D32 = "",A32+C32,A32+D32)</f>
        <v>44718.791666666672</v>
      </c>
      <c r="B33" s="331">
        <f t="shared" si="7"/>
        <v>44718.791666666672</v>
      </c>
      <c r="C33" s="354">
        <v>0</v>
      </c>
      <c r="D33" s="470" t="str">
        <f t="shared" si="1"/>
        <v/>
      </c>
      <c r="E33" s="331">
        <f t="shared" si="5"/>
        <v>44718.791666666672</v>
      </c>
      <c r="F33" s="355" t="s">
        <v>551</v>
      </c>
      <c r="G33" s="356"/>
      <c r="H33" s="780"/>
      <c r="I33" s="780"/>
      <c r="J33" s="780"/>
      <c r="K33" s="780"/>
      <c r="L33" s="780"/>
      <c r="M33" s="780"/>
    </row>
    <row r="34" spans="1:13" ht="12" customHeight="1" x14ac:dyDescent="0.25">
      <c r="A34" s="31">
        <f t="shared" si="10"/>
        <v>44718.791666666672</v>
      </c>
      <c r="B34" s="37">
        <f t="shared" si="7"/>
        <v>44718.791666666672</v>
      </c>
      <c r="C34" s="170">
        <v>1.1666666666666667</v>
      </c>
      <c r="D34" s="327" t="str">
        <f t="shared" si="1"/>
        <v/>
      </c>
      <c r="E34" s="37">
        <f t="shared" si="5"/>
        <v>44719.958333333336</v>
      </c>
      <c r="F34" s="320" t="s">
        <v>694</v>
      </c>
      <c r="G34" s="35"/>
      <c r="H34" s="778"/>
      <c r="I34" s="778"/>
      <c r="J34" s="778"/>
      <c r="K34" s="778"/>
      <c r="L34" s="778"/>
      <c r="M34" s="778"/>
    </row>
    <row r="35" spans="1:13" ht="12" customHeight="1" x14ac:dyDescent="0.25">
      <c r="A35" s="31">
        <f t="shared" si="10"/>
        <v>44719.958333333336</v>
      </c>
      <c r="B35" s="37">
        <f t="shared" si="7"/>
        <v>44719.958333333336</v>
      </c>
      <c r="C35" s="170">
        <v>0.125</v>
      </c>
      <c r="D35" s="327" t="str">
        <f t="shared" si="1"/>
        <v/>
      </c>
      <c r="E35" s="37">
        <f t="shared" si="5"/>
        <v>44720.083333333336</v>
      </c>
      <c r="F35" s="264" t="s">
        <v>554</v>
      </c>
      <c r="G35" s="35"/>
      <c r="H35" s="397"/>
      <c r="I35" s="397"/>
      <c r="J35" s="397"/>
      <c r="K35" s="397"/>
      <c r="L35" s="397"/>
      <c r="M35" s="397"/>
    </row>
    <row r="36" spans="1:13" ht="21" x14ac:dyDescent="0.55000000000000004">
      <c r="A36" s="34"/>
      <c r="B36" s="33" t="s">
        <v>534</v>
      </c>
      <c r="C36" s="32">
        <f>SUM(C11:C14,C22:C27,C33:C35)</f>
        <v>7.1875000000000009</v>
      </c>
      <c r="D36" s="32">
        <f>SUM(D11:D14,D22:D27,D33:D35)</f>
        <v>0</v>
      </c>
      <c r="G36" s="243" t="s">
        <v>535</v>
      </c>
      <c r="H36" s="350">
        <f>SUM(H11:H26)</f>
        <v>761.4</v>
      </c>
      <c r="I36" s="350">
        <f>SUM(I11:I26)</f>
        <v>517.03700000000003</v>
      </c>
      <c r="J36" s="350">
        <f>SUM(J11:J26)</f>
        <v>94.9</v>
      </c>
      <c r="K36" s="351">
        <f>SUM(K11:K35)</f>
        <v>650</v>
      </c>
      <c r="L36" s="351">
        <f>SUM(L11:L35)</f>
        <v>856.3</v>
      </c>
      <c r="M36" s="351">
        <f>SUM(M11:M35)</f>
        <v>1167.037</v>
      </c>
    </row>
    <row r="37" spans="1:13" x14ac:dyDescent="0.25">
      <c r="B37" s="31" t="s">
        <v>536</v>
      </c>
      <c r="C37" s="30">
        <f>(C36*60)/1440</f>
        <v>0.29947916666666669</v>
      </c>
      <c r="D37" s="30">
        <f>(D36*60)/1440</f>
        <v>0</v>
      </c>
      <c r="G37" s="26"/>
      <c r="H37" s="26"/>
      <c r="I37" s="26"/>
      <c r="J37" s="26"/>
      <c r="K37" s="26"/>
      <c r="L37" s="26"/>
      <c r="M37" s="26"/>
    </row>
    <row r="38" spans="1:13" x14ac:dyDescent="0.25">
      <c r="F38" s="26"/>
      <c r="G38" s="26"/>
      <c r="H38" s="26"/>
      <c r="I38" s="26"/>
      <c r="J38" s="26"/>
      <c r="K38" s="26"/>
      <c r="L38" s="26"/>
    </row>
    <row r="39" spans="1:13" x14ac:dyDescent="0.25">
      <c r="F39" s="26"/>
      <c r="G39" s="26"/>
      <c r="H39" s="26"/>
      <c r="I39" s="26"/>
      <c r="J39" s="26"/>
      <c r="K39" s="26"/>
      <c r="L39" s="26"/>
    </row>
    <row r="40" spans="1:13" ht="11.9" hidden="1" customHeight="1" x14ac:dyDescent="0.25">
      <c r="A40" s="1072" t="s">
        <v>555</v>
      </c>
      <c r="B40" s="1073"/>
      <c r="F40" s="26"/>
      <c r="G40" s="26"/>
      <c r="H40" s="26"/>
      <c r="I40" s="26"/>
      <c r="J40" s="26"/>
      <c r="K40" s="26"/>
      <c r="L40" s="26"/>
    </row>
    <row r="41" spans="1:13" hidden="1" x14ac:dyDescent="0.25">
      <c r="A41" s="781" t="s">
        <v>556</v>
      </c>
      <c r="B41" s="29" t="e">
        <f>MAX(A24,#REF!)</f>
        <v>#REF!</v>
      </c>
      <c r="F41" s="26"/>
      <c r="G41" s="26"/>
      <c r="H41" s="26"/>
      <c r="I41" s="26"/>
      <c r="J41" s="26"/>
      <c r="K41" s="26"/>
      <c r="L41" s="26"/>
    </row>
    <row r="42" spans="1:13" hidden="1" x14ac:dyDescent="0.25">
      <c r="A42" s="781" t="s">
        <v>557</v>
      </c>
      <c r="B42" s="28" t="e">
        <f>MAX((#REF!+#REF!),(B24+C24))</f>
        <v>#REF!</v>
      </c>
      <c r="F42" s="26"/>
      <c r="G42" s="26"/>
      <c r="H42" s="26"/>
      <c r="I42" s="26"/>
      <c r="J42" s="26"/>
      <c r="K42" s="26"/>
      <c r="L42" s="26"/>
    </row>
    <row r="43" spans="1:13" x14ac:dyDescent="0.25">
      <c r="F43" s="26"/>
      <c r="G43" s="26"/>
      <c r="H43" s="26"/>
      <c r="I43" s="26"/>
      <c r="J43" s="26"/>
      <c r="K43" s="26"/>
      <c r="L43" s="26"/>
    </row>
    <row r="44" spans="1:13" x14ac:dyDescent="0.25">
      <c r="F44" s="26"/>
      <c r="G44" s="26"/>
      <c r="H44" s="26"/>
      <c r="I44" s="26"/>
      <c r="J44" s="26"/>
      <c r="K44" s="26"/>
      <c r="L44" s="26"/>
    </row>
    <row r="45" spans="1:13" x14ac:dyDescent="0.25">
      <c r="F45" s="26"/>
      <c r="G45" s="26"/>
      <c r="H45" s="26"/>
      <c r="I45" s="26"/>
      <c r="J45" s="26"/>
      <c r="K45" s="26"/>
      <c r="L45" s="26"/>
    </row>
    <row r="46" spans="1:13" x14ac:dyDescent="0.25">
      <c r="F46" s="26"/>
      <c r="G46" s="26"/>
      <c r="H46" s="26"/>
      <c r="I46" s="26"/>
      <c r="J46" s="26"/>
      <c r="K46" s="26"/>
      <c r="L46" s="26"/>
    </row>
    <row r="47" spans="1:13" x14ac:dyDescent="0.25">
      <c r="C47" s="27"/>
      <c r="F47" s="26"/>
      <c r="G47" s="26"/>
      <c r="H47" s="26"/>
      <c r="I47" s="26"/>
      <c r="J47" s="26"/>
      <c r="K47" s="26"/>
      <c r="L47" s="26"/>
    </row>
    <row r="48" spans="1:13" x14ac:dyDescent="0.25">
      <c r="F48" s="26"/>
      <c r="G48" s="26"/>
      <c r="H48" s="26"/>
      <c r="I48" s="26"/>
      <c r="J48" s="26"/>
      <c r="K48" s="26"/>
      <c r="L48" s="26"/>
    </row>
    <row r="49" spans="5:12" x14ac:dyDescent="0.25">
      <c r="F49" s="26"/>
      <c r="G49" s="26"/>
      <c r="H49" s="26"/>
      <c r="I49" s="26"/>
      <c r="J49" s="26"/>
      <c r="K49" s="26"/>
      <c r="L49" s="26"/>
    </row>
    <row r="50" spans="5:12" x14ac:dyDescent="0.25">
      <c r="F50" s="26"/>
      <c r="G50" s="26"/>
      <c r="H50" s="26"/>
      <c r="I50" s="26"/>
      <c r="J50" s="26"/>
      <c r="K50" s="26"/>
      <c r="L50" s="26"/>
    </row>
    <row r="51" spans="5:12" x14ac:dyDescent="0.25">
      <c r="F51" s="26"/>
      <c r="G51" s="26"/>
      <c r="H51" s="26"/>
      <c r="I51" s="26"/>
      <c r="J51" s="26"/>
      <c r="K51" s="26"/>
      <c r="L51" s="26"/>
    </row>
    <row r="52" spans="5:12" x14ac:dyDescent="0.25">
      <c r="F52" s="26"/>
      <c r="G52" s="26"/>
      <c r="H52" s="26"/>
      <c r="I52" s="26"/>
      <c r="J52" s="26"/>
      <c r="K52" s="26"/>
      <c r="L52" s="26"/>
    </row>
    <row r="53" spans="5:12" x14ac:dyDescent="0.25">
      <c r="F53" s="26"/>
      <c r="G53" s="26"/>
      <c r="H53" s="26"/>
      <c r="I53" s="26"/>
      <c r="J53" s="26"/>
      <c r="K53" s="26"/>
      <c r="L53" s="26"/>
    </row>
    <row r="54" spans="5:12" x14ac:dyDescent="0.25">
      <c r="F54" s="26"/>
      <c r="G54" s="26"/>
      <c r="H54" s="26"/>
      <c r="I54" s="26"/>
      <c r="J54" s="26"/>
      <c r="K54" s="26"/>
      <c r="L54" s="26"/>
    </row>
    <row r="55" spans="5:12" x14ac:dyDescent="0.25">
      <c r="F55" s="26"/>
      <c r="G55" s="26"/>
      <c r="H55" s="26"/>
      <c r="I55" s="26"/>
      <c r="J55" s="26"/>
      <c r="K55" s="26"/>
      <c r="L55" s="26"/>
    </row>
    <row r="56" spans="5:12" x14ac:dyDescent="0.25">
      <c r="F56" s="26"/>
      <c r="G56" s="26"/>
      <c r="H56" s="26"/>
      <c r="I56" s="26"/>
      <c r="J56" s="26"/>
      <c r="K56" s="26"/>
      <c r="L56" s="26"/>
    </row>
    <row r="57" spans="5:12" x14ac:dyDescent="0.25">
      <c r="F57" s="26"/>
      <c r="G57" s="26"/>
      <c r="H57" s="26"/>
      <c r="I57" s="26"/>
      <c r="J57" s="26"/>
      <c r="K57" s="26"/>
      <c r="L57" s="26"/>
    </row>
    <row r="58" spans="5:12" x14ac:dyDescent="0.25">
      <c r="E58" s="26"/>
    </row>
    <row r="59" spans="5:12" x14ac:dyDescent="0.25">
      <c r="E59" s="26"/>
    </row>
  </sheetData>
  <mergeCells count="10">
    <mergeCell ref="K23:K26"/>
    <mergeCell ref="N24:O24"/>
    <mergeCell ref="I25:I26"/>
    <mergeCell ref="A40:B40"/>
    <mergeCell ref="A1:B1"/>
    <mergeCell ref="A5:D5"/>
    <mergeCell ref="N11:O11"/>
    <mergeCell ref="A15:M15"/>
    <mergeCell ref="G16:G21"/>
    <mergeCell ref="N16:O16"/>
  </mergeCells>
  <pageMargins left="0.75" right="0.75" top="1" bottom="1" header="0.5" footer="0.5"/>
  <pageSetup orientation="portrait" r:id="rId1"/>
  <headerFooter alignWithMargins="0">
    <oddFooter>&amp;R&amp;"Arial,Regular"&amp;08&amp;K7F7F7FAmgen Proprietary - Confidential   &amp;C&amp;"Arial,Regular"&amp;08&amp;K7F7F7FAmgen Proprietary - For Internal Use Only</oddFooter>
    <evenFooter>&amp;R&amp;"Arial,Regular"&amp;08&amp;K7F7F7FAmgen Proprietary - Confidential   &amp;C&amp;"Arial,Regular"&amp;08&amp;K7F7F7FAmgen Proprietary - For Internal Use Only</evenFooter>
    <firstFooter>&amp;R&amp;"Arial,Regular"&amp;08&amp;K7F7F7FAmgen Proprietary - Confidential   &amp;C&amp;"Arial,Regular"&amp;08&amp;K7F7F7FAmgen Proprietary - For Internal Use Only</firstFooter>
  </headerFooter>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6416C-682C-40BF-A870-05B46B43BF17}">
  <sheetPr codeName="Sheet58">
    <pageSetUpPr autoPageBreaks="0"/>
  </sheetPr>
  <dimension ref="A1:O59"/>
  <sheetViews>
    <sheetView topLeftCell="A4" zoomScale="120" zoomScaleNormal="120" workbookViewId="0">
      <selection activeCell="B11" sqref="B11"/>
    </sheetView>
  </sheetViews>
  <sheetFormatPr defaultColWidth="23.453125" defaultRowHeight="11.5" x14ac:dyDescent="0.25"/>
  <cols>
    <col min="1" max="1" width="26" style="25" customWidth="1"/>
    <col min="2" max="2" width="28.453125" style="25" customWidth="1"/>
    <col min="3" max="3" width="25" style="25" customWidth="1"/>
    <col min="4" max="4" width="17.54296875" style="25" customWidth="1"/>
    <col min="5" max="5" width="23.453125" style="25" customWidth="1"/>
    <col min="6" max="6" width="67.54296875" style="25" bestFit="1" customWidth="1"/>
    <col min="7" max="7" width="41.453125" style="25" bestFit="1" customWidth="1"/>
    <col min="8" max="8" width="16.54296875" style="25" customWidth="1"/>
    <col min="9" max="9" width="14.453125" style="25" customWidth="1"/>
    <col min="10" max="10" width="11.54296875" style="25" customWidth="1"/>
    <col min="11" max="11" width="12.453125" style="25" customWidth="1"/>
    <col min="12" max="12" width="13.54296875" style="25" customWidth="1"/>
    <col min="13" max="13" width="13.453125" style="25" customWidth="1"/>
    <col min="14" max="16384" width="23.453125" style="25"/>
  </cols>
  <sheetData>
    <row r="1" spans="1:15" x14ac:dyDescent="0.25">
      <c r="A1" s="1100" t="s">
        <v>479</v>
      </c>
      <c r="B1" s="1100"/>
    </row>
    <row r="2" spans="1:15" x14ac:dyDescent="0.25">
      <c r="A2" s="781" t="s">
        <v>480</v>
      </c>
      <c r="B2" s="31">
        <f>A11</f>
        <v>44720.416666666664</v>
      </c>
      <c r="C2" s="719"/>
    </row>
    <row r="3" spans="1:15" x14ac:dyDescent="0.25">
      <c r="A3" s="781" t="s">
        <v>482</v>
      </c>
      <c r="B3" s="541">
        <f>A11</f>
        <v>44720.416666666664</v>
      </c>
    </row>
    <row r="5" spans="1:15" x14ac:dyDescent="0.25">
      <c r="A5" s="1100" t="s">
        <v>484</v>
      </c>
      <c r="B5" s="1100"/>
      <c r="C5" s="1100"/>
      <c r="D5" s="1100"/>
    </row>
    <row r="6" spans="1:15" x14ac:dyDescent="0.25">
      <c r="A6" s="781" t="s">
        <v>485</v>
      </c>
      <c r="B6" s="781" t="s">
        <v>486</v>
      </c>
      <c r="C6" s="781" t="s">
        <v>487</v>
      </c>
      <c r="D6" s="781" t="s">
        <v>488</v>
      </c>
    </row>
    <row r="7" spans="1:15" x14ac:dyDescent="0.25">
      <c r="A7" s="324" t="str">
        <f>F13</f>
        <v>IPC: Reaction Conversion</v>
      </c>
      <c r="B7" s="325">
        <f>INDEX($B$11:$B$66,MATCH(A7,$F$11:$F$66,0))</f>
        <v>44720.895833333328</v>
      </c>
      <c r="C7" s="272">
        <f>INDEX($B$11:$B$66,MATCH(A7,$F$11:$F$66,0))</f>
        <v>44720.895833333328</v>
      </c>
      <c r="D7" s="405"/>
    </row>
    <row r="8" spans="1:15" x14ac:dyDescent="0.25">
      <c r="A8" s="324" t="str">
        <f>F34</f>
        <v>IPC: GC, LC, KF</v>
      </c>
      <c r="B8" s="325">
        <f>A34</f>
        <v>44726.270833333328</v>
      </c>
      <c r="C8" s="272">
        <f>INDEX($B$11:$B$66,MATCH(A8,$F$11:$F$66,0))</f>
        <v>44726.270833333328</v>
      </c>
      <c r="D8" s="405"/>
      <c r="E8" s="399"/>
    </row>
    <row r="10" spans="1:15" ht="23" x14ac:dyDescent="0.25">
      <c r="A10" s="749" t="s">
        <v>492</v>
      </c>
      <c r="B10" s="749" t="s">
        <v>493</v>
      </c>
      <c r="C10" s="749" t="s">
        <v>494</v>
      </c>
      <c r="D10" s="86" t="s">
        <v>495</v>
      </c>
      <c r="E10" s="749" t="s">
        <v>540</v>
      </c>
      <c r="F10" s="749" t="s">
        <v>541</v>
      </c>
      <c r="G10" s="749" t="s">
        <v>498</v>
      </c>
      <c r="H10" s="184" t="s">
        <v>92</v>
      </c>
      <c r="I10" s="184" t="s">
        <v>248</v>
      </c>
      <c r="J10" s="184" t="s">
        <v>267</v>
      </c>
      <c r="K10" s="184" t="s">
        <v>677</v>
      </c>
      <c r="L10" s="184" t="s">
        <v>678</v>
      </c>
      <c r="M10" s="184" t="s">
        <v>501</v>
      </c>
    </row>
    <row r="11" spans="1:15" ht="12" customHeight="1" x14ac:dyDescent="0.25">
      <c r="A11" s="31">
        <v>44720.416666666664</v>
      </c>
      <c r="B11" s="38">
        <f>A11</f>
        <v>44720.416666666664</v>
      </c>
      <c r="C11" s="170">
        <v>0.22916666666666666</v>
      </c>
      <c r="D11" s="327" t="str">
        <f>IF(_xlfn.ISFORMULA(E11)=TRUE,"",E11-B11)</f>
        <v/>
      </c>
      <c r="E11" s="37">
        <f>B11+C11</f>
        <v>44720.645833333328</v>
      </c>
      <c r="F11" s="264" t="s">
        <v>679</v>
      </c>
      <c r="G11" s="78"/>
      <c r="H11" s="352"/>
      <c r="I11" s="352"/>
      <c r="J11" s="352"/>
      <c r="K11" s="352"/>
      <c r="L11" s="352"/>
      <c r="M11" s="352"/>
      <c r="N11" s="1066" t="s">
        <v>609</v>
      </c>
      <c r="O11" s="1067"/>
    </row>
    <row r="12" spans="1:15" ht="12" customHeight="1" x14ac:dyDescent="0.25">
      <c r="A12" s="31">
        <f>IF(D11 = "",A11+C11,A11+D11)</f>
        <v>44720.645833333328</v>
      </c>
      <c r="B12" s="37">
        <f t="shared" ref="B12:B21" si="0">IF(D11 = "",B11+C11,B11+D11)</f>
        <v>44720.645833333328</v>
      </c>
      <c r="C12" s="170">
        <v>0.25</v>
      </c>
      <c r="D12" s="327" t="str">
        <f t="shared" ref="D12:D35" si="1">IF(_xlfn.ISFORMULA(E12)=TRUE,"",E12-B12)</f>
        <v/>
      </c>
      <c r="E12" s="37">
        <f t="shared" ref="E12:E14" si="2">B12+C12</f>
        <v>44720.895833333328</v>
      </c>
      <c r="F12" s="264" t="s">
        <v>680</v>
      </c>
      <c r="G12" s="35"/>
      <c r="H12" s="778"/>
      <c r="I12" s="778"/>
      <c r="J12" s="778"/>
      <c r="K12" s="778"/>
      <c r="L12" s="778"/>
      <c r="M12" s="778"/>
      <c r="N12" s="268" t="s">
        <v>681</v>
      </c>
      <c r="O12" s="343">
        <f>SUM(L11:L14)</f>
        <v>606.29999999999995</v>
      </c>
    </row>
    <row r="13" spans="1:15" ht="12" customHeight="1" x14ac:dyDescent="0.25">
      <c r="A13" s="31">
        <f t="shared" ref="A13" si="3">IF(D12 = "",A12+C12,A12+D12)</f>
        <v>44720.895833333328</v>
      </c>
      <c r="B13" s="37">
        <f t="shared" si="0"/>
        <v>44720.895833333328</v>
      </c>
      <c r="C13" s="170">
        <v>0.13541666666666666</v>
      </c>
      <c r="D13" s="327" t="str">
        <f t="shared" si="1"/>
        <v/>
      </c>
      <c r="E13" s="37">
        <f t="shared" si="2"/>
        <v>44721.031249999993</v>
      </c>
      <c r="F13" s="320" t="s">
        <v>567</v>
      </c>
      <c r="G13" s="39"/>
      <c r="H13" s="778"/>
      <c r="I13" s="778"/>
      <c r="J13" s="778"/>
      <c r="K13" s="778"/>
      <c r="L13" s="778"/>
      <c r="M13" s="778"/>
      <c r="N13" s="268" t="s">
        <v>682</v>
      </c>
      <c r="O13" s="343">
        <f>SUM(M11:M14)</f>
        <v>0</v>
      </c>
    </row>
    <row r="14" spans="1:15" ht="12" customHeight="1" x14ac:dyDescent="0.25">
      <c r="A14" s="31">
        <f>IF(D13 = "",A13+C13,A13+D13)</f>
        <v>44721.031249999993</v>
      </c>
      <c r="B14" s="37">
        <f t="shared" si="0"/>
        <v>44721.031249999993</v>
      </c>
      <c r="C14" s="170">
        <v>0.39583333333333331</v>
      </c>
      <c r="D14" s="327" t="str">
        <f t="shared" si="1"/>
        <v/>
      </c>
      <c r="E14" s="37">
        <f t="shared" si="2"/>
        <v>44721.427083333328</v>
      </c>
      <c r="F14" s="321" t="s">
        <v>683</v>
      </c>
      <c r="G14" s="35"/>
      <c r="H14" s="778">
        <v>511.4</v>
      </c>
      <c r="I14" s="778"/>
      <c r="J14" s="778">
        <v>94.9</v>
      </c>
      <c r="K14" s="778"/>
      <c r="L14" s="778">
        <f>H14+J14</f>
        <v>606.29999999999995</v>
      </c>
      <c r="M14" s="778"/>
    </row>
    <row r="15" spans="1:15" ht="12" customHeight="1" x14ac:dyDescent="0.25">
      <c r="A15" s="1097" t="s">
        <v>2554</v>
      </c>
      <c r="B15" s="1098"/>
      <c r="C15" s="1098"/>
      <c r="D15" s="1098"/>
      <c r="E15" s="1098"/>
      <c r="F15" s="1098"/>
      <c r="G15" s="1098"/>
      <c r="H15" s="1098"/>
      <c r="I15" s="1098"/>
      <c r="J15" s="1098"/>
      <c r="K15" s="1098"/>
      <c r="L15" s="1098"/>
      <c r="M15" s="1099"/>
    </row>
    <row r="16" spans="1:15" ht="12" customHeight="1" x14ac:dyDescent="0.25">
      <c r="A16" s="706">
        <f>IF(D14 = "",A14+C14,A14+D14)</f>
        <v>44721.427083333328</v>
      </c>
      <c r="B16" s="685">
        <f>A14+"1:00"</f>
        <v>44721.072916666657</v>
      </c>
      <c r="C16" s="707">
        <v>2.0833333333333332E-2</v>
      </c>
      <c r="D16" s="327" t="str">
        <f t="shared" si="1"/>
        <v/>
      </c>
      <c r="E16" s="685">
        <f>B16+C16</f>
        <v>44721.093749999993</v>
      </c>
      <c r="F16" s="708" t="s">
        <v>684</v>
      </c>
      <c r="G16" s="1101" t="s">
        <v>685</v>
      </c>
      <c r="H16" s="709"/>
      <c r="I16" s="709">
        <v>50</v>
      </c>
      <c r="J16" s="709"/>
      <c r="K16" s="709"/>
      <c r="L16" s="709"/>
      <c r="M16" s="709">
        <f>I16</f>
        <v>50</v>
      </c>
      <c r="N16" s="1066" t="s">
        <v>624</v>
      </c>
      <c r="O16" s="1067"/>
    </row>
    <row r="17" spans="1:15" ht="12" customHeight="1" x14ac:dyDescent="0.25">
      <c r="A17" s="706">
        <f t="shared" ref="A17:A21" si="4">IF(D16 = "",A16+C16,A16+D16)</f>
        <v>44721.447916666664</v>
      </c>
      <c r="B17" s="685">
        <f t="shared" si="0"/>
        <v>44721.093749999993</v>
      </c>
      <c r="C17" s="707">
        <v>1.0416666666666666E-2</v>
      </c>
      <c r="D17" s="327" t="str">
        <f t="shared" si="1"/>
        <v/>
      </c>
      <c r="E17" s="685">
        <f t="shared" ref="E17:E35" si="5">B17+C17</f>
        <v>44721.104166666657</v>
      </c>
      <c r="F17" s="708" t="s">
        <v>2555</v>
      </c>
      <c r="G17" s="1102"/>
      <c r="H17" s="709">
        <v>150</v>
      </c>
      <c r="I17" s="709"/>
      <c r="J17" s="709"/>
      <c r="K17" s="709"/>
      <c r="L17" s="709">
        <f>H17</f>
        <v>150</v>
      </c>
      <c r="M17" s="709"/>
      <c r="N17" s="268" t="s">
        <v>681</v>
      </c>
      <c r="O17" s="343">
        <f>SUM(L16:L23)</f>
        <v>250</v>
      </c>
    </row>
    <row r="18" spans="1:15" ht="12" customHeight="1" x14ac:dyDescent="0.25">
      <c r="A18" s="706">
        <f t="shared" si="4"/>
        <v>44721.458333333328</v>
      </c>
      <c r="B18" s="685">
        <f t="shared" si="0"/>
        <v>44721.104166666657</v>
      </c>
      <c r="C18" s="707">
        <v>4.1666666666666664E-2</v>
      </c>
      <c r="D18" s="327" t="str">
        <f t="shared" si="1"/>
        <v/>
      </c>
      <c r="E18" s="685">
        <f t="shared" si="5"/>
        <v>44721.145833333321</v>
      </c>
      <c r="F18" s="708" t="s">
        <v>2556</v>
      </c>
      <c r="G18" s="1102"/>
      <c r="H18" s="709">
        <v>100</v>
      </c>
      <c r="I18" s="709"/>
      <c r="J18" s="709"/>
      <c r="K18" s="709"/>
      <c r="L18" s="709">
        <v>100</v>
      </c>
      <c r="M18" s="709"/>
      <c r="N18" s="268" t="s">
        <v>682</v>
      </c>
      <c r="O18" s="343">
        <f>SUM(M16:M23)</f>
        <v>400</v>
      </c>
    </row>
    <row r="19" spans="1:15" ht="12" customHeight="1" x14ac:dyDescent="0.25">
      <c r="A19" s="706">
        <f t="shared" si="4"/>
        <v>44721.499999999993</v>
      </c>
      <c r="B19" s="685">
        <f t="shared" si="0"/>
        <v>44721.145833333321</v>
      </c>
      <c r="C19" s="707">
        <v>1.0416666666666666E-2</v>
      </c>
      <c r="D19" s="327" t="str">
        <f t="shared" si="1"/>
        <v/>
      </c>
      <c r="E19" s="685">
        <f t="shared" si="5"/>
        <v>44721.156249999985</v>
      </c>
      <c r="F19" s="708" t="s">
        <v>2557</v>
      </c>
      <c r="G19" s="1102"/>
      <c r="H19" s="709"/>
      <c r="I19" s="709"/>
      <c r="J19" s="709"/>
      <c r="K19" s="709">
        <v>150</v>
      </c>
      <c r="L19" s="709"/>
      <c r="M19" s="709">
        <v>150</v>
      </c>
    </row>
    <row r="20" spans="1:15" ht="12" customHeight="1" x14ac:dyDescent="0.25">
      <c r="A20" s="706">
        <f t="shared" si="4"/>
        <v>44721.510416666657</v>
      </c>
      <c r="B20" s="685">
        <f t="shared" si="0"/>
        <v>44721.156249999985</v>
      </c>
      <c r="C20" s="707">
        <v>4.1666666666666664E-2</v>
      </c>
      <c r="D20" s="327"/>
      <c r="E20" s="685">
        <f t="shared" si="5"/>
        <v>44721.19791666665</v>
      </c>
      <c r="F20" s="708" t="s">
        <v>688</v>
      </c>
      <c r="G20" s="1102"/>
      <c r="H20" s="709"/>
      <c r="I20" s="709"/>
      <c r="J20" s="709"/>
      <c r="K20" s="709">
        <v>100</v>
      </c>
      <c r="L20" s="709"/>
      <c r="M20" s="709">
        <f>K20</f>
        <v>100</v>
      </c>
    </row>
    <row r="21" spans="1:15" ht="12" customHeight="1" x14ac:dyDescent="0.25">
      <c r="A21" s="706">
        <f t="shared" si="4"/>
        <v>44721.552083333321</v>
      </c>
      <c r="B21" s="685">
        <f t="shared" si="0"/>
        <v>44721.19791666665</v>
      </c>
      <c r="C21" s="707">
        <v>4.1666666666666664E-2</v>
      </c>
      <c r="D21" s="327"/>
      <c r="E21" s="685">
        <f t="shared" si="5"/>
        <v>44721.239583333314</v>
      </c>
      <c r="F21" s="708" t="s">
        <v>689</v>
      </c>
      <c r="G21" s="1102"/>
      <c r="H21" s="709"/>
      <c r="I21" s="709"/>
      <c r="J21" s="709"/>
      <c r="K21" s="709">
        <v>100</v>
      </c>
      <c r="L21" s="709"/>
      <c r="M21" s="709">
        <v>100</v>
      </c>
    </row>
    <row r="22" spans="1:15" ht="12" customHeight="1" x14ac:dyDescent="0.25">
      <c r="A22" s="31">
        <f>IF(D14 = "",A14+C14,A14+D14)</f>
        <v>44721.427083333328</v>
      </c>
      <c r="B22" s="37">
        <f>IF(D14 = "",B14+C14,B14+D14)</f>
        <v>44721.427083333328</v>
      </c>
      <c r="C22" s="172">
        <v>3.125E-2</v>
      </c>
      <c r="D22" s="327" t="str">
        <f t="shared" si="1"/>
        <v/>
      </c>
      <c r="E22" s="37">
        <f t="shared" si="5"/>
        <v>44721.458333333328</v>
      </c>
      <c r="F22" s="264" t="s">
        <v>690</v>
      </c>
      <c r="G22" s="35"/>
      <c r="H22" s="393"/>
      <c r="I22" s="393"/>
      <c r="J22" s="393"/>
      <c r="K22" s="393"/>
      <c r="L22" s="393"/>
      <c r="M22" s="393"/>
    </row>
    <row r="23" spans="1:15" ht="12" customHeight="1" x14ac:dyDescent="0.25">
      <c r="A23" s="31">
        <f t="shared" ref="A23:A27" si="6">IF(D22 = "",A22+C22,A22+D22)</f>
        <v>44721.458333333328</v>
      </c>
      <c r="B23" s="37">
        <f t="shared" ref="B23:B35" si="7">IF(D22 = "",B22+C22,B22+D22)</f>
        <v>44721.458333333328</v>
      </c>
      <c r="C23" s="172">
        <v>0.89583333333333337</v>
      </c>
      <c r="D23" s="327" t="str">
        <f t="shared" si="1"/>
        <v/>
      </c>
      <c r="E23" s="37">
        <f t="shared" si="5"/>
        <v>44722.354166666664</v>
      </c>
      <c r="F23" s="264" t="s">
        <v>691</v>
      </c>
      <c r="G23" s="39"/>
      <c r="H23" s="778"/>
      <c r="I23" s="778"/>
      <c r="J23" s="778"/>
      <c r="K23" s="1074">
        <v>300</v>
      </c>
      <c r="L23" s="778"/>
      <c r="M23" s="778"/>
    </row>
    <row r="24" spans="1:15" ht="12" customHeight="1" x14ac:dyDescent="0.25">
      <c r="A24" s="31">
        <f t="shared" si="6"/>
        <v>44722.354166666664</v>
      </c>
      <c r="B24" s="37">
        <f t="shared" si="7"/>
        <v>44722.354166666664</v>
      </c>
      <c r="C24" s="170">
        <v>0.41666666666666669</v>
      </c>
      <c r="D24" s="327" t="str">
        <f t="shared" si="1"/>
        <v/>
      </c>
      <c r="E24" s="37">
        <f t="shared" si="5"/>
        <v>44722.770833333328</v>
      </c>
      <c r="F24" s="264" t="s">
        <v>548</v>
      </c>
      <c r="G24" s="35"/>
      <c r="H24" s="778"/>
      <c r="I24" s="778"/>
      <c r="J24" s="778"/>
      <c r="K24" s="1074"/>
      <c r="L24" s="778"/>
      <c r="M24" s="778"/>
      <c r="N24" s="1066" t="s">
        <v>630</v>
      </c>
      <c r="O24" s="1067"/>
    </row>
    <row r="25" spans="1:15" ht="12" customHeight="1" x14ac:dyDescent="0.25">
      <c r="A25" s="31">
        <f>IF(D24 = "",A24+C24,A24+D24)</f>
        <v>44722.770833333328</v>
      </c>
      <c r="B25" s="37">
        <f>IF(D24 = "",B24+C24,B24+D24)</f>
        <v>44722.770833333328</v>
      </c>
      <c r="C25" s="170">
        <v>0.1875</v>
      </c>
      <c r="D25" s="327" t="str">
        <f t="shared" si="1"/>
        <v/>
      </c>
      <c r="E25" s="37">
        <f t="shared" si="5"/>
        <v>44722.958333333328</v>
      </c>
      <c r="F25" s="264" t="s">
        <v>549</v>
      </c>
      <c r="G25" s="35"/>
      <c r="H25" s="778"/>
      <c r="I25" s="1075">
        <v>467.03699999999998</v>
      </c>
      <c r="J25" s="778"/>
      <c r="K25" s="1074"/>
      <c r="L25" s="778"/>
      <c r="M25" s="778"/>
      <c r="N25" s="268" t="s">
        <v>682</v>
      </c>
      <c r="O25" s="343">
        <f>SUM(M24:M26)</f>
        <v>767.03700000000003</v>
      </c>
    </row>
    <row r="26" spans="1:15" ht="12" customHeight="1" x14ac:dyDescent="0.25">
      <c r="A26" s="31">
        <f t="shared" si="6"/>
        <v>44722.958333333328</v>
      </c>
      <c r="B26" s="37">
        <f t="shared" si="7"/>
        <v>44722.958333333328</v>
      </c>
      <c r="C26" s="170">
        <v>1.0208333333333333</v>
      </c>
      <c r="D26" s="327"/>
      <c r="E26" s="37">
        <f t="shared" si="5"/>
        <v>44723.979166666664</v>
      </c>
      <c r="F26" s="264" t="s">
        <v>692</v>
      </c>
      <c r="G26" s="35"/>
      <c r="H26" s="778"/>
      <c r="I26" s="1076"/>
      <c r="J26" s="778"/>
      <c r="K26" s="1074"/>
      <c r="L26" s="778"/>
      <c r="M26" s="778">
        <f>I25+K23</f>
        <v>767.03700000000003</v>
      </c>
      <c r="N26" s="268" t="s">
        <v>682</v>
      </c>
      <c r="O26" s="343">
        <f>SUM(M24:M26)</f>
        <v>767.03700000000003</v>
      </c>
    </row>
    <row r="27" spans="1:15" ht="12" customHeight="1" x14ac:dyDescent="0.25">
      <c r="A27" s="410">
        <f t="shared" si="6"/>
        <v>44723.979166666664</v>
      </c>
      <c r="B27" s="329">
        <f>IF(D26 = "",B26+C26,B26+D26)</f>
        <v>44723.979166666664</v>
      </c>
      <c r="C27" s="173">
        <v>2.2916666666666665</v>
      </c>
      <c r="D27" s="468" t="str">
        <f t="shared" si="1"/>
        <v/>
      </c>
      <c r="E27" s="329">
        <f t="shared" si="5"/>
        <v>44726.270833333328</v>
      </c>
      <c r="F27" s="353" t="s">
        <v>551</v>
      </c>
      <c r="G27" s="178"/>
      <c r="H27" s="779"/>
      <c r="I27" s="394"/>
      <c r="J27" s="779"/>
      <c r="K27" s="779"/>
      <c r="L27" s="779"/>
      <c r="M27" s="779"/>
    </row>
    <row r="28" spans="1:15" ht="12" hidden="1" customHeight="1" x14ac:dyDescent="0.25">
      <c r="A28" s="322">
        <f>A27</f>
        <v>44723.979166666664</v>
      </c>
      <c r="B28" s="323">
        <f>B27</f>
        <v>44723.979166666664</v>
      </c>
      <c r="C28" s="400">
        <v>1.0416666666666666E-2</v>
      </c>
      <c r="D28" s="400" t="str">
        <f t="shared" si="1"/>
        <v/>
      </c>
      <c r="E28" s="323">
        <f t="shared" si="5"/>
        <v>44723.989583333328</v>
      </c>
      <c r="F28" s="531" t="s">
        <v>2558</v>
      </c>
      <c r="G28" s="533"/>
      <c r="H28" s="392"/>
      <c r="I28" s="392"/>
      <c r="J28" s="392"/>
      <c r="K28" s="392"/>
      <c r="L28" s="392"/>
      <c r="M28" s="392"/>
    </row>
    <row r="29" spans="1:15" ht="12" hidden="1" customHeight="1" x14ac:dyDescent="0.25">
      <c r="A29" s="322">
        <f>A28+C28</f>
        <v>44723.989583333328</v>
      </c>
      <c r="B29" s="323">
        <f>B28+C28</f>
        <v>44723.989583333328</v>
      </c>
      <c r="C29" s="400">
        <v>2.0833333333333332E-2</v>
      </c>
      <c r="D29" s="400" t="str">
        <f t="shared" si="1"/>
        <v/>
      </c>
      <c r="E29" s="323">
        <f t="shared" si="5"/>
        <v>44724.010416666664</v>
      </c>
      <c r="F29" s="531" t="s">
        <v>2559</v>
      </c>
      <c r="G29" s="533"/>
      <c r="H29" s="392"/>
      <c r="I29" s="392"/>
      <c r="J29" s="392"/>
      <c r="K29" s="392"/>
      <c r="L29" s="392"/>
      <c r="M29" s="392"/>
    </row>
    <row r="30" spans="1:15" ht="12" hidden="1" customHeight="1" x14ac:dyDescent="0.25">
      <c r="A30" s="322">
        <f t="shared" ref="A30:A31" si="8">A29+C29</f>
        <v>44724.010416666664</v>
      </c>
      <c r="B30" s="323">
        <f>B29+C29</f>
        <v>44724.010416666664</v>
      </c>
      <c r="C30" s="400">
        <v>0.1875</v>
      </c>
      <c r="D30" s="400"/>
      <c r="E30" s="323">
        <f t="shared" si="5"/>
        <v>44724.197916666664</v>
      </c>
      <c r="F30" s="531" t="s">
        <v>2560</v>
      </c>
      <c r="G30" s="533"/>
      <c r="H30" s="392"/>
      <c r="I30" s="392"/>
      <c r="J30" s="392"/>
      <c r="K30" s="392"/>
      <c r="L30" s="392"/>
      <c r="M30" s="392"/>
    </row>
    <row r="31" spans="1:15" ht="12" hidden="1" customHeight="1" x14ac:dyDescent="0.25">
      <c r="A31" s="322">
        <f t="shared" si="8"/>
        <v>44724.197916666664</v>
      </c>
      <c r="B31" s="323">
        <f>B30+C30</f>
        <v>44724.197916666664</v>
      </c>
      <c r="C31" s="400">
        <v>6.25E-2</v>
      </c>
      <c r="D31" s="400"/>
      <c r="E31" s="323">
        <f t="shared" si="5"/>
        <v>44724.260416666664</v>
      </c>
      <c r="F31" s="531" t="s">
        <v>520</v>
      </c>
      <c r="G31" s="533"/>
      <c r="H31" s="392"/>
      <c r="I31" s="392"/>
      <c r="J31" s="392"/>
      <c r="K31" s="392"/>
      <c r="L31" s="392"/>
      <c r="M31" s="392"/>
    </row>
    <row r="32" spans="1:15" ht="12" customHeight="1" x14ac:dyDescent="0.25">
      <c r="A32" s="534">
        <f t="shared" ref="A32" si="9">A27+C27</f>
        <v>44726.270833333328</v>
      </c>
      <c r="B32" s="535">
        <f>IF(D27 = "",B27+C27,B27+D27)</f>
        <v>44726.270833333328</v>
      </c>
      <c r="C32" s="536">
        <v>0</v>
      </c>
      <c r="D32" s="537"/>
      <c r="E32" s="535">
        <f t="shared" si="5"/>
        <v>44726.270833333328</v>
      </c>
      <c r="F32" s="538" t="s">
        <v>2665</v>
      </c>
      <c r="G32" s="539"/>
      <c r="H32" s="540"/>
      <c r="I32" s="540"/>
      <c r="J32" s="540"/>
      <c r="K32" s="540"/>
      <c r="L32" s="540"/>
      <c r="M32" s="540"/>
    </row>
    <row r="33" spans="1:13" ht="12" customHeight="1" x14ac:dyDescent="0.25">
      <c r="A33" s="330">
        <f t="shared" ref="A33:A35" si="10">IF(D32 = "",A32+C32,A32+D32)</f>
        <v>44726.270833333328</v>
      </c>
      <c r="B33" s="331">
        <f t="shared" si="7"/>
        <v>44726.270833333328</v>
      </c>
      <c r="C33" s="354">
        <v>0</v>
      </c>
      <c r="D33" s="470" t="str">
        <f t="shared" si="1"/>
        <v/>
      </c>
      <c r="E33" s="331">
        <f t="shared" si="5"/>
        <v>44726.270833333328</v>
      </c>
      <c r="F33" s="355" t="s">
        <v>551</v>
      </c>
      <c r="G33" s="356"/>
      <c r="H33" s="780"/>
      <c r="I33" s="780"/>
      <c r="J33" s="780"/>
      <c r="K33" s="780"/>
      <c r="L33" s="780"/>
      <c r="M33" s="780"/>
    </row>
    <row r="34" spans="1:13" ht="12" customHeight="1" x14ac:dyDescent="0.25">
      <c r="A34" s="31">
        <f t="shared" si="10"/>
        <v>44726.270833333328</v>
      </c>
      <c r="B34" s="37">
        <f t="shared" si="7"/>
        <v>44726.270833333328</v>
      </c>
      <c r="C34" s="170">
        <v>1.5</v>
      </c>
      <c r="D34" s="327" t="str">
        <f t="shared" si="1"/>
        <v/>
      </c>
      <c r="E34" s="37">
        <f t="shared" si="5"/>
        <v>44727.770833333328</v>
      </c>
      <c r="F34" s="320" t="s">
        <v>694</v>
      </c>
      <c r="G34" s="35"/>
      <c r="H34" s="778"/>
      <c r="I34" s="778"/>
      <c r="J34" s="778"/>
      <c r="K34" s="778"/>
      <c r="L34" s="778"/>
      <c r="M34" s="778"/>
    </row>
    <row r="35" spans="1:13" ht="12" customHeight="1" x14ac:dyDescent="0.25">
      <c r="A35" s="31">
        <f t="shared" si="10"/>
        <v>44727.770833333328</v>
      </c>
      <c r="B35" s="37">
        <f t="shared" si="7"/>
        <v>44727.770833333328</v>
      </c>
      <c r="C35" s="170">
        <v>0.125</v>
      </c>
      <c r="D35" s="327" t="str">
        <f t="shared" si="1"/>
        <v/>
      </c>
      <c r="E35" s="37">
        <f t="shared" si="5"/>
        <v>44727.895833333328</v>
      </c>
      <c r="F35" s="264" t="s">
        <v>554</v>
      </c>
      <c r="G35" s="35"/>
      <c r="H35" s="397"/>
      <c r="I35" s="397"/>
      <c r="J35" s="397"/>
      <c r="K35" s="397"/>
      <c r="L35" s="397"/>
      <c r="M35" s="397"/>
    </row>
    <row r="36" spans="1:13" ht="21" x14ac:dyDescent="0.55000000000000004">
      <c r="A36" s="34"/>
      <c r="B36" s="33" t="s">
        <v>534</v>
      </c>
      <c r="C36" s="32">
        <f>SUM(C11:C14,C22:C27,C33:C35)</f>
        <v>7.4791666666666661</v>
      </c>
      <c r="D36" s="32">
        <f>SUM(D11:D14,D22:D27,D33:D35)</f>
        <v>0</v>
      </c>
      <c r="G36" s="243" t="s">
        <v>535</v>
      </c>
      <c r="H36" s="350">
        <f>SUM(H11:H26)</f>
        <v>761.4</v>
      </c>
      <c r="I36" s="350">
        <f>SUM(I11:I26)</f>
        <v>517.03700000000003</v>
      </c>
      <c r="J36" s="350">
        <f>SUM(J11:J26)</f>
        <v>94.9</v>
      </c>
      <c r="K36" s="351">
        <f>SUM(K11:K35)</f>
        <v>650</v>
      </c>
      <c r="L36" s="351">
        <f>SUM(L11:L35)</f>
        <v>856.3</v>
      </c>
      <c r="M36" s="351">
        <f>SUM(M11:M35)</f>
        <v>1167.037</v>
      </c>
    </row>
    <row r="37" spans="1:13" x14ac:dyDescent="0.25">
      <c r="B37" s="31" t="s">
        <v>536</v>
      </c>
      <c r="C37" s="30">
        <f>(C36*60)/1440</f>
        <v>0.31163194444444442</v>
      </c>
      <c r="D37" s="30">
        <f>(D36*60)/1440</f>
        <v>0</v>
      </c>
      <c r="G37" s="26"/>
      <c r="H37" s="26"/>
      <c r="I37" s="26"/>
      <c r="J37" s="26"/>
      <c r="K37" s="26"/>
      <c r="L37" s="26"/>
      <c r="M37" s="26"/>
    </row>
    <row r="38" spans="1:13" x14ac:dyDescent="0.25">
      <c r="F38" s="26"/>
      <c r="G38" s="26"/>
      <c r="H38" s="26"/>
      <c r="I38" s="26"/>
      <c r="J38" s="26"/>
      <c r="K38" s="26"/>
      <c r="L38" s="26"/>
    </row>
    <row r="39" spans="1:13" x14ac:dyDescent="0.25">
      <c r="F39" s="26"/>
      <c r="G39" s="26"/>
      <c r="H39" s="26"/>
      <c r="I39" s="26"/>
      <c r="J39" s="26"/>
      <c r="K39" s="26"/>
      <c r="L39" s="26"/>
    </row>
    <row r="40" spans="1:13" ht="11.9" hidden="1" customHeight="1" x14ac:dyDescent="0.25">
      <c r="A40" s="1072" t="s">
        <v>555</v>
      </c>
      <c r="B40" s="1073"/>
      <c r="F40" s="26"/>
      <c r="G40" s="26"/>
      <c r="H40" s="26"/>
      <c r="I40" s="26"/>
      <c r="J40" s="26"/>
      <c r="K40" s="26"/>
      <c r="L40" s="26"/>
    </row>
    <row r="41" spans="1:13" hidden="1" x14ac:dyDescent="0.25">
      <c r="A41" s="781" t="s">
        <v>556</v>
      </c>
      <c r="B41" s="29" t="e">
        <f>MAX(A24,#REF!)</f>
        <v>#REF!</v>
      </c>
      <c r="F41" s="26"/>
      <c r="G41" s="26"/>
      <c r="H41" s="26"/>
      <c r="I41" s="26"/>
      <c r="J41" s="26"/>
      <c r="K41" s="26"/>
      <c r="L41" s="26"/>
    </row>
    <row r="42" spans="1:13" hidden="1" x14ac:dyDescent="0.25">
      <c r="A42" s="781" t="s">
        <v>557</v>
      </c>
      <c r="B42" s="28" t="e">
        <f>MAX((#REF!+#REF!),(B24+C24))</f>
        <v>#REF!</v>
      </c>
      <c r="F42" s="26"/>
      <c r="G42" s="26"/>
      <c r="H42" s="26"/>
      <c r="I42" s="26"/>
      <c r="J42" s="26"/>
      <c r="K42" s="26"/>
      <c r="L42" s="26"/>
    </row>
    <row r="43" spans="1:13" x14ac:dyDescent="0.25">
      <c r="F43" s="26"/>
      <c r="G43" s="26"/>
      <c r="H43" s="26"/>
      <c r="I43" s="26"/>
      <c r="J43" s="26"/>
      <c r="K43" s="26"/>
      <c r="L43" s="26"/>
    </row>
    <row r="44" spans="1:13" x14ac:dyDescent="0.25">
      <c r="F44" s="26"/>
      <c r="G44" s="26"/>
      <c r="H44" s="26"/>
      <c r="I44" s="26"/>
      <c r="J44" s="26"/>
      <c r="K44" s="26"/>
      <c r="L44" s="26"/>
    </row>
    <row r="45" spans="1:13" x14ac:dyDescent="0.25">
      <c r="F45" s="26"/>
      <c r="G45" s="26"/>
      <c r="H45" s="26"/>
      <c r="I45" s="26"/>
      <c r="J45" s="26"/>
      <c r="K45" s="26"/>
      <c r="L45" s="26"/>
    </row>
    <row r="46" spans="1:13" x14ac:dyDescent="0.25">
      <c r="F46" s="26"/>
      <c r="G46" s="26"/>
      <c r="H46" s="26"/>
      <c r="I46" s="26"/>
      <c r="J46" s="26"/>
      <c r="K46" s="26"/>
      <c r="L46" s="26"/>
    </row>
    <row r="47" spans="1:13" x14ac:dyDescent="0.25">
      <c r="C47" s="27"/>
      <c r="F47" s="26"/>
      <c r="G47" s="26"/>
      <c r="H47" s="26"/>
      <c r="I47" s="26"/>
      <c r="J47" s="26"/>
      <c r="K47" s="26"/>
      <c r="L47" s="26"/>
    </row>
    <row r="48" spans="1:13" x14ac:dyDescent="0.25">
      <c r="F48" s="26"/>
      <c r="G48" s="26"/>
      <c r="H48" s="26"/>
      <c r="I48" s="26"/>
      <c r="J48" s="26"/>
      <c r="K48" s="26"/>
      <c r="L48" s="26"/>
    </row>
    <row r="49" spans="5:12" x14ac:dyDescent="0.25">
      <c r="F49" s="26"/>
      <c r="G49" s="26"/>
      <c r="H49" s="26"/>
      <c r="I49" s="26"/>
      <c r="J49" s="26"/>
      <c r="K49" s="26"/>
      <c r="L49" s="26"/>
    </row>
    <row r="50" spans="5:12" x14ac:dyDescent="0.25">
      <c r="F50" s="26"/>
      <c r="G50" s="26"/>
      <c r="H50" s="26"/>
      <c r="I50" s="26"/>
      <c r="J50" s="26"/>
      <c r="K50" s="26"/>
      <c r="L50" s="26"/>
    </row>
    <row r="51" spans="5:12" x14ac:dyDescent="0.25">
      <c r="F51" s="26"/>
      <c r="G51" s="26"/>
      <c r="H51" s="26"/>
      <c r="I51" s="26"/>
      <c r="J51" s="26"/>
      <c r="K51" s="26"/>
      <c r="L51" s="26"/>
    </row>
    <row r="52" spans="5:12" x14ac:dyDescent="0.25">
      <c r="F52" s="26"/>
      <c r="G52" s="26"/>
      <c r="H52" s="26"/>
      <c r="I52" s="26"/>
      <c r="J52" s="26"/>
      <c r="K52" s="26"/>
      <c r="L52" s="26"/>
    </row>
    <row r="53" spans="5:12" x14ac:dyDescent="0.25">
      <c r="F53" s="26"/>
      <c r="G53" s="26"/>
      <c r="H53" s="26"/>
      <c r="I53" s="26"/>
      <c r="J53" s="26"/>
      <c r="K53" s="26"/>
      <c r="L53" s="26"/>
    </row>
    <row r="54" spans="5:12" x14ac:dyDescent="0.25">
      <c r="F54" s="26"/>
      <c r="G54" s="26"/>
      <c r="H54" s="26"/>
      <c r="I54" s="26"/>
      <c r="J54" s="26"/>
      <c r="K54" s="26"/>
      <c r="L54" s="26"/>
    </row>
    <row r="55" spans="5:12" x14ac:dyDescent="0.25">
      <c r="F55" s="26"/>
      <c r="G55" s="26"/>
      <c r="H55" s="26"/>
      <c r="I55" s="26"/>
      <c r="J55" s="26"/>
      <c r="K55" s="26"/>
      <c r="L55" s="26"/>
    </row>
    <row r="56" spans="5:12" x14ac:dyDescent="0.25">
      <c r="F56" s="26"/>
      <c r="G56" s="26"/>
      <c r="H56" s="26"/>
      <c r="I56" s="26"/>
      <c r="J56" s="26"/>
      <c r="K56" s="26"/>
      <c r="L56" s="26"/>
    </row>
    <row r="57" spans="5:12" x14ac:dyDescent="0.25">
      <c r="F57" s="26"/>
      <c r="G57" s="26"/>
      <c r="H57" s="26"/>
      <c r="I57" s="26"/>
      <c r="J57" s="26"/>
      <c r="K57" s="26"/>
      <c r="L57" s="26"/>
    </row>
    <row r="58" spans="5:12" x14ac:dyDescent="0.25">
      <c r="E58" s="26"/>
    </row>
    <row r="59" spans="5:12" x14ac:dyDescent="0.25">
      <c r="E59" s="26"/>
    </row>
  </sheetData>
  <mergeCells count="10">
    <mergeCell ref="K23:K26"/>
    <mergeCell ref="N24:O24"/>
    <mergeCell ref="I25:I26"/>
    <mergeCell ref="A40:B40"/>
    <mergeCell ref="A1:B1"/>
    <mergeCell ref="A5:D5"/>
    <mergeCell ref="N11:O11"/>
    <mergeCell ref="A15:M15"/>
    <mergeCell ref="G16:G21"/>
    <mergeCell ref="N16:O16"/>
  </mergeCells>
  <pageMargins left="0.75" right="0.75" top="1" bottom="1" header="0.5" footer="0.5"/>
  <pageSetup orientation="portrait" r:id="rId1"/>
  <headerFooter alignWithMargins="0">
    <oddFooter>&amp;R&amp;"Arial,Regular"&amp;08&amp;K7F7F7FAmgen Proprietary - Confidential   &amp;C&amp;"Arial,Regular"&amp;08&amp;K7F7F7FAmgen Proprietary - For Internal Use Only</oddFooter>
    <evenFooter>&amp;R&amp;"Arial,Regular"&amp;08&amp;K7F7F7FAmgen Proprietary - Confidential   &amp;C&amp;"Arial,Regular"&amp;08&amp;K7F7F7FAmgen Proprietary - For Internal Use Only</evenFooter>
    <firstFooter>&amp;R&amp;"Arial,Regular"&amp;08&amp;K7F7F7FAmgen Proprietary - Confidential   &amp;C&amp;"Arial,Regular"&amp;08&amp;K7F7F7FAmgen Proprietary - For Internal Use Only</firstFooter>
  </headerFooter>
</worksheet>
</file>

<file path=xl/worksheets/sheet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F0AC01-BD57-4121-B068-35DE6E2BAB3E}">
  <sheetPr codeName="Sheet72">
    <pageSetUpPr autoPageBreaks="0"/>
  </sheetPr>
  <dimension ref="A1:O121"/>
  <sheetViews>
    <sheetView topLeftCell="B1" zoomScaleNormal="100" workbookViewId="0">
      <selection activeCell="F19" sqref="F19"/>
    </sheetView>
  </sheetViews>
  <sheetFormatPr defaultColWidth="23.453125" defaultRowHeight="15" customHeight="1" x14ac:dyDescent="0.25"/>
  <cols>
    <col min="1" max="1" width="58.453125" style="25" customWidth="1"/>
    <col min="2" max="2" width="29.453125" style="25" customWidth="1"/>
    <col min="3" max="3" width="23.453125" style="25"/>
    <col min="4" max="4" width="23.453125" style="25" hidden="1" customWidth="1"/>
    <col min="5" max="5" width="23.453125" style="25"/>
    <col min="6" max="6" width="79.54296875" style="25" bestFit="1" customWidth="1"/>
    <col min="7" max="7" width="40.54296875" style="25" customWidth="1"/>
    <col min="8" max="11" width="10.54296875" style="25" customWidth="1"/>
    <col min="12" max="12" width="12.54296875" style="25" bestFit="1" customWidth="1"/>
    <col min="13" max="13" width="15" style="25" customWidth="1"/>
    <col min="14" max="16384" width="23.453125" style="25"/>
  </cols>
  <sheetData>
    <row r="1" spans="1:13" ht="15" customHeight="1" thickBot="1" x14ac:dyDescent="0.3">
      <c r="A1" s="1064" t="s">
        <v>479</v>
      </c>
      <c r="B1" s="1065"/>
    </row>
    <row r="2" spans="1:13" ht="15" customHeight="1" x14ac:dyDescent="0.25">
      <c r="A2" s="43" t="s">
        <v>480</v>
      </c>
      <c r="B2" s="289">
        <v>44278.020833333336</v>
      </c>
    </row>
    <row r="3" spans="1:13" ht="15" customHeight="1" thickBot="1" x14ac:dyDescent="0.3">
      <c r="A3" s="42" t="s">
        <v>482</v>
      </c>
      <c r="B3" s="290">
        <f>B2</f>
        <v>44278.020833333336</v>
      </c>
    </row>
    <row r="5" spans="1:13" ht="15" customHeight="1" x14ac:dyDescent="0.25">
      <c r="A5" s="328" t="s">
        <v>484</v>
      </c>
      <c r="B5" s="328"/>
      <c r="C5" s="328"/>
      <c r="D5" s="328"/>
    </row>
    <row r="6" spans="1:13" ht="15" customHeight="1" x14ac:dyDescent="0.25">
      <c r="A6" s="781" t="s">
        <v>485</v>
      </c>
      <c r="B6" s="781" t="s">
        <v>486</v>
      </c>
      <c r="C6" s="781" t="s">
        <v>487</v>
      </c>
      <c r="D6" s="781" t="s">
        <v>488</v>
      </c>
    </row>
    <row r="7" spans="1:13" ht="15" customHeight="1" x14ac:dyDescent="0.25">
      <c r="A7" s="41" t="str">
        <f>F33</f>
        <v xml:space="preserve">   Reactor 2 Sample for drug substance analysis (PR_171 in Methanol)</v>
      </c>
      <c r="B7" s="325">
        <f>INDEX($A$17:$A$97,MATCH(A7,$F$17:$F$97,0))</f>
        <v>44279.065972222241</v>
      </c>
      <c r="C7" s="37">
        <f>INDEX($B$17:$B$97,MATCH(A7,$F$17:$F$97,0))</f>
        <v>44279.065972222241</v>
      </c>
      <c r="D7" s="297"/>
    </row>
    <row r="8" spans="1:13" ht="15" customHeight="1" x14ac:dyDescent="0.25">
      <c r="A8" s="41" t="str">
        <f>F40</f>
        <v xml:space="preserve">   Reactor 2 Sample for Residual Solvent (Methanol in Ethyl Acetate)</v>
      </c>
      <c r="B8" s="325">
        <f>INDEX($A$17:$A$97,MATCH(A8,$F$17:$F$97,0))</f>
        <v>44279.690972222248</v>
      </c>
      <c r="C8" s="37">
        <f>INDEX($B$17:$B$97,MATCH(A8,$F$17:$F$97,0))</f>
        <v>44279.690972222248</v>
      </c>
      <c r="D8" s="297"/>
      <c r="E8" s="719"/>
    </row>
    <row r="9" spans="1:13" ht="15" customHeight="1" x14ac:dyDescent="0.25">
      <c r="A9" s="41" t="str">
        <f>F64</f>
        <v xml:space="preserve">   Reactor 1 Sample for drug substance analysis (PR-171 in Methanol)</v>
      </c>
      <c r="B9" s="325">
        <f>INDEX($A$17:$A$97,MATCH(A9,$F$17:$F$97,0))</f>
        <v>44281.569444444474</v>
      </c>
      <c r="C9" s="37">
        <f>INDEX($B$17:$B$97,MATCH(A9,$F$17:$F$97,0))</f>
        <v>44281.569444444474</v>
      </c>
      <c r="D9" s="297"/>
      <c r="E9" s="719" t="s">
        <v>2666</v>
      </c>
    </row>
    <row r="10" spans="1:13" ht="15" customHeight="1" x14ac:dyDescent="0.25">
      <c r="A10" s="41" t="str">
        <f>F73</f>
        <v xml:space="preserve">   Reactor 1 Sample for Residual Solvent (Methanol in Ethyl Acetate)</v>
      </c>
      <c r="B10" s="325">
        <f>INDEX($A$17:$A$97,MATCH(A10,$F$17:$F$97,0))</f>
        <v>44284.631944444482</v>
      </c>
      <c r="C10" s="37">
        <f>INDEX($B$17:$B$97,MATCH(A10,$F$17:$F$97,0))</f>
        <v>44284.631944444482</v>
      </c>
      <c r="D10" s="297"/>
    </row>
    <row r="11" spans="1:13" ht="15" customHeight="1" x14ac:dyDescent="0.25">
      <c r="A11" s="41" t="str">
        <f>F93</f>
        <v xml:space="preserve">   Filter Dryer Sample for drug substance analysis (PR-171 in Methanol)</v>
      </c>
      <c r="B11" s="325">
        <f>INDEX($A$17:$A$97,MATCH(A11,$F$17:$F$97,0))</f>
        <v>44291.76736111116</v>
      </c>
      <c r="C11" s="37">
        <f>INDEX($B$17:$B$97,MATCH(A11,$F$17:$F$97,0))</f>
        <v>44291.76736111116</v>
      </c>
      <c r="D11" s="297"/>
    </row>
    <row r="12" spans="1:13" ht="15" customHeight="1" x14ac:dyDescent="0.25">
      <c r="A12" s="578" t="str">
        <f>F96</f>
        <v xml:space="preserve">  [Parallel] Chemical Canister Residual Solvent Sample (Acetone in EA)</v>
      </c>
      <c r="B12" s="717">
        <f>B96</f>
        <v>44291.395833333372</v>
      </c>
      <c r="C12" s="718">
        <f>E96</f>
        <v>44291.520833333372</v>
      </c>
      <c r="D12" s="297"/>
    </row>
    <row r="13" spans="1:13" ht="15" customHeight="1" x14ac:dyDescent="0.25">
      <c r="A13" s="578" t="s">
        <v>2667</v>
      </c>
      <c r="B13" s="717">
        <f>B97</f>
        <v>44291.520833333372</v>
      </c>
      <c r="C13" s="718">
        <f>E97</f>
        <v>44291.666666666708</v>
      </c>
      <c r="D13" s="297"/>
    </row>
    <row r="15" spans="1:13" ht="23" x14ac:dyDescent="0.25">
      <c r="A15" s="749" t="s">
        <v>492</v>
      </c>
      <c r="B15" s="749" t="s">
        <v>576</v>
      </c>
      <c r="C15" s="749" t="s">
        <v>2484</v>
      </c>
      <c r="D15" s="749" t="s">
        <v>2668</v>
      </c>
      <c r="E15" s="749" t="s">
        <v>560</v>
      </c>
      <c r="F15" s="749" t="s">
        <v>541</v>
      </c>
      <c r="G15" s="749" t="s">
        <v>498</v>
      </c>
      <c r="H15" s="372" t="s">
        <v>500</v>
      </c>
      <c r="I15" s="372" t="s">
        <v>677</v>
      </c>
      <c r="J15" s="372" t="s">
        <v>92</v>
      </c>
      <c r="K15" s="372" t="s">
        <v>96</v>
      </c>
      <c r="L15" s="373" t="s">
        <v>501</v>
      </c>
      <c r="M15" s="386" t="s">
        <v>114</v>
      </c>
    </row>
    <row r="16" spans="1:13" ht="15" customHeight="1" x14ac:dyDescent="0.25">
      <c r="A16" s="279" t="s">
        <v>2519</v>
      </c>
      <c r="B16" s="279"/>
      <c r="C16" s="279"/>
      <c r="D16" s="279"/>
      <c r="E16" s="279"/>
      <c r="F16" s="279"/>
      <c r="G16" s="279"/>
      <c r="H16" s="374"/>
      <c r="I16" s="374"/>
      <c r="J16" s="374"/>
      <c r="K16" s="374"/>
      <c r="L16" s="375"/>
      <c r="M16" s="387"/>
    </row>
    <row r="17" spans="1:15" ht="15" customHeight="1" x14ac:dyDescent="0.25">
      <c r="A17" s="31">
        <f>B2</f>
        <v>44278.020833333336</v>
      </c>
      <c r="B17" s="332">
        <f>B3</f>
        <v>44278.020833333336</v>
      </c>
      <c r="C17" s="398">
        <v>2.0833333333333332E-2</v>
      </c>
      <c r="D17" s="420" t="str">
        <f t="shared" ref="D17:D31" si="0">IF(_xlfn.ISFORMULA(E17)=TRUE,"",E17-B17)</f>
        <v/>
      </c>
      <c r="E17" s="421">
        <f>B17+C17</f>
        <v>44278.041666666672</v>
      </c>
      <c r="F17" s="422" t="s">
        <v>2669</v>
      </c>
      <c r="G17" s="277"/>
      <c r="H17" s="376">
        <v>132.11957070707069</v>
      </c>
      <c r="I17" s="377"/>
      <c r="J17" s="377"/>
      <c r="K17" s="378"/>
      <c r="L17" s="388">
        <f t="shared" ref="L17:L27" si="1">SUM(H17:I17,K17)</f>
        <v>132.11957070707069</v>
      </c>
      <c r="M17" s="378"/>
      <c r="N17" s="1067" t="s">
        <v>652</v>
      </c>
      <c r="O17" s="1067"/>
    </row>
    <row r="18" spans="1:15" ht="15" customHeight="1" x14ac:dyDescent="0.25">
      <c r="A18" s="31">
        <f t="shared" ref="A18:A42" si="2">IF(D17 = "",A17+C17,A17+D17)</f>
        <v>44278.041666666672</v>
      </c>
      <c r="B18" s="421">
        <f t="shared" ref="B18:B33" si="3">IF(D17 = "",B17+C17,B17+D17)</f>
        <v>44278.041666666672</v>
      </c>
      <c r="C18" s="398">
        <v>2.0833333333333332E-2</v>
      </c>
      <c r="D18" s="420" t="str">
        <f t="shared" si="0"/>
        <v/>
      </c>
      <c r="E18" s="421">
        <f t="shared" ref="E18:E96" si="4">B18+C18</f>
        <v>44278.062500000007</v>
      </c>
      <c r="F18" s="422" t="s">
        <v>2670</v>
      </c>
      <c r="G18" s="275"/>
      <c r="H18" s="343"/>
      <c r="I18" s="343">
        <v>116.05498891352551</v>
      </c>
      <c r="J18" s="343"/>
      <c r="K18" s="343"/>
      <c r="L18" s="388">
        <f t="shared" si="1"/>
        <v>116.05498891352551</v>
      </c>
      <c r="M18" s="378"/>
      <c r="N18" s="390" t="s">
        <v>2651</v>
      </c>
      <c r="O18" s="343">
        <f>SUM(H17:H27)</f>
        <v>1713.4689393939393</v>
      </c>
    </row>
    <row r="19" spans="1:15" ht="15" customHeight="1" x14ac:dyDescent="0.25">
      <c r="A19" s="31">
        <f t="shared" si="2"/>
        <v>44278.062500000007</v>
      </c>
      <c r="B19" s="421">
        <f t="shared" si="3"/>
        <v>44278.062500000007</v>
      </c>
      <c r="C19" s="398">
        <v>1.3888888888888888E-2</v>
      </c>
      <c r="D19" s="420" t="str">
        <f t="shared" si="0"/>
        <v/>
      </c>
      <c r="E19" s="421">
        <f t="shared" si="4"/>
        <v>44278.076388888898</v>
      </c>
      <c r="F19" s="422" t="s">
        <v>2671</v>
      </c>
      <c r="G19" s="275"/>
      <c r="H19" s="343"/>
      <c r="I19" s="343"/>
      <c r="J19" s="343"/>
      <c r="K19" s="343">
        <v>205.46709183673468</v>
      </c>
      <c r="L19" s="388">
        <f t="shared" si="1"/>
        <v>205.46709183673468</v>
      </c>
      <c r="M19" s="378"/>
      <c r="N19" s="390" t="s">
        <v>2647</v>
      </c>
      <c r="O19" s="343">
        <f>SUM(I17:I27)</f>
        <v>714.12738359201785</v>
      </c>
    </row>
    <row r="20" spans="1:15" ht="15" customHeight="1" x14ac:dyDescent="0.25">
      <c r="A20" s="31">
        <f t="shared" si="2"/>
        <v>44278.076388888898</v>
      </c>
      <c r="B20" s="421">
        <f t="shared" si="3"/>
        <v>44278.076388888898</v>
      </c>
      <c r="C20" s="398">
        <v>1.3888888888888888E-2</v>
      </c>
      <c r="D20" s="420" t="str">
        <f t="shared" si="0"/>
        <v/>
      </c>
      <c r="E20" s="421">
        <f t="shared" si="4"/>
        <v>44278.090277777788</v>
      </c>
      <c r="F20" s="422" t="s">
        <v>2672</v>
      </c>
      <c r="G20" s="275"/>
      <c r="H20" s="343"/>
      <c r="I20" s="343">
        <v>213.24035476718404</v>
      </c>
      <c r="J20" s="343"/>
      <c r="K20" s="343"/>
      <c r="L20" s="388">
        <f t="shared" si="1"/>
        <v>213.24035476718404</v>
      </c>
      <c r="M20" s="378"/>
      <c r="N20" s="390" t="s">
        <v>682</v>
      </c>
      <c r="O20" s="343">
        <f>SUM(L17:L27)</f>
        <v>2633.0634148226918</v>
      </c>
    </row>
    <row r="21" spans="1:15" ht="15" customHeight="1" x14ac:dyDescent="0.25">
      <c r="A21" s="31">
        <f t="shared" si="2"/>
        <v>44278.090277777788</v>
      </c>
      <c r="B21" s="421">
        <f t="shared" si="3"/>
        <v>44278.090277777788</v>
      </c>
      <c r="C21" s="398">
        <v>6.9444444444444441E-3</v>
      </c>
      <c r="D21" s="420" t="str">
        <f t="shared" si="0"/>
        <v/>
      </c>
      <c r="E21" s="421">
        <f t="shared" si="4"/>
        <v>44278.097222222234</v>
      </c>
      <c r="F21" s="422" t="s">
        <v>2673</v>
      </c>
      <c r="G21" s="275"/>
      <c r="H21" s="343"/>
      <c r="I21" s="343">
        <v>125.73203991130821</v>
      </c>
      <c r="J21" s="343"/>
      <c r="K21" s="343"/>
      <c r="L21" s="388">
        <f t="shared" si="1"/>
        <v>125.73203991130821</v>
      </c>
      <c r="M21" s="378"/>
    </row>
    <row r="22" spans="1:15" ht="15" customHeight="1" x14ac:dyDescent="0.25">
      <c r="A22" s="31">
        <f t="shared" si="2"/>
        <v>44278.097222222234</v>
      </c>
      <c r="B22" s="421">
        <f t="shared" si="3"/>
        <v>44278.097222222234</v>
      </c>
      <c r="C22" s="423">
        <v>1.3888888888888888E-2</v>
      </c>
      <c r="D22" s="420" t="str">
        <f t="shared" si="0"/>
        <v/>
      </c>
      <c r="E22" s="421">
        <f t="shared" si="4"/>
        <v>44278.111111111124</v>
      </c>
      <c r="F22" s="422" t="s">
        <v>2454</v>
      </c>
      <c r="G22" s="275"/>
      <c r="H22" s="343"/>
      <c r="I22" s="343"/>
      <c r="J22" s="343">
        <v>250</v>
      </c>
      <c r="K22" s="343"/>
      <c r="L22" s="388"/>
      <c r="M22" s="378"/>
    </row>
    <row r="23" spans="1:15" ht="15" customHeight="1" x14ac:dyDescent="0.25">
      <c r="A23" s="31">
        <f t="shared" si="2"/>
        <v>44278.111111111124</v>
      </c>
      <c r="B23" s="421">
        <f t="shared" si="3"/>
        <v>44278.111111111124</v>
      </c>
      <c r="C23" s="423">
        <v>4.1666666666666664E-2</v>
      </c>
      <c r="D23" s="420" t="str">
        <f t="shared" si="0"/>
        <v/>
      </c>
      <c r="E23" s="421">
        <f t="shared" si="4"/>
        <v>44278.152777777788</v>
      </c>
      <c r="F23" s="422" t="s">
        <v>2455</v>
      </c>
      <c r="G23" s="275"/>
      <c r="H23" s="343"/>
      <c r="I23" s="343">
        <v>259.10000000000002</v>
      </c>
      <c r="J23" s="343"/>
      <c r="K23" s="343"/>
      <c r="L23" s="388">
        <f t="shared" si="1"/>
        <v>259.10000000000002</v>
      </c>
      <c r="M23" s="378"/>
    </row>
    <row r="24" spans="1:15" ht="15" customHeight="1" x14ac:dyDescent="0.25">
      <c r="A24" s="31">
        <f t="shared" si="2"/>
        <v>44278.152777777788</v>
      </c>
      <c r="B24" s="421">
        <f t="shared" si="3"/>
        <v>44278.152777777788</v>
      </c>
      <c r="C24" s="423">
        <v>2.0833333333333332E-2</v>
      </c>
      <c r="D24" s="420" t="str">
        <f t="shared" si="0"/>
        <v/>
      </c>
      <c r="E24" s="421">
        <f t="shared" si="4"/>
        <v>44278.173611111124</v>
      </c>
      <c r="F24" s="422" t="s">
        <v>619</v>
      </c>
      <c r="G24" s="275"/>
      <c r="H24" s="343">
        <v>51.172853535353532</v>
      </c>
      <c r="I24" s="343"/>
      <c r="J24" s="343"/>
      <c r="K24" s="343"/>
      <c r="L24" s="388">
        <f t="shared" si="1"/>
        <v>51.172853535353532</v>
      </c>
      <c r="M24" s="378"/>
    </row>
    <row r="25" spans="1:15" ht="15" customHeight="1" x14ac:dyDescent="0.25">
      <c r="A25" s="31">
        <f t="shared" si="2"/>
        <v>44278.173611111124</v>
      </c>
      <c r="B25" s="421">
        <f t="shared" si="3"/>
        <v>44278.173611111124</v>
      </c>
      <c r="C25" s="423">
        <v>3.125E-2</v>
      </c>
      <c r="D25" s="420" t="str">
        <f t="shared" si="0"/>
        <v/>
      </c>
      <c r="E25" s="421">
        <f t="shared" si="4"/>
        <v>44278.204861111124</v>
      </c>
      <c r="F25" s="422" t="s">
        <v>2674</v>
      </c>
      <c r="G25" s="275"/>
      <c r="H25" s="343">
        <v>610.1765151515151</v>
      </c>
      <c r="I25" s="343"/>
      <c r="J25" s="343"/>
      <c r="K25" s="343"/>
      <c r="L25" s="388">
        <f t="shared" si="1"/>
        <v>610.1765151515151</v>
      </c>
      <c r="M25" s="378"/>
    </row>
    <row r="26" spans="1:15" ht="15" customHeight="1" x14ac:dyDescent="0.25">
      <c r="A26" s="31">
        <f t="shared" si="2"/>
        <v>44278.204861111124</v>
      </c>
      <c r="B26" s="421">
        <f t="shared" si="3"/>
        <v>44278.204861111124</v>
      </c>
      <c r="C26" s="398">
        <v>0.3125</v>
      </c>
      <c r="D26" s="420" t="str">
        <f t="shared" si="0"/>
        <v/>
      </c>
      <c r="E26" s="421">
        <f t="shared" si="4"/>
        <v>44278.517361111124</v>
      </c>
      <c r="F26" s="422" t="s">
        <v>2456</v>
      </c>
      <c r="G26" s="275"/>
      <c r="H26" s="343">
        <v>550</v>
      </c>
      <c r="I26" s="343"/>
      <c r="J26" s="343"/>
      <c r="K26" s="343"/>
      <c r="L26" s="388">
        <f t="shared" si="1"/>
        <v>550</v>
      </c>
      <c r="M26" s="378"/>
    </row>
    <row r="27" spans="1:15" ht="15" customHeight="1" x14ac:dyDescent="0.25">
      <c r="A27" s="31">
        <f t="shared" si="2"/>
        <v>44278.517361111124</v>
      </c>
      <c r="B27" s="421">
        <f t="shared" si="3"/>
        <v>44278.517361111124</v>
      </c>
      <c r="C27" s="398">
        <v>0.3125</v>
      </c>
      <c r="D27" s="420" t="str">
        <f t="shared" si="0"/>
        <v/>
      </c>
      <c r="E27" s="421">
        <f t="shared" si="4"/>
        <v>44278.829861111124</v>
      </c>
      <c r="F27" s="424" t="s">
        <v>2459</v>
      </c>
      <c r="G27" s="413"/>
      <c r="H27" s="384">
        <v>370</v>
      </c>
      <c r="I27" s="384"/>
      <c r="J27" s="384"/>
      <c r="K27" s="384"/>
      <c r="L27" s="412">
        <f t="shared" si="1"/>
        <v>370</v>
      </c>
      <c r="M27" s="411"/>
    </row>
    <row r="28" spans="1:15" ht="15" hidden="1" customHeight="1" thickBot="1" x14ac:dyDescent="0.3">
      <c r="A28" s="31">
        <f t="shared" si="2"/>
        <v>44278.829861111124</v>
      </c>
      <c r="B28" s="421">
        <f t="shared" si="3"/>
        <v>44278.829861111124</v>
      </c>
      <c r="C28" s="435">
        <v>0</v>
      </c>
      <c r="D28" s="436" t="str">
        <f>IF(_xlfn.ISFORMULA(E28)=TRUE,"",E28-B28)</f>
        <v/>
      </c>
      <c r="E28" s="434">
        <f>B28+C28</f>
        <v>44278.829861111124</v>
      </c>
      <c r="F28" s="415" t="s">
        <v>2675</v>
      </c>
      <c r="G28" s="416"/>
      <c r="H28" s="417"/>
      <c r="I28" s="417"/>
      <c r="J28" s="417"/>
      <c r="K28" s="417"/>
      <c r="L28" s="418"/>
      <c r="M28" s="419"/>
    </row>
    <row r="29" spans="1:15" ht="15" customHeight="1" x14ac:dyDescent="0.25">
      <c r="A29" s="31">
        <f t="shared" si="2"/>
        <v>44278.829861111124</v>
      </c>
      <c r="B29" s="421">
        <f t="shared" si="3"/>
        <v>44278.829861111124</v>
      </c>
      <c r="C29" s="425">
        <v>7.6388888888888895E-2</v>
      </c>
      <c r="D29" s="426" t="str">
        <f t="shared" si="0"/>
        <v/>
      </c>
      <c r="E29" s="421">
        <f t="shared" si="4"/>
        <v>44278.906250000015</v>
      </c>
      <c r="F29" s="422" t="s">
        <v>2461</v>
      </c>
      <c r="G29" s="414"/>
      <c r="H29" s="343">
        <v>816.77665404040408</v>
      </c>
      <c r="I29" s="343"/>
      <c r="J29" s="343"/>
      <c r="K29" s="343"/>
      <c r="L29" s="378">
        <f>SUM(H29:I29,K29)</f>
        <v>816.77665404040408</v>
      </c>
      <c r="M29" s="378"/>
      <c r="N29" s="1066" t="s">
        <v>609</v>
      </c>
      <c r="O29" s="1067"/>
    </row>
    <row r="30" spans="1:15" ht="15" customHeight="1" x14ac:dyDescent="0.25">
      <c r="A30" s="31">
        <f t="shared" si="2"/>
        <v>44278.906250000015</v>
      </c>
      <c r="B30" s="421">
        <f t="shared" si="3"/>
        <v>44278.906250000015</v>
      </c>
      <c r="C30" s="398">
        <v>8.3333333333333329E-2</v>
      </c>
      <c r="D30" s="420" t="str">
        <f t="shared" si="0"/>
        <v/>
      </c>
      <c r="E30" s="421">
        <f t="shared" si="4"/>
        <v>44278.98958333335</v>
      </c>
      <c r="F30" s="422" t="s">
        <v>647</v>
      </c>
      <c r="G30" s="275"/>
      <c r="H30" s="343"/>
      <c r="I30" s="343"/>
      <c r="J30" s="343"/>
      <c r="K30" s="343"/>
      <c r="L30" s="388"/>
      <c r="M30" s="378"/>
      <c r="N30" s="390" t="s">
        <v>2651</v>
      </c>
      <c r="O30" s="343">
        <f>SUM(H29:H38)</f>
        <v>816.77665404040408</v>
      </c>
    </row>
    <row r="31" spans="1:15" ht="15" customHeight="1" x14ac:dyDescent="0.25">
      <c r="A31" s="31">
        <f t="shared" si="2"/>
        <v>44278.98958333335</v>
      </c>
      <c r="B31" s="421">
        <f t="shared" si="3"/>
        <v>44278.98958333335</v>
      </c>
      <c r="C31" s="398">
        <v>6.25E-2</v>
      </c>
      <c r="D31" s="420" t="str">
        <f t="shared" si="0"/>
        <v/>
      </c>
      <c r="E31" s="421">
        <f t="shared" si="4"/>
        <v>44279.05208333335</v>
      </c>
      <c r="F31" s="422" t="s">
        <v>648</v>
      </c>
      <c r="G31" s="275"/>
      <c r="H31" s="343"/>
      <c r="I31" s="343"/>
      <c r="J31" s="343"/>
      <c r="K31" s="343"/>
      <c r="L31" s="388"/>
      <c r="M31" s="378"/>
      <c r="N31" s="390" t="s">
        <v>2647</v>
      </c>
      <c r="O31" s="343">
        <f>SUM(I29:I38)</f>
        <v>1251.5857871396895</v>
      </c>
    </row>
    <row r="32" spans="1:15" ht="15" customHeight="1" x14ac:dyDescent="0.25">
      <c r="A32" s="31">
        <f t="shared" si="2"/>
        <v>44279.05208333335</v>
      </c>
      <c r="B32" s="421">
        <f t="shared" si="3"/>
        <v>44279.05208333335</v>
      </c>
      <c r="C32" s="398">
        <v>1.3888888888888888E-2</v>
      </c>
      <c r="D32" s="420"/>
      <c r="E32" s="421">
        <f t="shared" si="4"/>
        <v>44279.065972222241</v>
      </c>
      <c r="F32" s="288" t="s">
        <v>2463</v>
      </c>
      <c r="G32" s="275"/>
      <c r="H32" s="343"/>
      <c r="I32" s="343"/>
      <c r="J32" s="343"/>
      <c r="K32" s="343"/>
      <c r="L32" s="388"/>
      <c r="M32" s="378"/>
      <c r="N32" s="390"/>
      <c r="O32" s="343"/>
    </row>
    <row r="33" spans="1:15" ht="15" customHeight="1" x14ac:dyDescent="0.25">
      <c r="A33" s="31">
        <f t="shared" si="2"/>
        <v>44279.065972222241</v>
      </c>
      <c r="B33" s="421">
        <f t="shared" si="3"/>
        <v>44279.065972222241</v>
      </c>
      <c r="C33" s="398">
        <v>0</v>
      </c>
      <c r="D33" s="420"/>
      <c r="E33" s="421" t="s">
        <v>99</v>
      </c>
      <c r="F33" s="427" t="s">
        <v>2676</v>
      </c>
      <c r="G33" s="275"/>
      <c r="H33" s="343"/>
      <c r="I33" s="343"/>
      <c r="J33" s="343"/>
      <c r="K33" s="343"/>
      <c r="L33" s="388"/>
      <c r="M33" s="378"/>
      <c r="N33" s="390" t="s">
        <v>682</v>
      </c>
      <c r="O33" s="343">
        <f>SUM(L29:L38)</f>
        <v>2068.3624411800938</v>
      </c>
    </row>
    <row r="34" spans="1:15" ht="15" customHeight="1" x14ac:dyDescent="0.25">
      <c r="A34" s="31">
        <f t="shared" si="2"/>
        <v>44279.065972222241</v>
      </c>
      <c r="B34" s="421">
        <f>IF(D33 = "",B33+C33,B33+D33)</f>
        <v>44279.065972222241</v>
      </c>
      <c r="C34" s="398">
        <v>8.3333333333333329E-2</v>
      </c>
      <c r="D34" s="420" t="str">
        <f t="shared" ref="D34:D36" si="5">IF(_xlfn.ISFORMULA(E34)=TRUE,"",E34-B34)</f>
        <v/>
      </c>
      <c r="E34" s="421">
        <f t="shared" si="4"/>
        <v>44279.149305555577</v>
      </c>
      <c r="F34" s="422" t="s">
        <v>647</v>
      </c>
      <c r="G34" s="275"/>
      <c r="H34" s="343"/>
      <c r="I34" s="343"/>
      <c r="J34" s="343"/>
      <c r="K34" s="343"/>
      <c r="L34" s="388"/>
      <c r="M34" s="378"/>
    </row>
    <row r="35" spans="1:15" ht="15" customHeight="1" x14ac:dyDescent="0.25">
      <c r="A35" s="31">
        <f t="shared" si="2"/>
        <v>44279.149305555577</v>
      </c>
      <c r="B35" s="421">
        <f t="shared" ref="B35:B42" si="6">IF(D34 = "",B34+C34,B34+D34)</f>
        <v>44279.149305555577</v>
      </c>
      <c r="C35" s="398">
        <v>1.3888888888888888E-2</v>
      </c>
      <c r="D35" s="420" t="str">
        <f t="shared" si="5"/>
        <v/>
      </c>
      <c r="E35" s="421">
        <f t="shared" si="4"/>
        <v>44279.163194444467</v>
      </c>
      <c r="F35" s="422" t="s">
        <v>2642</v>
      </c>
      <c r="G35" s="275"/>
      <c r="H35" s="343"/>
      <c r="I35" s="343">
        <v>50.428248337028826</v>
      </c>
      <c r="J35" s="343"/>
      <c r="K35" s="343"/>
      <c r="L35" s="388">
        <f>SUM(H35:I35,K35)</f>
        <v>50.428248337028826</v>
      </c>
      <c r="M35" s="378"/>
    </row>
    <row r="36" spans="1:15" ht="15" customHeight="1" x14ac:dyDescent="0.25">
      <c r="A36" s="31">
        <f t="shared" si="2"/>
        <v>44279.163194444467</v>
      </c>
      <c r="B36" s="421">
        <f t="shared" si="6"/>
        <v>44279.163194444467</v>
      </c>
      <c r="C36" s="398">
        <v>0.13194444444444445</v>
      </c>
      <c r="D36" s="420" t="str">
        <f t="shared" si="5"/>
        <v/>
      </c>
      <c r="E36" s="421">
        <f t="shared" si="4"/>
        <v>44279.295138888912</v>
      </c>
      <c r="F36" s="422" t="s">
        <v>2643</v>
      </c>
      <c r="G36" s="275"/>
      <c r="H36" s="343"/>
      <c r="I36" s="236">
        <v>400.14866962305985</v>
      </c>
      <c r="J36" s="343"/>
      <c r="K36" s="343"/>
      <c r="L36" s="388">
        <f>SUM(H36:I36,K36)</f>
        <v>400.14866962305985</v>
      </c>
      <c r="M36" s="378"/>
    </row>
    <row r="37" spans="1:15" ht="15" customHeight="1" x14ac:dyDescent="0.25">
      <c r="A37" s="31">
        <f t="shared" si="2"/>
        <v>44279.295138888912</v>
      </c>
      <c r="B37" s="421">
        <f t="shared" si="6"/>
        <v>44279.295138888912</v>
      </c>
      <c r="C37" s="398">
        <v>0.13194444444444445</v>
      </c>
      <c r="D37" s="420"/>
      <c r="E37" s="421">
        <f t="shared" si="4"/>
        <v>44279.427083333358</v>
      </c>
      <c r="F37" s="428" t="s">
        <v>2644</v>
      </c>
      <c r="G37" s="275"/>
      <c r="H37" s="343"/>
      <c r="I37" s="343">
        <v>401.22971175166293</v>
      </c>
      <c r="J37" s="343"/>
      <c r="K37" s="343"/>
      <c r="L37" s="388">
        <f>SUM(H37:I37,K37)</f>
        <v>401.22971175166293</v>
      </c>
      <c r="M37" s="378"/>
    </row>
    <row r="38" spans="1:15" ht="15" customHeight="1" x14ac:dyDescent="0.25">
      <c r="A38" s="31">
        <f t="shared" si="2"/>
        <v>44279.427083333358</v>
      </c>
      <c r="B38" s="421">
        <f t="shared" si="6"/>
        <v>44279.427083333358</v>
      </c>
      <c r="C38" s="398">
        <v>0.13194444444444445</v>
      </c>
      <c r="D38" s="420"/>
      <c r="E38" s="421">
        <f t="shared" si="4"/>
        <v>44279.559027777803</v>
      </c>
      <c r="F38" s="429" t="s">
        <v>2645</v>
      </c>
      <c r="G38" s="275"/>
      <c r="H38" s="343"/>
      <c r="I38" s="343">
        <v>399.77915742793789</v>
      </c>
      <c r="J38" s="343"/>
      <c r="K38" s="343"/>
      <c r="L38" s="388">
        <f>SUM(H38:I38,K38)</f>
        <v>399.77915742793789</v>
      </c>
      <c r="M38" s="378"/>
    </row>
    <row r="39" spans="1:15" ht="15" customHeight="1" x14ac:dyDescent="0.25">
      <c r="A39" s="31">
        <f t="shared" si="2"/>
        <v>44279.559027777803</v>
      </c>
      <c r="B39" s="421">
        <f t="shared" si="6"/>
        <v>44279.559027777803</v>
      </c>
      <c r="C39" s="398">
        <v>0.13194444444444445</v>
      </c>
      <c r="D39" s="420"/>
      <c r="E39" s="421">
        <f t="shared" si="4"/>
        <v>44279.690972222248</v>
      </c>
      <c r="F39" s="429" t="s">
        <v>2646</v>
      </c>
      <c r="G39" s="275"/>
      <c r="H39" s="343"/>
      <c r="I39" s="343">
        <v>299.20776053215076</v>
      </c>
      <c r="J39" s="343"/>
      <c r="K39" s="343"/>
      <c r="L39" s="388">
        <f>SUM(H39:I39,K39)</f>
        <v>299.20776053215076</v>
      </c>
      <c r="M39" s="378"/>
      <c r="N39" s="1066" t="s">
        <v>624</v>
      </c>
      <c r="O39" s="1067"/>
    </row>
    <row r="40" spans="1:15" ht="15" customHeight="1" x14ac:dyDescent="0.25">
      <c r="A40" s="31">
        <f t="shared" si="2"/>
        <v>44279.690972222248</v>
      </c>
      <c r="B40" s="421">
        <f t="shared" si="6"/>
        <v>44279.690972222248</v>
      </c>
      <c r="C40" s="398">
        <v>0.125</v>
      </c>
      <c r="D40" s="420"/>
      <c r="E40" s="421" t="s">
        <v>99</v>
      </c>
      <c r="F40" s="430" t="s">
        <v>2637</v>
      </c>
      <c r="G40" s="275"/>
      <c r="H40" s="343"/>
      <c r="I40" s="343"/>
      <c r="J40" s="343"/>
      <c r="K40" s="343"/>
      <c r="L40" s="388"/>
      <c r="M40" s="378"/>
      <c r="N40" s="390" t="s">
        <v>681</v>
      </c>
      <c r="O40" s="343">
        <f>SUM(M39:M58)</f>
        <v>30.886520000000001</v>
      </c>
    </row>
    <row r="41" spans="1:15" ht="15" customHeight="1" x14ac:dyDescent="0.25">
      <c r="A41" s="31">
        <f t="shared" si="2"/>
        <v>44279.815972222248</v>
      </c>
      <c r="B41" s="421">
        <f t="shared" si="6"/>
        <v>44279.815972222248</v>
      </c>
      <c r="C41" s="398">
        <v>6.9444444444444434E-2</v>
      </c>
      <c r="D41" s="420" t="str">
        <f>IF(_xlfn.ISFORMULA(E41)=TRUE,"",E41-B41)</f>
        <v/>
      </c>
      <c r="E41" s="421">
        <f t="shared" si="4"/>
        <v>44279.885416666693</v>
      </c>
      <c r="F41" s="429" t="s">
        <v>656</v>
      </c>
      <c r="G41" s="275"/>
      <c r="H41" s="343"/>
      <c r="I41" s="343"/>
      <c r="J41" s="343"/>
      <c r="K41" s="343"/>
      <c r="L41" s="388"/>
      <c r="M41" s="378"/>
      <c r="N41" s="390" t="s">
        <v>2647</v>
      </c>
      <c r="O41" s="343">
        <f>SUM(I39:I58)</f>
        <v>717.59409090909082</v>
      </c>
    </row>
    <row r="42" spans="1:15" ht="15" customHeight="1" x14ac:dyDescent="0.25">
      <c r="A42" s="31">
        <f t="shared" si="2"/>
        <v>44279.885416666693</v>
      </c>
      <c r="B42" s="421">
        <f t="shared" si="6"/>
        <v>44279.885416666693</v>
      </c>
      <c r="C42" s="398">
        <v>1.3888888888888888E-2</v>
      </c>
      <c r="D42" s="420" t="str">
        <f>IF(_xlfn.ISFORMULA(E42)=TRUE,"",E42-B42)</f>
        <v/>
      </c>
      <c r="E42" s="421">
        <f t="shared" si="4"/>
        <v>44279.899305555584</v>
      </c>
      <c r="F42" s="429" t="s">
        <v>2677</v>
      </c>
      <c r="G42" s="275"/>
      <c r="H42" s="379">
        <v>126.26</v>
      </c>
      <c r="I42" s="380"/>
      <c r="J42" s="343"/>
      <c r="K42" s="343"/>
      <c r="L42" s="388">
        <f>SUM(H42:I42,K42)</f>
        <v>126.26</v>
      </c>
      <c r="M42" s="378"/>
      <c r="N42" s="390" t="s">
        <v>2651</v>
      </c>
      <c r="O42" s="343">
        <f>SUM(H39:H58)</f>
        <v>1612.4210131313132</v>
      </c>
    </row>
    <row r="43" spans="1:15" ht="15" customHeight="1" x14ac:dyDescent="0.25">
      <c r="A43" s="31">
        <f>IF(D42 = "",A42+C42,A42+D42)</f>
        <v>44279.899305555584</v>
      </c>
      <c r="B43" s="421">
        <f>IF(D42 = "",B42+C42,B42+D42)</f>
        <v>44279.899305555584</v>
      </c>
      <c r="C43" s="398">
        <v>1.3888888888888888E-2</v>
      </c>
      <c r="D43" s="420" t="str">
        <f>IF(_xlfn.ISFORMULA(E43)=TRUE,"",E43-B43)</f>
        <v/>
      </c>
      <c r="E43" s="421">
        <f t="shared" si="4"/>
        <v>44279.913194444474</v>
      </c>
      <c r="F43" s="429" t="s">
        <v>2678</v>
      </c>
      <c r="G43" s="275"/>
      <c r="H43" s="343"/>
      <c r="I43" s="343">
        <v>110.86474501108647</v>
      </c>
      <c r="J43" s="343"/>
      <c r="K43" s="343"/>
      <c r="L43" s="388">
        <f>SUM(H43:I43,K43)</f>
        <v>110.86474501108647</v>
      </c>
      <c r="M43" s="378"/>
      <c r="N43" s="390" t="s">
        <v>682</v>
      </c>
      <c r="O43" s="343">
        <f>SUM(L39:L58)</f>
        <v>2363.2565963873426</v>
      </c>
    </row>
    <row r="44" spans="1:15" s="267" customFormat="1" ht="15" customHeight="1" x14ac:dyDescent="0.25">
      <c r="A44" s="280" t="s">
        <v>664</v>
      </c>
      <c r="B44" s="280"/>
      <c r="C44" s="280"/>
      <c r="D44" s="280"/>
      <c r="E44" s="280"/>
      <c r="F44" s="280"/>
      <c r="G44" s="280"/>
      <c r="H44" s="381"/>
      <c r="I44" s="381"/>
      <c r="J44" s="381"/>
      <c r="K44" s="381"/>
      <c r="L44" s="391"/>
      <c r="M44" s="391"/>
    </row>
    <row r="45" spans="1:15" ht="15" customHeight="1" x14ac:dyDescent="0.25">
      <c r="A45" s="31">
        <f>IF(D43 = "",A43+C43,A43+D43)</f>
        <v>44279.913194444474</v>
      </c>
      <c r="B45" s="421">
        <f>IF(D43 = "",B43+C43,B43+D43)</f>
        <v>44279.913194444474</v>
      </c>
      <c r="C45" s="398">
        <v>0</v>
      </c>
      <c r="D45" s="420"/>
      <c r="E45" s="421">
        <f>B45+C45</f>
        <v>44279.913194444474</v>
      </c>
      <c r="F45" s="429" t="s">
        <v>2677</v>
      </c>
      <c r="G45" s="275"/>
      <c r="H45" s="343"/>
      <c r="I45" s="343"/>
      <c r="J45" s="343"/>
      <c r="K45" s="343"/>
      <c r="L45" s="388"/>
      <c r="M45" s="378"/>
    </row>
    <row r="46" spans="1:15" ht="15" customHeight="1" x14ac:dyDescent="0.25">
      <c r="A46" s="31">
        <f>IF(D45 = "",A45+C45,A45+D45)</f>
        <v>44279.913194444474</v>
      </c>
      <c r="B46" s="421">
        <f>IF(D45 = "",B45+C45,B45+D45)</f>
        <v>44279.913194444474</v>
      </c>
      <c r="C46" s="398">
        <v>0</v>
      </c>
      <c r="D46" s="420"/>
      <c r="E46" s="421">
        <f t="shared" ref="E46:E63" si="7">B46+C46</f>
        <v>44279.913194444474</v>
      </c>
      <c r="F46" s="429" t="s">
        <v>2678</v>
      </c>
      <c r="G46" s="275"/>
      <c r="H46" s="343"/>
      <c r="I46" s="343"/>
      <c r="J46" s="343"/>
      <c r="K46" s="343"/>
      <c r="L46" s="388"/>
      <c r="M46" s="378"/>
    </row>
    <row r="47" spans="1:15" ht="15" customHeight="1" x14ac:dyDescent="0.25">
      <c r="A47" s="31">
        <f t="shared" ref="A47:A75" si="8">IF(D46 = "",A46+C46,A46+D46)</f>
        <v>44279.913194444474</v>
      </c>
      <c r="B47" s="421">
        <f t="shared" ref="B47:B75" si="9">IF(D46 = "",B46+C46,B46+D46)</f>
        <v>44279.913194444474</v>
      </c>
      <c r="C47" s="398">
        <v>7.6388888888888895E-2</v>
      </c>
      <c r="D47" s="420" t="str">
        <f t="shared" ref="D47:D59" si="10">IF(_xlfn.ISFORMULA(E47)=TRUE,"",E47-B47)</f>
        <v/>
      </c>
      <c r="E47" s="421">
        <f t="shared" si="7"/>
        <v>44279.989583333365</v>
      </c>
      <c r="F47" s="288" t="s">
        <v>2453</v>
      </c>
      <c r="G47" s="275"/>
      <c r="H47" s="343"/>
      <c r="I47" s="343">
        <v>149.55654101995566</v>
      </c>
      <c r="J47" s="343"/>
      <c r="K47" s="343"/>
      <c r="L47" s="388">
        <f>SUM(H47:I47,K47)</f>
        <v>149.55654101995566</v>
      </c>
      <c r="M47" s="378"/>
    </row>
    <row r="48" spans="1:15" ht="15" customHeight="1" x14ac:dyDescent="0.25">
      <c r="A48" s="31">
        <f t="shared" si="8"/>
        <v>44279.989583333365</v>
      </c>
      <c r="B48" s="421">
        <f t="shared" si="9"/>
        <v>44279.989583333365</v>
      </c>
      <c r="C48" s="423">
        <v>2.7777777777777776E-2</v>
      </c>
      <c r="D48" s="420" t="str">
        <f t="shared" si="10"/>
        <v/>
      </c>
      <c r="E48" s="421">
        <f t="shared" si="7"/>
        <v>44280.017361111146</v>
      </c>
      <c r="F48" s="288" t="s">
        <v>2679</v>
      </c>
      <c r="G48" s="275"/>
      <c r="H48" s="343"/>
      <c r="I48" s="343"/>
      <c r="J48" s="343">
        <v>30.886520000000001</v>
      </c>
      <c r="K48" s="343"/>
      <c r="L48" s="388"/>
      <c r="M48" s="378">
        <f>J48</f>
        <v>30.886520000000001</v>
      </c>
    </row>
    <row r="49" spans="1:15" ht="15" customHeight="1" x14ac:dyDescent="0.25">
      <c r="A49" s="31">
        <f t="shared" si="8"/>
        <v>44280.017361111146</v>
      </c>
      <c r="B49" s="421">
        <f t="shared" si="9"/>
        <v>44280.017361111146</v>
      </c>
      <c r="C49" s="423">
        <v>2.7777777777777776E-2</v>
      </c>
      <c r="D49" s="420" t="str">
        <f t="shared" si="10"/>
        <v/>
      </c>
      <c r="E49" s="421">
        <f t="shared" si="7"/>
        <v>44280.045138888927</v>
      </c>
      <c r="F49" s="288" t="s">
        <v>2680</v>
      </c>
      <c r="G49" s="275"/>
      <c r="H49" s="343"/>
      <c r="I49" s="343"/>
      <c r="J49" s="343"/>
      <c r="K49" s="343">
        <v>33.241492346938777</v>
      </c>
      <c r="L49" s="388">
        <f t="shared" ref="L49:L58" si="11">SUM(H49:I49,K49)</f>
        <v>33.241492346938777</v>
      </c>
      <c r="M49" s="378"/>
    </row>
    <row r="50" spans="1:15" ht="15" customHeight="1" x14ac:dyDescent="0.25">
      <c r="A50" s="31">
        <f t="shared" si="8"/>
        <v>44280.045138888927</v>
      </c>
      <c r="B50" s="421">
        <f t="shared" si="9"/>
        <v>44280.045138888927</v>
      </c>
      <c r="C50" s="423">
        <v>5.5555555555555552E-2</v>
      </c>
      <c r="D50" s="420" t="str">
        <f t="shared" si="10"/>
        <v/>
      </c>
      <c r="E50" s="421">
        <f t="shared" si="7"/>
        <v>44280.100694444482</v>
      </c>
      <c r="F50" s="288" t="s">
        <v>2681</v>
      </c>
      <c r="G50" s="275"/>
      <c r="H50" s="343"/>
      <c r="I50" s="343">
        <v>31.659944567627491</v>
      </c>
      <c r="J50" s="343"/>
      <c r="K50" s="343"/>
      <c r="L50" s="388">
        <f t="shared" si="11"/>
        <v>31.659944567627491</v>
      </c>
      <c r="M50" s="378"/>
    </row>
    <row r="51" spans="1:15" ht="15" hidden="1" customHeight="1" x14ac:dyDescent="0.25">
      <c r="A51" s="563">
        <f t="shared" si="8"/>
        <v>44280.100694444482</v>
      </c>
      <c r="B51" s="607">
        <f t="shared" si="9"/>
        <v>44280.100694444482</v>
      </c>
      <c r="C51" s="608">
        <v>0</v>
      </c>
      <c r="D51" s="609"/>
      <c r="E51" s="607">
        <f t="shared" si="7"/>
        <v>44280.100694444482</v>
      </c>
      <c r="F51" s="610" t="s">
        <v>693</v>
      </c>
      <c r="G51" s="611"/>
      <c r="H51" s="612"/>
      <c r="I51" s="612"/>
      <c r="J51" s="612"/>
      <c r="K51" s="612"/>
      <c r="L51" s="613"/>
      <c r="M51" s="614"/>
    </row>
    <row r="52" spans="1:15" ht="15" customHeight="1" x14ac:dyDescent="0.25">
      <c r="A52" s="31">
        <f t="shared" si="8"/>
        <v>44280.100694444482</v>
      </c>
      <c r="B52" s="421">
        <f t="shared" si="9"/>
        <v>44280.100694444482</v>
      </c>
      <c r="C52" s="398">
        <v>1.3888888888888888E-2</v>
      </c>
      <c r="D52" s="420" t="str">
        <f t="shared" si="10"/>
        <v/>
      </c>
      <c r="E52" s="421">
        <f t="shared" si="7"/>
        <v>44280.114583333372</v>
      </c>
      <c r="F52" s="288" t="s">
        <v>2467</v>
      </c>
      <c r="G52" s="275"/>
      <c r="H52" s="343"/>
      <c r="I52" s="343">
        <v>126.3050997782705</v>
      </c>
      <c r="J52" s="343"/>
      <c r="K52" s="343"/>
      <c r="L52" s="388">
        <f t="shared" si="11"/>
        <v>126.3050997782705</v>
      </c>
      <c r="M52" s="378"/>
    </row>
    <row r="53" spans="1:15" ht="15" customHeight="1" x14ac:dyDescent="0.25">
      <c r="A53" s="31">
        <f t="shared" si="8"/>
        <v>44280.114583333372</v>
      </c>
      <c r="B53" s="421">
        <f t="shared" si="9"/>
        <v>44280.114583333372</v>
      </c>
      <c r="C53" s="423">
        <v>0.47222222222222227</v>
      </c>
      <c r="D53" s="420" t="str">
        <f t="shared" si="10"/>
        <v/>
      </c>
      <c r="E53" s="421">
        <f t="shared" si="7"/>
        <v>44280.586805555591</v>
      </c>
      <c r="F53" s="288" t="s">
        <v>619</v>
      </c>
      <c r="G53" s="275"/>
      <c r="H53" s="343">
        <v>46.870950000000001</v>
      </c>
      <c r="I53" s="343"/>
      <c r="J53" s="343"/>
      <c r="K53" s="343"/>
      <c r="L53" s="388">
        <f t="shared" si="11"/>
        <v>46.870950000000001</v>
      </c>
      <c r="M53" s="378"/>
    </row>
    <row r="54" spans="1:15" ht="15" customHeight="1" x14ac:dyDescent="0.25">
      <c r="A54" s="31">
        <f t="shared" si="8"/>
        <v>44280.586805555591</v>
      </c>
      <c r="B54" s="421">
        <f t="shared" si="9"/>
        <v>44280.586805555591</v>
      </c>
      <c r="C54" s="423">
        <v>2.7777777777777776E-2</v>
      </c>
      <c r="D54" s="420" t="str">
        <f t="shared" si="10"/>
        <v/>
      </c>
      <c r="E54" s="421">
        <f t="shared" si="7"/>
        <v>44280.614583333372</v>
      </c>
      <c r="F54" s="288" t="s">
        <v>2489</v>
      </c>
      <c r="G54" s="275"/>
      <c r="H54" s="343">
        <v>539.29006313131322</v>
      </c>
      <c r="I54" s="343"/>
      <c r="J54" s="343"/>
      <c r="K54" s="343"/>
      <c r="L54" s="388">
        <f t="shared" si="11"/>
        <v>539.29006313131322</v>
      </c>
      <c r="M54" s="378"/>
    </row>
    <row r="55" spans="1:15" ht="15" hidden="1" customHeight="1" x14ac:dyDescent="0.25">
      <c r="A55" s="604">
        <f t="shared" si="8"/>
        <v>44280.614583333372</v>
      </c>
      <c r="B55" s="650">
        <f t="shared" si="9"/>
        <v>44280.614583333372</v>
      </c>
      <c r="C55" s="608">
        <v>0</v>
      </c>
      <c r="D55" s="609"/>
      <c r="E55" s="650">
        <f t="shared" si="7"/>
        <v>44280.614583333372</v>
      </c>
      <c r="F55" s="610" t="s">
        <v>693</v>
      </c>
      <c r="G55" s="611"/>
      <c r="H55" s="612"/>
      <c r="I55" s="612"/>
      <c r="J55" s="612"/>
      <c r="K55" s="612"/>
      <c r="L55" s="613"/>
      <c r="M55" s="614"/>
    </row>
    <row r="56" spans="1:15" ht="15" customHeight="1" x14ac:dyDescent="0.25">
      <c r="A56" s="31">
        <f t="shared" si="8"/>
        <v>44280.614583333372</v>
      </c>
      <c r="B56" s="421">
        <f t="shared" si="9"/>
        <v>44280.614583333372</v>
      </c>
      <c r="C56" s="423">
        <v>0.29166666666666669</v>
      </c>
      <c r="D56" s="420" t="str">
        <f t="shared" si="10"/>
        <v/>
      </c>
      <c r="E56" s="421">
        <f t="shared" si="7"/>
        <v>44280.906250000036</v>
      </c>
      <c r="F56" s="288" t="s">
        <v>2456</v>
      </c>
      <c r="G56" s="275"/>
      <c r="H56" s="343">
        <v>450</v>
      </c>
      <c r="I56" s="343"/>
      <c r="J56" s="343"/>
      <c r="K56" s="343"/>
      <c r="L56" s="388">
        <f t="shared" si="11"/>
        <v>450</v>
      </c>
      <c r="M56" s="378"/>
    </row>
    <row r="57" spans="1:15" ht="15" hidden="1" customHeight="1" x14ac:dyDescent="0.25">
      <c r="A57" s="604">
        <f t="shared" si="8"/>
        <v>44280.906250000036</v>
      </c>
      <c r="B57" s="421">
        <f t="shared" si="9"/>
        <v>44280.906250000036</v>
      </c>
      <c r="C57" s="608">
        <v>0</v>
      </c>
      <c r="D57" s="609"/>
      <c r="E57" s="421">
        <f t="shared" si="7"/>
        <v>44280.906250000036</v>
      </c>
      <c r="F57" s="610" t="s">
        <v>693</v>
      </c>
      <c r="G57" s="611"/>
      <c r="H57" s="343"/>
      <c r="I57" s="343"/>
      <c r="J57" s="343"/>
      <c r="K57" s="343"/>
      <c r="L57" s="388"/>
      <c r="M57" s="378"/>
    </row>
    <row r="58" spans="1:15" ht="15" customHeight="1" x14ac:dyDescent="0.25">
      <c r="A58" s="31">
        <f t="shared" si="8"/>
        <v>44280.906250000036</v>
      </c>
      <c r="B58" s="421">
        <f t="shared" si="9"/>
        <v>44280.906250000036</v>
      </c>
      <c r="C58" s="398">
        <v>0.29166666666666669</v>
      </c>
      <c r="D58" s="420" t="str">
        <f t="shared" si="10"/>
        <v/>
      </c>
      <c r="E58" s="421">
        <f t="shared" si="7"/>
        <v>44281.197916666701</v>
      </c>
      <c r="F58" s="288" t="s">
        <v>2459</v>
      </c>
      <c r="G58" s="275"/>
      <c r="H58" s="382">
        <v>450</v>
      </c>
      <c r="I58" s="343"/>
      <c r="J58" s="343"/>
      <c r="K58" s="343"/>
      <c r="L58" s="388">
        <f t="shared" si="11"/>
        <v>450</v>
      </c>
      <c r="M58" s="378"/>
    </row>
    <row r="59" spans="1:15" ht="15" customHeight="1" x14ac:dyDescent="0.25">
      <c r="A59" s="31">
        <f t="shared" si="8"/>
        <v>44281.197916666701</v>
      </c>
      <c r="B59" s="421">
        <f t="shared" si="9"/>
        <v>44281.197916666701</v>
      </c>
      <c r="C59" s="398">
        <v>9.375E-2</v>
      </c>
      <c r="D59" s="420" t="str">
        <f t="shared" si="10"/>
        <v/>
      </c>
      <c r="E59" s="421">
        <f t="shared" si="7"/>
        <v>44281.291666666701</v>
      </c>
      <c r="F59" s="288" t="s">
        <v>647</v>
      </c>
      <c r="G59" s="275"/>
      <c r="H59" s="382"/>
      <c r="I59" s="343"/>
      <c r="J59" s="343"/>
      <c r="K59" s="343"/>
      <c r="L59" s="388"/>
      <c r="M59" s="378"/>
      <c r="N59" s="1067" t="s">
        <v>630</v>
      </c>
      <c r="O59" s="1067"/>
    </row>
    <row r="60" spans="1:15" ht="15" customHeight="1" x14ac:dyDescent="0.25">
      <c r="A60" s="31">
        <f>IF(D59 = "",A59+C59,A59+D59)</f>
        <v>44281.291666666701</v>
      </c>
      <c r="B60" s="421">
        <f t="shared" si="9"/>
        <v>44281.291666666701</v>
      </c>
      <c r="C60" s="398">
        <v>7.6388888888888895E-2</v>
      </c>
      <c r="D60" s="420" t="str">
        <f>IF(_xlfn.ISFORMULA(E60)=TRUE,"",E60-B60)</f>
        <v/>
      </c>
      <c r="E60" s="421">
        <f t="shared" si="7"/>
        <v>44281.368055555591</v>
      </c>
      <c r="F60" s="288" t="s">
        <v>642</v>
      </c>
      <c r="G60" s="275"/>
      <c r="H60" s="343">
        <v>783.30669191919196</v>
      </c>
      <c r="I60" s="343"/>
      <c r="J60" s="343"/>
      <c r="K60" s="343"/>
      <c r="L60" s="388">
        <f>SUM(H60:I60,K60)</f>
        <v>783.30669191919196</v>
      </c>
      <c r="M60" s="378"/>
      <c r="N60" s="390" t="s">
        <v>2651</v>
      </c>
      <c r="O60" s="343">
        <f>SUM(H59:H70)</f>
        <v>832.03661616161617</v>
      </c>
    </row>
    <row r="61" spans="1:15" ht="15" customHeight="1" x14ac:dyDescent="0.25">
      <c r="A61" s="31">
        <f t="shared" si="8"/>
        <v>44281.368055555591</v>
      </c>
      <c r="B61" s="421">
        <f t="shared" si="9"/>
        <v>44281.368055555591</v>
      </c>
      <c r="C61" s="398">
        <v>0.10416666666666667</v>
      </c>
      <c r="D61" s="420" t="str">
        <f>IF(_xlfn.ISFORMULA(E61)=TRUE,"",E61-B61)</f>
        <v/>
      </c>
      <c r="E61" s="421">
        <f t="shared" si="7"/>
        <v>44281.472222222255</v>
      </c>
      <c r="F61" s="288" t="s">
        <v>647</v>
      </c>
      <c r="G61" s="275"/>
      <c r="H61" s="343"/>
      <c r="I61" s="343"/>
      <c r="J61" s="343"/>
      <c r="K61" s="343"/>
      <c r="L61" s="388"/>
      <c r="M61" s="378"/>
      <c r="N61" s="390" t="s">
        <v>2682</v>
      </c>
      <c r="O61" s="343">
        <f>SUM(I59:I70)</f>
        <v>1265.3009831485588</v>
      </c>
    </row>
    <row r="62" spans="1:15" ht="15" customHeight="1" x14ac:dyDescent="0.25">
      <c r="A62" s="31">
        <f t="shared" si="8"/>
        <v>44281.472222222255</v>
      </c>
      <c r="B62" s="421">
        <f t="shared" si="9"/>
        <v>44281.472222222255</v>
      </c>
      <c r="C62" s="398">
        <v>6.25E-2</v>
      </c>
      <c r="D62" s="420"/>
      <c r="E62" s="421">
        <f t="shared" si="7"/>
        <v>44281.534722222255</v>
      </c>
      <c r="F62" s="288" t="s">
        <v>648</v>
      </c>
      <c r="G62" s="275"/>
      <c r="H62" s="343"/>
      <c r="I62" s="343"/>
      <c r="J62" s="343"/>
      <c r="K62" s="343"/>
      <c r="L62" s="388"/>
      <c r="M62" s="378"/>
      <c r="N62" s="390" t="s">
        <v>682</v>
      </c>
      <c r="O62" s="343">
        <f>SUM(L59:L70)</f>
        <v>2097.3375993101749</v>
      </c>
    </row>
    <row r="63" spans="1:15" ht="15" customHeight="1" x14ac:dyDescent="0.25">
      <c r="A63" s="31">
        <f t="shared" si="8"/>
        <v>44281.534722222255</v>
      </c>
      <c r="B63" s="421">
        <f t="shared" si="9"/>
        <v>44281.534722222255</v>
      </c>
      <c r="C63" s="398">
        <v>3.4722222222222224E-2</v>
      </c>
      <c r="D63" s="420" t="str">
        <f>IF(_xlfn.ISFORMULA(E63)=TRUE,"",E63-B63)</f>
        <v/>
      </c>
      <c r="E63" s="421">
        <f t="shared" si="7"/>
        <v>44281.569444444474</v>
      </c>
      <c r="F63" s="288" t="s">
        <v>2463</v>
      </c>
      <c r="G63" s="275"/>
      <c r="H63" s="343">
        <v>48.729924242424239</v>
      </c>
      <c r="I63" s="343"/>
      <c r="J63" s="343"/>
      <c r="K63" s="343"/>
      <c r="L63" s="343">
        <v>48.729924242424239</v>
      </c>
      <c r="M63" s="378"/>
      <c r="N63" s="441"/>
      <c r="O63" s="442"/>
    </row>
    <row r="64" spans="1:15" ht="15" customHeight="1" x14ac:dyDescent="0.25">
      <c r="A64" s="31">
        <f t="shared" si="8"/>
        <v>44281.569444444474</v>
      </c>
      <c r="B64" s="421">
        <f t="shared" si="9"/>
        <v>44281.569444444474</v>
      </c>
      <c r="C64" s="398">
        <v>0</v>
      </c>
      <c r="D64" s="420"/>
      <c r="E64" s="421" t="s">
        <v>99</v>
      </c>
      <c r="F64" s="334" t="s">
        <v>2683</v>
      </c>
      <c r="G64" s="275"/>
      <c r="H64" s="343"/>
      <c r="I64" s="343"/>
      <c r="J64" s="343"/>
      <c r="K64" s="343"/>
      <c r="L64" s="343"/>
      <c r="M64" s="378"/>
    </row>
    <row r="65" spans="1:15" ht="15" customHeight="1" x14ac:dyDescent="0.25">
      <c r="A65" s="31">
        <f t="shared" si="8"/>
        <v>44281.569444444474</v>
      </c>
      <c r="B65" s="421">
        <f t="shared" si="9"/>
        <v>44281.569444444474</v>
      </c>
      <c r="C65" s="398">
        <v>8.3333333333333329E-2</v>
      </c>
      <c r="D65" s="420"/>
      <c r="E65" s="421">
        <f t="shared" si="4"/>
        <v>44281.65277777781</v>
      </c>
      <c r="F65" s="288" t="s">
        <v>647</v>
      </c>
      <c r="G65" s="275"/>
      <c r="H65" s="343"/>
      <c r="I65" s="343"/>
      <c r="J65" s="343"/>
      <c r="K65" s="343"/>
      <c r="L65" s="388"/>
      <c r="M65" s="378"/>
    </row>
    <row r="66" spans="1:15" ht="15" customHeight="1" x14ac:dyDescent="0.25">
      <c r="A66" s="31">
        <f t="shared" si="8"/>
        <v>44281.65277777781</v>
      </c>
      <c r="B66" s="421">
        <f t="shared" si="9"/>
        <v>44281.65277777781</v>
      </c>
      <c r="C66" s="398">
        <v>2.7777777777777776E-2</v>
      </c>
      <c r="D66" s="420" t="str">
        <f t="shared" ref="D66:D72" si="12">IF(_xlfn.ISFORMULA(E66)=TRUE,"",E66-B66)</f>
        <v/>
      </c>
      <c r="E66" s="421">
        <f t="shared" si="4"/>
        <v>44281.680555555591</v>
      </c>
      <c r="F66" s="288" t="s">
        <v>632</v>
      </c>
      <c r="G66" s="275"/>
      <c r="H66" s="343"/>
      <c r="I66" s="343">
        <v>53.22811529933481</v>
      </c>
      <c r="J66" s="343"/>
      <c r="K66" s="343"/>
      <c r="L66" s="388">
        <f>SUM(H66:I66,K66)</f>
        <v>53.22811529933481</v>
      </c>
      <c r="M66" s="378"/>
    </row>
    <row r="67" spans="1:15" ht="15" customHeight="1" x14ac:dyDescent="0.25">
      <c r="A67" s="31">
        <f t="shared" si="8"/>
        <v>44281.680555555591</v>
      </c>
      <c r="B67" s="421">
        <f t="shared" si="9"/>
        <v>44281.680555555591</v>
      </c>
      <c r="C67" s="398">
        <v>0.125</v>
      </c>
      <c r="D67" s="420" t="str">
        <f t="shared" si="12"/>
        <v/>
      </c>
      <c r="E67" s="421">
        <f t="shared" si="4"/>
        <v>44281.805555555591</v>
      </c>
      <c r="F67" s="288" t="s">
        <v>2643</v>
      </c>
      <c r="G67" s="275"/>
      <c r="H67" s="343"/>
      <c r="I67" s="343">
        <v>402.40454545454548</v>
      </c>
      <c r="J67" s="343"/>
      <c r="K67" s="343"/>
      <c r="L67" s="388">
        <f>SUM(H67:I67,K67)</f>
        <v>402.40454545454548</v>
      </c>
      <c r="M67" s="378"/>
    </row>
    <row r="68" spans="1:15" ht="15" customHeight="1" x14ac:dyDescent="0.25">
      <c r="A68" s="31">
        <f t="shared" si="8"/>
        <v>44281.805555555591</v>
      </c>
      <c r="B68" s="421">
        <f t="shared" si="9"/>
        <v>44281.805555555591</v>
      </c>
      <c r="C68" s="398">
        <v>0.125</v>
      </c>
      <c r="D68" s="420"/>
      <c r="E68" s="421">
        <f t="shared" si="4"/>
        <v>44281.930555555591</v>
      </c>
      <c r="F68" s="273" t="s">
        <v>2644</v>
      </c>
      <c r="G68" s="275"/>
      <c r="H68" s="343"/>
      <c r="I68" s="343">
        <v>401.28492239467846</v>
      </c>
      <c r="J68" s="343"/>
      <c r="K68" s="343"/>
      <c r="L68" s="388">
        <f>SUM(H68:I68,K68)</f>
        <v>401.28492239467846</v>
      </c>
      <c r="M68" s="378"/>
    </row>
    <row r="69" spans="1:15" ht="15" customHeight="1" x14ac:dyDescent="0.25">
      <c r="A69" s="563">
        <f t="shared" si="8"/>
        <v>44281.930555555591</v>
      </c>
      <c r="B69" s="607">
        <f t="shared" si="9"/>
        <v>44281.930555555591</v>
      </c>
      <c r="C69" s="609">
        <v>2.4236111111111112</v>
      </c>
      <c r="D69" s="609"/>
      <c r="E69" s="607"/>
      <c r="F69" s="724" t="s">
        <v>2675</v>
      </c>
      <c r="G69" s="275"/>
      <c r="H69" s="343"/>
      <c r="I69" s="343"/>
      <c r="J69" s="343"/>
      <c r="K69" s="343"/>
      <c r="L69" s="388"/>
      <c r="M69" s="378"/>
    </row>
    <row r="70" spans="1:15" ht="15" customHeight="1" x14ac:dyDescent="0.25">
      <c r="A70" s="31">
        <f t="shared" si="8"/>
        <v>44284.354166666701</v>
      </c>
      <c r="B70" s="421">
        <f t="shared" si="9"/>
        <v>44284.354166666701</v>
      </c>
      <c r="C70" s="398">
        <v>0.125</v>
      </c>
      <c r="D70" s="420"/>
      <c r="E70" s="421">
        <f t="shared" si="4"/>
        <v>44284.479166666701</v>
      </c>
      <c r="F70" s="288" t="s">
        <v>2645</v>
      </c>
      <c r="G70" s="275"/>
      <c r="H70" s="343"/>
      <c r="I70" s="343">
        <v>408.38339999999999</v>
      </c>
      <c r="J70" s="343"/>
      <c r="K70" s="343"/>
      <c r="L70" s="388">
        <f>SUM(H70:I70,K70)</f>
        <v>408.38339999999999</v>
      </c>
      <c r="M70" s="378"/>
    </row>
    <row r="71" spans="1:15" ht="15" customHeight="1" x14ac:dyDescent="0.25">
      <c r="A71" s="31">
        <f t="shared" si="8"/>
        <v>44284.479166666701</v>
      </c>
      <c r="B71" s="421">
        <f t="shared" si="9"/>
        <v>44284.479166666701</v>
      </c>
      <c r="C71" s="398">
        <v>0.125</v>
      </c>
      <c r="D71" s="420"/>
      <c r="E71" s="421">
        <f t="shared" si="4"/>
        <v>44284.604166666701</v>
      </c>
      <c r="F71" s="288" t="s">
        <v>2646</v>
      </c>
      <c r="G71" s="275"/>
      <c r="H71" s="343"/>
      <c r="I71" s="343">
        <v>302.87261640798226</v>
      </c>
      <c r="J71" s="343"/>
      <c r="K71" s="343"/>
      <c r="L71" s="388">
        <f>SUM(H71:I71,K71)</f>
        <v>302.87261640798226</v>
      </c>
      <c r="M71" s="378"/>
      <c r="N71" s="1066" t="s">
        <v>644</v>
      </c>
      <c r="O71" s="1067"/>
    </row>
    <row r="72" spans="1:15" ht="15" customHeight="1" x14ac:dyDescent="0.25">
      <c r="A72" s="31">
        <f t="shared" si="8"/>
        <v>44284.604166666701</v>
      </c>
      <c r="B72" s="421">
        <f t="shared" si="9"/>
        <v>44284.604166666701</v>
      </c>
      <c r="C72" s="398">
        <v>2.7777777777777776E-2</v>
      </c>
      <c r="D72" s="420" t="str">
        <f t="shared" si="12"/>
        <v/>
      </c>
      <c r="E72" s="421">
        <f t="shared" si="4"/>
        <v>44284.631944444482</v>
      </c>
      <c r="F72" s="288" t="s">
        <v>2463</v>
      </c>
      <c r="G72" s="275"/>
      <c r="H72" s="343"/>
      <c r="I72" s="343"/>
      <c r="J72" s="343"/>
      <c r="K72" s="343"/>
      <c r="L72" s="388"/>
      <c r="M72" s="378"/>
      <c r="N72" s="390" t="s">
        <v>2651</v>
      </c>
      <c r="O72" s="343">
        <f>SUM(H71:H87)</f>
        <v>2035.7442431313132</v>
      </c>
    </row>
    <row r="73" spans="1:15" ht="15" customHeight="1" x14ac:dyDescent="0.25">
      <c r="A73" s="31">
        <f t="shared" si="8"/>
        <v>44284.631944444482</v>
      </c>
      <c r="B73" s="421">
        <f t="shared" si="9"/>
        <v>44284.631944444482</v>
      </c>
      <c r="C73" s="398">
        <v>3.7222222222222219</v>
      </c>
      <c r="D73" s="420"/>
      <c r="E73" s="421" t="s">
        <v>99</v>
      </c>
      <c r="F73" s="334" t="s">
        <v>2639</v>
      </c>
      <c r="G73" s="275"/>
      <c r="H73" s="343"/>
      <c r="I73" s="343"/>
      <c r="J73" s="343"/>
      <c r="K73" s="343"/>
      <c r="L73" s="388"/>
      <c r="M73" s="378"/>
      <c r="N73" s="390" t="s">
        <v>2647</v>
      </c>
      <c r="O73" s="343">
        <f>SUM(I71:I87)</f>
        <v>420.96718403547675</v>
      </c>
    </row>
    <row r="74" spans="1:15" ht="15" customHeight="1" x14ac:dyDescent="0.25">
      <c r="A74" s="443">
        <f t="shared" si="8"/>
        <v>44288.354166666701</v>
      </c>
      <c r="B74" s="444">
        <f t="shared" si="9"/>
        <v>44288.354166666701</v>
      </c>
      <c r="C74" s="726">
        <v>0.10416666666666667</v>
      </c>
      <c r="D74" s="445" t="str">
        <f>IF(_xlfn.ISFORMULA(E74)=TRUE,"",E74-B74)</f>
        <v/>
      </c>
      <c r="E74" s="444">
        <f t="shared" si="4"/>
        <v>44288.458333333365</v>
      </c>
      <c r="F74" s="446" t="s">
        <v>2684</v>
      </c>
      <c r="G74" s="275"/>
      <c r="H74" s="343"/>
      <c r="I74" s="343"/>
      <c r="J74" s="343"/>
      <c r="K74" s="343"/>
      <c r="L74" s="388"/>
      <c r="M74" s="378"/>
      <c r="N74" s="390" t="s">
        <v>682</v>
      </c>
      <c r="O74" s="343">
        <f>SUM(L71:L87)</f>
        <v>2456.7114271667897</v>
      </c>
    </row>
    <row r="75" spans="1:15" ht="15" customHeight="1" x14ac:dyDescent="0.25">
      <c r="A75" s="31">
        <f t="shared" si="8"/>
        <v>44288.458333333365</v>
      </c>
      <c r="B75" s="421">
        <f t="shared" si="9"/>
        <v>44288.458333333365</v>
      </c>
      <c r="C75" s="423">
        <v>1.3888888888888888E-2</v>
      </c>
      <c r="D75" s="420" t="str">
        <f t="shared" ref="D75" si="13">IF(_xlfn.ISFORMULA(E75)=TRUE,"",E75-B75)</f>
        <v/>
      </c>
      <c r="E75" s="421">
        <f t="shared" si="4"/>
        <v>44288.472222222255</v>
      </c>
      <c r="F75" s="288" t="s">
        <v>2472</v>
      </c>
      <c r="G75" s="275"/>
      <c r="H75" s="343">
        <v>133.60631313131313</v>
      </c>
      <c r="I75" s="343"/>
      <c r="J75" s="343"/>
      <c r="K75" s="343"/>
      <c r="L75" s="388">
        <f>SUM(H75:I75,K75)</f>
        <v>133.60631313131313</v>
      </c>
      <c r="M75" s="378"/>
    </row>
    <row r="76" spans="1:15" ht="15" customHeight="1" x14ac:dyDescent="0.25">
      <c r="A76" s="31">
        <f>IF(D75 = "",A75+C75,A75+D75)</f>
        <v>44288.472222222255</v>
      </c>
      <c r="B76" s="421">
        <f>IF(D75 = "",B75+C75,B75+D75)</f>
        <v>44288.472222222255</v>
      </c>
      <c r="C76" s="398">
        <v>1.3888888888888888E-2</v>
      </c>
      <c r="D76" s="420" t="str">
        <f>IF(_xlfn.ISFORMULA(E76)=TRUE,"",E76-B76)</f>
        <v/>
      </c>
      <c r="E76" s="421">
        <f t="shared" si="4"/>
        <v>44288.486111111146</v>
      </c>
      <c r="F76" s="288" t="s">
        <v>2549</v>
      </c>
      <c r="G76" s="275"/>
      <c r="H76" s="343"/>
      <c r="I76" s="343">
        <v>118.09456762749446</v>
      </c>
      <c r="J76" s="343"/>
      <c r="K76" s="343"/>
      <c r="L76" s="388">
        <f>SUM(H76:I76,K76)</f>
        <v>118.09456762749446</v>
      </c>
      <c r="M76" s="378"/>
    </row>
    <row r="77" spans="1:15" ht="15" customHeight="1" x14ac:dyDescent="0.25">
      <c r="A77" s="1070" t="s">
        <v>640</v>
      </c>
      <c r="B77" s="1070"/>
      <c r="C77" s="1070"/>
      <c r="D77" s="1070"/>
      <c r="E77" s="1070"/>
      <c r="F77" s="1070"/>
      <c r="G77" s="1071"/>
      <c r="H77" s="383"/>
      <c r="I77" s="383"/>
      <c r="J77" s="383"/>
      <c r="K77" s="383"/>
      <c r="L77" s="389"/>
      <c r="M77" s="383"/>
    </row>
    <row r="78" spans="1:15" ht="15" customHeight="1" x14ac:dyDescent="0.25">
      <c r="A78" s="31">
        <f>IF(D76 = "",A76+C76,A76+D76)</f>
        <v>44288.486111111146</v>
      </c>
      <c r="B78" s="421">
        <f>IF(D76 = "",B76+C76,B76+D76)</f>
        <v>44288.486111111146</v>
      </c>
      <c r="C78" s="431">
        <v>0</v>
      </c>
      <c r="D78" s="420"/>
      <c r="E78" s="421">
        <f>B78+C78</f>
        <v>44288.486111111146</v>
      </c>
      <c r="F78" s="288" t="s">
        <v>2472</v>
      </c>
      <c r="G78" s="275"/>
      <c r="H78" s="343"/>
      <c r="I78" s="343"/>
      <c r="J78" s="343"/>
      <c r="K78" s="343"/>
      <c r="L78" s="388"/>
      <c r="M78" s="378"/>
    </row>
    <row r="79" spans="1:15" ht="15" customHeight="1" x14ac:dyDescent="0.25">
      <c r="A79" s="31">
        <f>IF(D78 = "",A78+C78,A78+D78)</f>
        <v>44288.486111111146</v>
      </c>
      <c r="B79" s="421">
        <f>IF(D78 = "",B78+C78,B78+D78)</f>
        <v>44288.486111111146</v>
      </c>
      <c r="C79" s="431">
        <v>0</v>
      </c>
      <c r="D79" s="420"/>
      <c r="E79" s="421">
        <f t="shared" ref="E79:E92" si="14">B79+C79</f>
        <v>44288.486111111146</v>
      </c>
      <c r="F79" s="288" t="s">
        <v>2549</v>
      </c>
      <c r="G79" s="275"/>
      <c r="H79" s="343"/>
      <c r="I79" s="343"/>
      <c r="J79" s="343"/>
      <c r="K79" s="343"/>
      <c r="L79" s="388"/>
      <c r="M79" s="378"/>
    </row>
    <row r="80" spans="1:15" ht="15" customHeight="1" x14ac:dyDescent="0.25">
      <c r="A80" s="31">
        <f t="shared" ref="A80:A93" si="15">IF(D79 = "",A79+C79,A79+D79)</f>
        <v>44288.486111111146</v>
      </c>
      <c r="B80" s="421">
        <f t="shared" ref="B80:B93" si="16">IF(D79 = "",B79+C79,B79+D79)</f>
        <v>44288.486111111146</v>
      </c>
      <c r="C80" s="431">
        <v>6.25E-2</v>
      </c>
      <c r="D80" s="420" t="str">
        <f>IF(_xlfn.ISFORMULA(E80)=TRUE,"",E80-B80)</f>
        <v/>
      </c>
      <c r="E80" s="421">
        <f t="shared" si="14"/>
        <v>44288.548611111146</v>
      </c>
      <c r="F80" s="260" t="s">
        <v>2685</v>
      </c>
      <c r="G80" s="275"/>
      <c r="H80" s="343">
        <v>1284.3779299999999</v>
      </c>
      <c r="I80" s="343"/>
      <c r="J80" s="343"/>
      <c r="K80" s="343"/>
      <c r="L80" s="388">
        <f>SUM(H80:I80,K80)</f>
        <v>1284.3779299999999</v>
      </c>
      <c r="M80" s="378"/>
    </row>
    <row r="81" spans="1:15" ht="15" customHeight="1" x14ac:dyDescent="0.25">
      <c r="A81" s="31">
        <f t="shared" si="15"/>
        <v>44288.548611111146</v>
      </c>
      <c r="B81" s="421">
        <f t="shared" si="16"/>
        <v>44288.548611111146</v>
      </c>
      <c r="C81" s="432">
        <v>0.14583333333333334</v>
      </c>
      <c r="D81" s="420" t="str">
        <f t="shared" ref="D81:D94" si="17">IF(_xlfn.ISFORMULA(E81)=TRUE,"",E81-B81)</f>
        <v/>
      </c>
      <c r="E81" s="421">
        <f t="shared" si="14"/>
        <v>44288.694444444482</v>
      </c>
      <c r="F81" s="260" t="s">
        <v>2475</v>
      </c>
      <c r="G81" s="275"/>
      <c r="H81" s="343">
        <v>205.92000000000002</v>
      </c>
      <c r="I81" s="343"/>
      <c r="J81" s="343"/>
      <c r="K81" s="343"/>
      <c r="L81" s="388">
        <f>SUM(H81:I81,K81)</f>
        <v>205.92000000000002</v>
      </c>
      <c r="M81" s="378"/>
    </row>
    <row r="82" spans="1:15" ht="15" hidden="1" customHeight="1" x14ac:dyDescent="0.25">
      <c r="A82" s="604">
        <f t="shared" si="15"/>
        <v>44288.694444444482</v>
      </c>
      <c r="B82" s="650">
        <f t="shared" si="16"/>
        <v>44288.694444444482</v>
      </c>
      <c r="C82" s="713">
        <v>0</v>
      </c>
      <c r="D82" s="609"/>
      <c r="E82" s="650">
        <f t="shared" si="14"/>
        <v>44288.694444444482</v>
      </c>
      <c r="F82" s="714" t="s">
        <v>2686</v>
      </c>
      <c r="G82" s="611"/>
      <c r="H82" s="612"/>
      <c r="I82" s="612"/>
      <c r="J82" s="612"/>
      <c r="K82" s="612"/>
      <c r="L82" s="613"/>
      <c r="M82" s="614"/>
    </row>
    <row r="83" spans="1:15" ht="15" customHeight="1" x14ac:dyDescent="0.25">
      <c r="A83" s="31">
        <f t="shared" si="15"/>
        <v>44288.694444444482</v>
      </c>
      <c r="B83" s="421">
        <f t="shared" si="16"/>
        <v>44288.694444444482</v>
      </c>
      <c r="C83" s="432">
        <v>0.14583333333333334</v>
      </c>
      <c r="D83" s="420" t="str">
        <f t="shared" si="17"/>
        <v/>
      </c>
      <c r="E83" s="421">
        <f t="shared" si="14"/>
        <v>44288.840277777817</v>
      </c>
      <c r="F83" s="260" t="s">
        <v>2476</v>
      </c>
      <c r="G83" s="275"/>
      <c r="H83" s="343">
        <v>205.92000000000002</v>
      </c>
      <c r="I83" s="343"/>
      <c r="J83" s="343"/>
      <c r="K83" s="343"/>
      <c r="L83" s="388">
        <f>SUM(H83:I83,K83)</f>
        <v>205.92000000000002</v>
      </c>
      <c r="M83" s="378"/>
    </row>
    <row r="84" spans="1:15" ht="15" hidden="1" customHeight="1" x14ac:dyDescent="0.25">
      <c r="A84" s="604">
        <f t="shared" si="15"/>
        <v>44288.840277777817</v>
      </c>
      <c r="B84" s="650">
        <f t="shared" si="16"/>
        <v>44288.840277777817</v>
      </c>
      <c r="C84" s="713">
        <v>0</v>
      </c>
      <c r="D84" s="609"/>
      <c r="E84" s="650"/>
      <c r="F84" s="715" t="s">
        <v>693</v>
      </c>
      <c r="G84" s="723"/>
      <c r="H84" s="343"/>
      <c r="I84" s="343"/>
      <c r="J84" s="343"/>
      <c r="K84" s="343"/>
      <c r="L84" s="388"/>
      <c r="M84" s="378"/>
    </row>
    <row r="85" spans="1:15" ht="15" customHeight="1" x14ac:dyDescent="0.25">
      <c r="A85" s="31">
        <f t="shared" si="15"/>
        <v>44288.840277777817</v>
      </c>
      <c r="B85" s="421">
        <f t="shared" si="16"/>
        <v>44288.840277777817</v>
      </c>
      <c r="C85" s="432">
        <v>0.14583333333333334</v>
      </c>
      <c r="D85" s="420" t="str">
        <f t="shared" si="17"/>
        <v/>
      </c>
      <c r="E85" s="421">
        <f t="shared" si="14"/>
        <v>44288.986111111153</v>
      </c>
      <c r="F85" s="260" t="s">
        <v>2477</v>
      </c>
      <c r="G85" s="275"/>
      <c r="H85" s="343">
        <v>205.92000000000002</v>
      </c>
      <c r="I85" s="343"/>
      <c r="J85" s="343"/>
      <c r="K85" s="343"/>
      <c r="L85" s="388">
        <f>SUM(H85:I85,K85)</f>
        <v>205.92000000000002</v>
      </c>
      <c r="M85" s="378"/>
    </row>
    <row r="86" spans="1:15" ht="15" customHeight="1" x14ac:dyDescent="0.25">
      <c r="A86" s="31">
        <f t="shared" si="15"/>
        <v>44288.986111111153</v>
      </c>
      <c r="B86" s="421">
        <f t="shared" si="16"/>
        <v>44288.986111111153</v>
      </c>
      <c r="C86" s="432">
        <v>0.125</v>
      </c>
      <c r="D86" s="420" t="str">
        <f t="shared" si="17"/>
        <v/>
      </c>
      <c r="E86" s="421">
        <f t="shared" si="14"/>
        <v>44289.111111111153</v>
      </c>
      <c r="F86" s="260" t="s">
        <v>647</v>
      </c>
      <c r="G86" s="414"/>
      <c r="H86" s="343"/>
      <c r="I86" s="343"/>
      <c r="J86" s="343"/>
      <c r="K86" s="343"/>
      <c r="L86" s="378"/>
      <c r="M86" s="378"/>
    </row>
    <row r="87" spans="1:15" ht="15" customHeight="1" x14ac:dyDescent="0.25">
      <c r="A87" s="604">
        <f t="shared" si="15"/>
        <v>44289.111111111153</v>
      </c>
      <c r="B87" s="650">
        <f t="shared" si="16"/>
        <v>44289.111111111153</v>
      </c>
      <c r="C87" s="713">
        <v>2.2430555555555558</v>
      </c>
      <c r="D87" s="609"/>
      <c r="E87" s="650"/>
      <c r="F87" s="715" t="s">
        <v>2675</v>
      </c>
      <c r="G87" s="716"/>
      <c r="H87" s="612"/>
      <c r="I87" s="612"/>
      <c r="J87" s="612"/>
      <c r="K87" s="612"/>
      <c r="L87" s="614"/>
      <c r="M87" s="614"/>
    </row>
    <row r="88" spans="1:15" ht="15" customHeight="1" x14ac:dyDescent="0.25">
      <c r="A88" s="31">
        <f t="shared" si="15"/>
        <v>44291.354166666708</v>
      </c>
      <c r="B88" s="421">
        <f t="shared" si="16"/>
        <v>44291.354166666708</v>
      </c>
      <c r="C88" s="431">
        <v>0.18055555555555555</v>
      </c>
      <c r="D88" s="420" t="str">
        <f t="shared" si="17"/>
        <v/>
      </c>
      <c r="E88" s="421">
        <f t="shared" si="14"/>
        <v>44291.534722222263</v>
      </c>
      <c r="F88" s="260" t="s">
        <v>597</v>
      </c>
      <c r="G88" s="414"/>
      <c r="H88" s="343">
        <v>955.89929999999993</v>
      </c>
      <c r="I88" s="343"/>
      <c r="J88" s="343"/>
      <c r="K88" s="343"/>
      <c r="L88" s="378">
        <f>SUM(H88:I88,K88)</f>
        <v>955.89929999999993</v>
      </c>
      <c r="M88" s="378"/>
      <c r="N88" s="1066" t="s">
        <v>652</v>
      </c>
      <c r="O88" s="1067"/>
    </row>
    <row r="89" spans="1:15" ht="15" customHeight="1" x14ac:dyDescent="0.25">
      <c r="A89" s="31">
        <f t="shared" si="15"/>
        <v>44291.534722222263</v>
      </c>
      <c r="B89" s="421">
        <f t="shared" si="16"/>
        <v>44291.534722222263</v>
      </c>
      <c r="C89" s="431">
        <v>2.7777777777777776E-2</v>
      </c>
      <c r="D89" s="420" t="str">
        <f t="shared" si="17"/>
        <v/>
      </c>
      <c r="E89" s="421">
        <f t="shared" si="14"/>
        <v>44291.562500000044</v>
      </c>
      <c r="F89" s="260" t="s">
        <v>2461</v>
      </c>
      <c r="G89" s="414"/>
      <c r="H89" s="343"/>
      <c r="I89" s="343"/>
      <c r="J89" s="343"/>
      <c r="K89" s="343"/>
      <c r="L89" s="378"/>
      <c r="M89" s="378"/>
      <c r="N89" s="390" t="s">
        <v>2651</v>
      </c>
      <c r="O89" s="343">
        <f>SUM(H88:H93)</f>
        <v>985.14048999999989</v>
      </c>
    </row>
    <row r="90" spans="1:15" ht="15" customHeight="1" x14ac:dyDescent="0.25">
      <c r="A90" s="31">
        <f t="shared" si="15"/>
        <v>44291.562500000044</v>
      </c>
      <c r="B90" s="421">
        <f t="shared" si="16"/>
        <v>44291.562500000044</v>
      </c>
      <c r="C90" s="432">
        <v>8.3333333333333329E-2</v>
      </c>
      <c r="D90" s="420" t="str">
        <f t="shared" si="17"/>
        <v/>
      </c>
      <c r="E90" s="421">
        <f t="shared" si="14"/>
        <v>44291.645833333379</v>
      </c>
      <c r="F90" s="260" t="s">
        <v>647</v>
      </c>
      <c r="G90" s="414"/>
      <c r="H90" s="343">
        <v>29.24119</v>
      </c>
      <c r="I90" s="343"/>
      <c r="J90" s="343"/>
      <c r="K90" s="343"/>
      <c r="L90" s="378">
        <f>SUM(H90:I90,K90)</f>
        <v>29.24119</v>
      </c>
      <c r="M90" s="378"/>
      <c r="N90" s="390" t="s">
        <v>681</v>
      </c>
      <c r="O90" s="343">
        <f>SUM(J88:J93)</f>
        <v>0</v>
      </c>
    </row>
    <row r="91" spans="1:15" ht="15" customHeight="1" x14ac:dyDescent="0.25">
      <c r="A91" s="31">
        <f t="shared" si="15"/>
        <v>44291.645833333379</v>
      </c>
      <c r="B91" s="421">
        <f t="shared" si="16"/>
        <v>44291.645833333379</v>
      </c>
      <c r="C91" s="431">
        <v>0.10069444444444443</v>
      </c>
      <c r="D91" s="420" t="str">
        <f t="shared" si="17"/>
        <v/>
      </c>
      <c r="E91" s="421">
        <f t="shared" si="14"/>
        <v>44291.746527777825</v>
      </c>
      <c r="F91" s="260" t="s">
        <v>648</v>
      </c>
      <c r="G91" s="414"/>
      <c r="H91" s="343"/>
      <c r="I91" s="343"/>
      <c r="J91" s="343"/>
      <c r="K91" s="343"/>
      <c r="L91" s="378"/>
      <c r="M91" s="378"/>
      <c r="N91" s="390" t="s">
        <v>682</v>
      </c>
      <c r="O91" s="343">
        <f>SUM(L88:L93)</f>
        <v>985.14048999999989</v>
      </c>
    </row>
    <row r="92" spans="1:15" s="267" customFormat="1" ht="15" customHeight="1" x14ac:dyDescent="0.25">
      <c r="A92" s="31">
        <f t="shared" si="15"/>
        <v>44291.746527777825</v>
      </c>
      <c r="B92" s="421">
        <f t="shared" si="16"/>
        <v>44291.746527777825</v>
      </c>
      <c r="C92" s="431">
        <v>2.0833333333333332E-2</v>
      </c>
      <c r="D92" s="420" t="str">
        <f t="shared" si="17"/>
        <v/>
      </c>
      <c r="E92" s="421">
        <f t="shared" si="14"/>
        <v>44291.76736111116</v>
      </c>
      <c r="F92" s="260" t="s">
        <v>598</v>
      </c>
      <c r="G92" s="438"/>
      <c r="H92" s="343"/>
      <c r="I92" s="343"/>
      <c r="J92" s="343"/>
      <c r="K92" s="343"/>
      <c r="L92" s="378"/>
      <c r="M92" s="378"/>
    </row>
    <row r="93" spans="1:15" s="267" customFormat="1" ht="15" customHeight="1" x14ac:dyDescent="0.25">
      <c r="A93" s="31">
        <f t="shared" si="15"/>
        <v>44291.76736111116</v>
      </c>
      <c r="B93" s="421">
        <f t="shared" si="16"/>
        <v>44291.76736111116</v>
      </c>
      <c r="C93" s="437">
        <v>0</v>
      </c>
      <c r="D93" s="420"/>
      <c r="E93" s="421" t="s">
        <v>99</v>
      </c>
      <c r="F93" s="335" t="s">
        <v>2640</v>
      </c>
      <c r="G93" s="438"/>
      <c r="H93" s="343"/>
      <c r="I93" s="343"/>
      <c r="J93" s="343"/>
      <c r="K93" s="343"/>
      <c r="L93" s="378"/>
      <c r="M93" s="378"/>
    </row>
    <row r="94" spans="1:15" s="267" customFormat="1" ht="15" customHeight="1" x14ac:dyDescent="0.25">
      <c r="A94" s="31">
        <f>IF(D93 = "",A93+C93,A93+D93)</f>
        <v>44291.76736111116</v>
      </c>
      <c r="B94" s="421">
        <f>IF(D93 = "",B93+C93,B93+D93)</f>
        <v>44291.76736111116</v>
      </c>
      <c r="C94" s="437">
        <v>0.10416666666666667</v>
      </c>
      <c r="D94" s="420" t="str">
        <f t="shared" si="17"/>
        <v/>
      </c>
      <c r="E94" s="421">
        <f t="shared" si="4"/>
        <v>44291.871527777825</v>
      </c>
      <c r="F94" s="333" t="s">
        <v>656</v>
      </c>
      <c r="G94" s="725"/>
      <c r="H94" s="725"/>
      <c r="I94" s="725"/>
      <c r="J94" s="725"/>
      <c r="K94" s="725"/>
      <c r="L94" s="725"/>
      <c r="M94" s="725"/>
      <c r="O94" s="409"/>
    </row>
    <row r="95" spans="1:15" s="267" customFormat="1" ht="15" hidden="1" customHeight="1" x14ac:dyDescent="0.25">
      <c r="A95" s="280" t="s">
        <v>2687</v>
      </c>
      <c r="B95" s="280"/>
      <c r="C95" s="280"/>
      <c r="D95" s="280"/>
      <c r="E95" s="280"/>
      <c r="F95" s="280"/>
      <c r="G95" s="288"/>
      <c r="H95" s="385"/>
      <c r="I95" s="385"/>
      <c r="J95" s="385">
        <v>300</v>
      </c>
      <c r="K95" s="385"/>
      <c r="L95" s="388"/>
      <c r="M95" s="385"/>
      <c r="N95" s="25"/>
      <c r="O95" s="25"/>
    </row>
    <row r="96" spans="1:15" s="267" customFormat="1" ht="15" customHeight="1" x14ac:dyDescent="0.25">
      <c r="A96" s="31">
        <f>E96</f>
        <v>44291.520833333372</v>
      </c>
      <c r="B96" s="421">
        <f>B88 + "1:00"</f>
        <v>44291.395833333372</v>
      </c>
      <c r="C96" s="423">
        <v>0.125</v>
      </c>
      <c r="D96" s="420" t="str">
        <f t="shared" ref="D96" si="18">IF(_xlfn.ISFORMULA(E96)=TRUE,"",E96-B96)</f>
        <v/>
      </c>
      <c r="E96" s="421">
        <f t="shared" si="4"/>
        <v>44291.520833333372</v>
      </c>
      <c r="F96" s="439" t="s">
        <v>2688</v>
      </c>
      <c r="G96" s="288"/>
      <c r="H96" s="385"/>
      <c r="I96" s="385"/>
      <c r="J96" s="385"/>
      <c r="K96" s="385">
        <v>85</v>
      </c>
      <c r="L96" s="388">
        <f>K96</f>
        <v>85</v>
      </c>
      <c r="M96" s="385"/>
    </row>
    <row r="97" spans="1:14" ht="15" customHeight="1" x14ac:dyDescent="0.25">
      <c r="A97" s="31">
        <f>IF(D96 = "",A96+C96,A96+D96)</f>
        <v>44291.645833333372</v>
      </c>
      <c r="B97" s="421">
        <f>IF(D96 = "",B96+C96,B96+D96)</f>
        <v>44291.520833333372</v>
      </c>
      <c r="C97" s="423">
        <v>0.14583333333333334</v>
      </c>
      <c r="D97" s="420" t="str">
        <f>IF(_xlfn.ISFORMULA(E97)=TRUE,"",E97-B97)</f>
        <v/>
      </c>
      <c r="E97" s="421">
        <f t="shared" ref="E97" si="19">B97+C97</f>
        <v>44291.666666666708</v>
      </c>
      <c r="F97" s="439" t="s">
        <v>2689</v>
      </c>
      <c r="G97" s="274" t="s">
        <v>607</v>
      </c>
      <c r="H97" s="287">
        <f>SUM(H80:H93,H47:H76,H17:H43,H96:H96)</f>
        <v>7995.5879558585875</v>
      </c>
      <c r="I97" s="287">
        <f>SUM(I80:I93,I47:I76,I17:I43,I96:I96)</f>
        <v>4369.5754288248336</v>
      </c>
      <c r="J97" s="287">
        <f>SUM(J80:J93,J47:J76,J17:J43,J96:J96)</f>
        <v>280.88652000000002</v>
      </c>
      <c r="K97" s="287">
        <f>SUM(K80:K93,K47:K76,K17:K43,K96:K96)</f>
        <v>323.70858418367345</v>
      </c>
      <c r="L97" s="287">
        <f>SUM(L80:L93,L47:L76,L17:L43,L96:L96)</f>
        <v>12688.871968867094</v>
      </c>
      <c r="M97" s="287"/>
      <c r="N97" s="409">
        <f>SUM(L68:L96)</f>
        <v>4336.5202395614679</v>
      </c>
    </row>
    <row r="98" spans="1:14" ht="15" customHeight="1" x14ac:dyDescent="0.55000000000000004">
      <c r="A98" s="34"/>
      <c r="B98" s="33" t="s">
        <v>534</v>
      </c>
      <c r="C98" s="32">
        <f>SUM(C83:C97,C17:C43,C47:C76,C80:C81)</f>
        <v>14.121527777777782</v>
      </c>
      <c r="D98" s="32">
        <f>SUM(D83:D97,D17:D43,D47:D76,D80:D81)</f>
        <v>0</v>
      </c>
      <c r="G98" s="26"/>
      <c r="H98" s="26"/>
      <c r="I98" s="26"/>
      <c r="J98" s="26"/>
    </row>
    <row r="99" spans="1:14" ht="15" customHeight="1" x14ac:dyDescent="0.25">
      <c r="B99" s="31" t="s">
        <v>536</v>
      </c>
      <c r="C99" s="112">
        <f>(C98/24)</f>
        <v>0.58839699074074092</v>
      </c>
      <c r="D99" s="112">
        <f>(D98/24)</f>
        <v>0</v>
      </c>
      <c r="G99" s="26"/>
      <c r="H99" s="26"/>
      <c r="I99" s="26"/>
      <c r="J99" s="26"/>
    </row>
    <row r="100" spans="1:14" ht="15" customHeight="1" x14ac:dyDescent="0.25">
      <c r="C100" s="262"/>
      <c r="D100" s="262"/>
      <c r="G100" s="26"/>
      <c r="H100" s="26"/>
      <c r="I100" s="26"/>
      <c r="J100" s="26"/>
    </row>
    <row r="101" spans="1:14" ht="15" customHeight="1" x14ac:dyDescent="0.25">
      <c r="G101" s="26"/>
      <c r="H101" s="26"/>
      <c r="I101" s="26"/>
      <c r="J101" s="26"/>
    </row>
    <row r="102" spans="1:14" ht="15" customHeight="1" x14ac:dyDescent="0.25">
      <c r="G102" s="26"/>
      <c r="H102" s="26"/>
      <c r="I102" s="26"/>
      <c r="J102" s="26"/>
    </row>
    <row r="103" spans="1:14" ht="15" customHeight="1" x14ac:dyDescent="0.25">
      <c r="G103" s="26"/>
      <c r="H103" s="26"/>
      <c r="I103" s="26"/>
      <c r="J103" s="26"/>
    </row>
    <row r="104" spans="1:14" ht="15" customHeight="1" x14ac:dyDescent="0.25">
      <c r="G104" s="26"/>
      <c r="H104" s="26"/>
      <c r="I104" s="26"/>
      <c r="J104" s="26"/>
    </row>
    <row r="105" spans="1:14" ht="15" customHeight="1" x14ac:dyDescent="0.25">
      <c r="G105" s="26"/>
      <c r="H105" s="26"/>
      <c r="I105" s="26"/>
      <c r="J105" s="26"/>
    </row>
    <row r="106" spans="1:14" ht="15" customHeight="1" x14ac:dyDescent="0.25">
      <c r="G106" s="26"/>
      <c r="H106" s="26"/>
      <c r="I106" s="26"/>
      <c r="J106" s="26"/>
    </row>
    <row r="107" spans="1:14" ht="15" customHeight="1" x14ac:dyDescent="0.25">
      <c r="G107" s="26"/>
      <c r="H107" s="26"/>
      <c r="I107" s="26"/>
      <c r="J107" s="26"/>
    </row>
    <row r="108" spans="1:14" ht="15" customHeight="1" x14ac:dyDescent="0.25">
      <c r="G108" s="26"/>
      <c r="H108" s="26"/>
      <c r="I108" s="26"/>
      <c r="J108" s="26"/>
    </row>
    <row r="109" spans="1:14" ht="15" customHeight="1" x14ac:dyDescent="0.25">
      <c r="G109" s="26"/>
      <c r="H109" s="26"/>
      <c r="I109" s="26"/>
      <c r="J109" s="26"/>
    </row>
    <row r="110" spans="1:14" ht="15" customHeight="1" x14ac:dyDescent="0.25">
      <c r="G110" s="26"/>
      <c r="H110" s="26"/>
      <c r="I110" s="26"/>
      <c r="J110" s="26"/>
    </row>
    <row r="111" spans="1:14" ht="15" customHeight="1" x14ac:dyDescent="0.25">
      <c r="G111" s="26"/>
      <c r="H111" s="26"/>
      <c r="I111" s="26"/>
      <c r="J111" s="26"/>
    </row>
    <row r="112" spans="1:14" ht="15" customHeight="1" x14ac:dyDescent="0.25">
      <c r="G112" s="26"/>
      <c r="H112" s="26"/>
      <c r="I112" s="26"/>
      <c r="J112" s="26"/>
    </row>
    <row r="113" spans="6:10" ht="15" customHeight="1" x14ac:dyDescent="0.25">
      <c r="G113" s="26"/>
      <c r="H113" s="26"/>
      <c r="I113" s="26"/>
      <c r="J113" s="26"/>
    </row>
    <row r="114" spans="6:10" ht="15" customHeight="1" x14ac:dyDescent="0.25">
      <c r="G114" s="26"/>
      <c r="H114" s="26"/>
      <c r="I114" s="26"/>
      <c r="J114" s="26"/>
    </row>
    <row r="115" spans="6:10" ht="15" customHeight="1" x14ac:dyDescent="0.25">
      <c r="G115" s="26"/>
      <c r="H115" s="26"/>
      <c r="I115" s="26"/>
      <c r="J115" s="26"/>
    </row>
    <row r="116" spans="6:10" ht="15" customHeight="1" x14ac:dyDescent="0.25">
      <c r="G116" s="26"/>
      <c r="H116" s="26"/>
      <c r="I116" s="26"/>
      <c r="J116" s="26"/>
    </row>
    <row r="117" spans="6:10" ht="15" customHeight="1" x14ac:dyDescent="0.25">
      <c r="G117" s="26"/>
      <c r="H117" s="26"/>
      <c r="I117" s="26"/>
      <c r="J117" s="26"/>
    </row>
    <row r="118" spans="6:10" ht="15" customHeight="1" x14ac:dyDescent="0.25">
      <c r="G118" s="26"/>
      <c r="H118" s="26"/>
      <c r="I118" s="26"/>
      <c r="J118" s="26"/>
    </row>
    <row r="120" spans="6:10" ht="15" customHeight="1" x14ac:dyDescent="0.25">
      <c r="F120" s="26"/>
    </row>
    <row r="121" spans="6:10" ht="15" customHeight="1" x14ac:dyDescent="0.25">
      <c r="F121" s="26"/>
    </row>
  </sheetData>
  <mergeCells count="8">
    <mergeCell ref="A77:G77"/>
    <mergeCell ref="N88:O88"/>
    <mergeCell ref="A1:B1"/>
    <mergeCell ref="N17:O17"/>
    <mergeCell ref="N29:O29"/>
    <mergeCell ref="N39:O39"/>
    <mergeCell ref="N59:O59"/>
    <mergeCell ref="N71:O71"/>
  </mergeCells>
  <pageMargins left="0.75" right="0.75" top="1" bottom="1" header="0.5" footer="0.5"/>
  <pageSetup orientation="portrait" r:id="rId1"/>
  <headerFooter alignWithMargins="0">
    <oddFooter>&amp;R&amp;"Arial,Regular"&amp;08&amp;K7F7F7FAmgen Proprietary - Confidential   &amp;C&amp;"Calibri"&amp;11&amp;K000000&amp;"Arial,Regular"&amp;08&amp;K7F7F7FAmgen Proprietary - For Internal Use Only_x000D_&amp;1#&amp;"Calibri"&amp;10&amp;K000000 Non-Amgen</oddFooter>
    <evenFooter>&amp;R&amp;"Arial,Regular"&amp;08&amp;K7F7F7FAmgen Proprietary - Confidential   &amp;C&amp;"Arial,Regular"&amp;08&amp;K7F7F7FAmgen Proprietary - For Internal Use Only</evenFooter>
    <firstFooter>&amp;R&amp;"Arial,Regular"&amp;08&amp;K7F7F7FAmgen Proprietary - Confidential   &amp;C&amp;"Arial,Regular"&amp;08&amp;K7F7F7FAmgen Proprietary - For Internal Use Only</firstFooter>
  </headerFooter>
  <legacyDrawing r:id="rId2"/>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7F4BCD-07B9-4D58-BA8E-F3BBBD33E529}">
  <sheetPr codeName="Sheet118">
    <pageSetUpPr autoPageBreaks="0"/>
  </sheetPr>
  <dimension ref="A1:O96"/>
  <sheetViews>
    <sheetView topLeftCell="A3" zoomScale="70" zoomScaleNormal="70" workbookViewId="0">
      <selection activeCell="E34" sqref="E34"/>
    </sheetView>
  </sheetViews>
  <sheetFormatPr defaultColWidth="23.453125" defaultRowHeight="15" customHeight="1" x14ac:dyDescent="0.25"/>
  <cols>
    <col min="1" max="1" width="58.453125" style="25" customWidth="1"/>
    <col min="2" max="2" width="29.453125" style="25" customWidth="1"/>
    <col min="3" max="3" width="23.453125" style="25"/>
    <col min="4" max="4" width="23.453125" style="25" hidden="1" customWidth="1"/>
    <col min="5" max="5" width="23.453125" style="25"/>
    <col min="6" max="6" width="79.54296875" style="25" bestFit="1" customWidth="1"/>
    <col min="7" max="7" width="40.54296875" style="25" customWidth="1"/>
    <col min="8" max="11" width="10.54296875" style="25" customWidth="1"/>
    <col min="12" max="12" width="12.54296875" style="25" bestFit="1" customWidth="1"/>
    <col min="13" max="13" width="15" style="25" customWidth="1"/>
    <col min="14" max="16384" width="23.453125" style="25"/>
  </cols>
  <sheetData>
    <row r="1" spans="1:15" ht="15" customHeight="1" thickBot="1" x14ac:dyDescent="0.3">
      <c r="A1" s="1064" t="s">
        <v>479</v>
      </c>
      <c r="B1" s="1065"/>
    </row>
    <row r="2" spans="1:15" ht="15" customHeight="1" x14ac:dyDescent="0.25">
      <c r="A2" s="43" t="s">
        <v>480</v>
      </c>
      <c r="B2" s="289">
        <v>44729.208333333336</v>
      </c>
    </row>
    <row r="3" spans="1:15" ht="15" customHeight="1" thickBot="1" x14ac:dyDescent="0.3">
      <c r="A3" s="42" t="s">
        <v>482</v>
      </c>
      <c r="B3" s="290">
        <f>B2</f>
        <v>44729.208333333336</v>
      </c>
    </row>
    <row r="5" spans="1:15" ht="15" customHeight="1" x14ac:dyDescent="0.25">
      <c r="A5" s="328" t="s">
        <v>484</v>
      </c>
      <c r="B5" s="328"/>
      <c r="C5" s="328"/>
      <c r="D5" s="328"/>
    </row>
    <row r="6" spans="1:15" ht="15" customHeight="1" x14ac:dyDescent="0.25">
      <c r="A6" s="781" t="s">
        <v>485</v>
      </c>
      <c r="B6" s="781" t="s">
        <v>486</v>
      </c>
      <c r="C6" s="781" t="s">
        <v>487</v>
      </c>
      <c r="D6" s="781" t="s">
        <v>488</v>
      </c>
    </row>
    <row r="7" spans="1:15" ht="15" customHeight="1" x14ac:dyDescent="0.25">
      <c r="A7" s="41" t="str">
        <f>F29</f>
        <v xml:space="preserve">   Reactor 2 Sample for drug substance analysis (PR_171 in Methanol)</v>
      </c>
      <c r="B7" s="325">
        <f>INDEX($A$13:$A$72,MATCH(A7,$F$13:$F$72,0))</f>
        <v>44732.510416666686</v>
      </c>
      <c r="C7" s="37">
        <f>INDEX($B$13:$B$72,MATCH(A7,$F$13:$F$72,0))</f>
        <v>44732.510416666686</v>
      </c>
      <c r="D7" s="297"/>
    </row>
    <row r="8" spans="1:15" ht="15" customHeight="1" x14ac:dyDescent="0.25">
      <c r="A8" s="41" t="str">
        <f>F52</f>
        <v xml:space="preserve">   Reactor 1 Sample for drug substance analysis (PR-171 in Methanol)</v>
      </c>
      <c r="B8" s="325">
        <f>INDEX($A$13:$A$72,MATCH(A8,$F$13:$F$72,0))</f>
        <v>44733.833333333358</v>
      </c>
      <c r="C8" s="37">
        <f>INDEX($B$13:$B$72,MATCH(A8,$F$13:$F$72,0))</f>
        <v>44733.833333333358</v>
      </c>
      <c r="D8" s="297"/>
      <c r="E8" s="719"/>
    </row>
    <row r="9" spans="1:15" ht="15" customHeight="1" x14ac:dyDescent="0.25">
      <c r="A9" s="41" t="str">
        <f>F70</f>
        <v xml:space="preserve">   Filter Dryer Sample for drug substance analysis (PR-171 in Methanol)</v>
      </c>
      <c r="B9" s="325">
        <f>INDEX($A$13:$A$72,MATCH(A9,$F$13:$F$72,0))</f>
        <v>44735.072916666708</v>
      </c>
      <c r="C9" s="37">
        <f>INDEX($B$13:$B$72,MATCH(A9,$F$13:$F$72,0))</f>
        <v>44735.072916666708</v>
      </c>
      <c r="D9" s="297"/>
    </row>
    <row r="11" spans="1:15" ht="23" x14ac:dyDescent="0.25">
      <c r="A11" s="749" t="s">
        <v>492</v>
      </c>
      <c r="B11" s="749" t="s">
        <v>576</v>
      </c>
      <c r="C11" s="749" t="s">
        <v>2484</v>
      </c>
      <c r="D11" s="749" t="s">
        <v>2668</v>
      </c>
      <c r="E11" s="749" t="s">
        <v>560</v>
      </c>
      <c r="F11" s="749" t="s">
        <v>541</v>
      </c>
      <c r="G11" s="749" t="s">
        <v>498</v>
      </c>
      <c r="H11" s="372" t="s">
        <v>500</v>
      </c>
      <c r="I11" s="372" t="s">
        <v>677</v>
      </c>
      <c r="J11" s="372" t="s">
        <v>92</v>
      </c>
      <c r="K11" s="372" t="s">
        <v>96</v>
      </c>
      <c r="L11" s="373" t="s">
        <v>501</v>
      </c>
      <c r="M11" s="386" t="s">
        <v>114</v>
      </c>
    </row>
    <row r="12" spans="1:15" ht="15" customHeight="1" x14ac:dyDescent="0.25">
      <c r="A12" s="279" t="s">
        <v>2519</v>
      </c>
      <c r="B12" s="279"/>
      <c r="C12" s="279"/>
      <c r="D12" s="279"/>
      <c r="E12" s="279"/>
      <c r="F12" s="279"/>
      <c r="G12" s="279"/>
      <c r="H12" s="374"/>
      <c r="I12" s="374"/>
      <c r="J12" s="374"/>
      <c r="K12" s="374"/>
      <c r="L12" s="375"/>
      <c r="M12" s="387"/>
    </row>
    <row r="13" spans="1:15" ht="15" customHeight="1" x14ac:dyDescent="0.25">
      <c r="A13" s="31">
        <f>B2</f>
        <v>44729.208333333336</v>
      </c>
      <c r="B13" s="332">
        <f>B3</f>
        <v>44729.208333333336</v>
      </c>
      <c r="C13" s="398">
        <v>2.0833333333333332E-2</v>
      </c>
      <c r="D13" s="420" t="str">
        <f t="shared" ref="D13:D26" si="0">IF(_xlfn.ISFORMULA(E13)=TRUE,"",E13-B13)</f>
        <v/>
      </c>
      <c r="E13" s="421">
        <f>B13+C13</f>
        <v>44729.229166666672</v>
      </c>
      <c r="F13" s="422" t="s">
        <v>2669</v>
      </c>
      <c r="G13" s="277"/>
      <c r="H13" s="376">
        <v>132.11957070707069</v>
      </c>
      <c r="I13" s="377"/>
      <c r="J13" s="377"/>
      <c r="K13" s="378"/>
      <c r="L13" s="388">
        <f t="shared" ref="L13:L21" si="1">SUM(H13:I13,K13)</f>
        <v>132.11957070707069</v>
      </c>
      <c r="M13" s="378"/>
      <c r="N13" s="1067" t="s">
        <v>652</v>
      </c>
      <c r="O13" s="1067"/>
    </row>
    <row r="14" spans="1:15" ht="15" customHeight="1" x14ac:dyDescent="0.25">
      <c r="A14" s="31">
        <f t="shared" ref="A14:A31" si="2">IF(D13 = "",A13+C13,A13+D13)</f>
        <v>44729.229166666672</v>
      </c>
      <c r="B14" s="421">
        <f t="shared" ref="B14:B29" si="3">IF(D13 = "",B13+C13,B13+D13)</f>
        <v>44729.229166666672</v>
      </c>
      <c r="C14" s="398">
        <v>1.3888888888888888E-2</v>
      </c>
      <c r="D14" s="420" t="str">
        <f t="shared" si="0"/>
        <v/>
      </c>
      <c r="E14" s="421">
        <f t="shared" ref="E14:E71" si="4">B14+C14</f>
        <v>44729.243055555562</v>
      </c>
      <c r="F14" s="422" t="s">
        <v>2671</v>
      </c>
      <c r="G14" s="275"/>
      <c r="H14" s="343"/>
      <c r="I14" s="343"/>
      <c r="J14" s="343"/>
      <c r="K14" s="343">
        <v>205.46709183673468</v>
      </c>
      <c r="L14" s="388">
        <f t="shared" si="1"/>
        <v>205.46709183673468</v>
      </c>
      <c r="M14" s="378"/>
      <c r="N14" s="390" t="s">
        <v>2647</v>
      </c>
      <c r="O14" s="343">
        <f>SUM(I13:I21)</f>
        <v>384.83203991130824</v>
      </c>
    </row>
    <row r="15" spans="1:15" ht="15" customHeight="1" x14ac:dyDescent="0.25">
      <c r="A15" s="31">
        <f t="shared" si="2"/>
        <v>44729.243055555562</v>
      </c>
      <c r="B15" s="421">
        <f t="shared" si="3"/>
        <v>44729.243055555562</v>
      </c>
      <c r="C15" s="398">
        <v>6.9444444444444441E-3</v>
      </c>
      <c r="D15" s="420" t="str">
        <f t="shared" si="0"/>
        <v/>
      </c>
      <c r="E15" s="421">
        <f t="shared" si="4"/>
        <v>44729.250000000007</v>
      </c>
      <c r="F15" s="422" t="s">
        <v>2673</v>
      </c>
      <c r="G15" s="275"/>
      <c r="H15" s="343"/>
      <c r="I15" s="343">
        <v>125.73203991130821</v>
      </c>
      <c r="J15" s="343"/>
      <c r="K15" s="343"/>
      <c r="L15" s="388">
        <f t="shared" si="1"/>
        <v>125.73203991130821</v>
      </c>
      <c r="M15" s="378"/>
    </row>
    <row r="16" spans="1:15" ht="15" customHeight="1" x14ac:dyDescent="0.25">
      <c r="A16" s="31">
        <f t="shared" si="2"/>
        <v>44729.250000000007</v>
      </c>
      <c r="B16" s="421">
        <f t="shared" si="3"/>
        <v>44729.250000000007</v>
      </c>
      <c r="C16" s="423">
        <v>1.3888888888888888E-2</v>
      </c>
      <c r="D16" s="420" t="str">
        <f t="shared" si="0"/>
        <v/>
      </c>
      <c r="E16" s="421">
        <f t="shared" si="4"/>
        <v>44729.263888888898</v>
      </c>
      <c r="F16" s="422" t="s">
        <v>2454</v>
      </c>
      <c r="G16" s="275"/>
      <c r="H16" s="343"/>
      <c r="I16" s="343"/>
      <c r="J16" s="343">
        <v>250</v>
      </c>
      <c r="K16" s="343"/>
      <c r="L16" s="388"/>
      <c r="M16" s="378"/>
    </row>
    <row r="17" spans="1:15" ht="15" customHeight="1" x14ac:dyDescent="0.25">
      <c r="A17" s="31">
        <f t="shared" si="2"/>
        <v>44729.263888888898</v>
      </c>
      <c r="B17" s="421">
        <f t="shared" si="3"/>
        <v>44729.263888888898</v>
      </c>
      <c r="C17" s="423">
        <v>4.1666666666666664E-2</v>
      </c>
      <c r="D17" s="420" t="str">
        <f t="shared" si="0"/>
        <v/>
      </c>
      <c r="E17" s="421">
        <f t="shared" si="4"/>
        <v>44729.305555555562</v>
      </c>
      <c r="F17" s="422" t="s">
        <v>2455</v>
      </c>
      <c r="G17" s="275"/>
      <c r="H17" s="343"/>
      <c r="I17" s="343">
        <v>259.10000000000002</v>
      </c>
      <c r="J17" s="343"/>
      <c r="K17" s="343"/>
      <c r="L17" s="388">
        <f t="shared" si="1"/>
        <v>259.10000000000002</v>
      </c>
      <c r="M17" s="378"/>
    </row>
    <row r="18" spans="1:15" ht="15" customHeight="1" x14ac:dyDescent="0.25">
      <c r="A18" s="31">
        <f t="shared" si="2"/>
        <v>44729.305555555562</v>
      </c>
      <c r="B18" s="421">
        <f t="shared" si="3"/>
        <v>44729.305555555562</v>
      </c>
      <c r="C18" s="423">
        <v>2.0833333333333332E-2</v>
      </c>
      <c r="D18" s="420" t="str">
        <f t="shared" si="0"/>
        <v/>
      </c>
      <c r="E18" s="421">
        <f t="shared" si="4"/>
        <v>44729.326388888898</v>
      </c>
      <c r="F18" s="422" t="s">
        <v>619</v>
      </c>
      <c r="G18" s="275"/>
      <c r="H18" s="343">
        <v>51.172853535353532</v>
      </c>
      <c r="I18" s="343"/>
      <c r="J18" s="343"/>
      <c r="K18" s="343"/>
      <c r="L18" s="388">
        <f t="shared" si="1"/>
        <v>51.172853535353532</v>
      </c>
      <c r="M18" s="378"/>
    </row>
    <row r="19" spans="1:15" ht="15" customHeight="1" x14ac:dyDescent="0.25">
      <c r="A19" s="31">
        <f t="shared" si="2"/>
        <v>44729.326388888898</v>
      </c>
      <c r="B19" s="421">
        <f t="shared" si="3"/>
        <v>44729.326388888898</v>
      </c>
      <c r="C19" s="423">
        <v>3.125E-2</v>
      </c>
      <c r="D19" s="420" t="str">
        <f t="shared" si="0"/>
        <v/>
      </c>
      <c r="E19" s="421">
        <f t="shared" si="4"/>
        <v>44729.357638888898</v>
      </c>
      <c r="F19" s="422" t="s">
        <v>2674</v>
      </c>
      <c r="G19" s="275"/>
      <c r="H19" s="343">
        <v>610.1765151515151</v>
      </c>
      <c r="I19" s="343"/>
      <c r="J19" s="343"/>
      <c r="K19" s="343"/>
      <c r="L19" s="388">
        <f t="shared" si="1"/>
        <v>610.1765151515151</v>
      </c>
      <c r="M19" s="378"/>
    </row>
    <row r="20" spans="1:15" ht="15" customHeight="1" x14ac:dyDescent="0.25">
      <c r="A20" s="31">
        <f t="shared" si="2"/>
        <v>44729.357638888898</v>
      </c>
      <c r="B20" s="421">
        <f t="shared" si="3"/>
        <v>44729.357638888898</v>
      </c>
      <c r="C20" s="398">
        <v>0.3125</v>
      </c>
      <c r="D20" s="420" t="str">
        <f t="shared" si="0"/>
        <v/>
      </c>
      <c r="E20" s="421">
        <f t="shared" si="4"/>
        <v>44729.670138888898</v>
      </c>
      <c r="F20" s="422" t="s">
        <v>2456</v>
      </c>
      <c r="G20" s="275"/>
      <c r="H20" s="343">
        <v>550</v>
      </c>
      <c r="I20" s="343"/>
      <c r="J20" s="343"/>
      <c r="K20" s="343"/>
      <c r="L20" s="388">
        <f t="shared" si="1"/>
        <v>550</v>
      </c>
      <c r="M20" s="378"/>
    </row>
    <row r="21" spans="1:15" ht="15" customHeight="1" x14ac:dyDescent="0.25">
      <c r="A21" s="31">
        <f t="shared" si="2"/>
        <v>44729.670138888898</v>
      </c>
      <c r="B21" s="421">
        <f t="shared" si="3"/>
        <v>44729.670138888898</v>
      </c>
      <c r="C21" s="398">
        <v>0.3125</v>
      </c>
      <c r="D21" s="420" t="str">
        <f t="shared" si="0"/>
        <v/>
      </c>
      <c r="E21" s="421">
        <f t="shared" si="4"/>
        <v>44729.982638888898</v>
      </c>
      <c r="F21" s="424" t="s">
        <v>2459</v>
      </c>
      <c r="G21" s="413"/>
      <c r="H21" s="384">
        <v>370</v>
      </c>
      <c r="I21" s="384"/>
      <c r="J21" s="384"/>
      <c r="K21" s="384"/>
      <c r="L21" s="412">
        <f t="shared" si="1"/>
        <v>370</v>
      </c>
      <c r="M21" s="411"/>
    </row>
    <row r="22" spans="1:15" ht="15" hidden="1" customHeight="1" thickBot="1" x14ac:dyDescent="0.3">
      <c r="A22" s="31">
        <f t="shared" si="2"/>
        <v>44729.982638888898</v>
      </c>
      <c r="B22" s="421">
        <f t="shared" si="3"/>
        <v>44729.982638888898</v>
      </c>
      <c r="C22" s="435">
        <v>0</v>
      </c>
      <c r="D22" s="436" t="str">
        <f>IF(_xlfn.ISFORMULA(E22)=TRUE,"",E22-B22)</f>
        <v/>
      </c>
      <c r="E22" s="434">
        <f>B22+C22</f>
        <v>44729.982638888898</v>
      </c>
      <c r="F22" s="415" t="s">
        <v>2675</v>
      </c>
      <c r="G22" s="416"/>
      <c r="H22" s="417"/>
      <c r="I22" s="417"/>
      <c r="J22" s="417"/>
      <c r="K22" s="417"/>
      <c r="L22" s="418"/>
      <c r="M22" s="419"/>
    </row>
    <row r="23" spans="1:15" ht="15" customHeight="1" x14ac:dyDescent="0.25">
      <c r="A23" s="31">
        <f t="shared" si="2"/>
        <v>44729.982638888898</v>
      </c>
      <c r="B23" s="421">
        <f t="shared" si="3"/>
        <v>44729.982638888898</v>
      </c>
      <c r="C23" s="425">
        <v>7.6388888888888895E-2</v>
      </c>
      <c r="D23" s="426" t="str">
        <f t="shared" si="0"/>
        <v/>
      </c>
      <c r="E23" s="421">
        <f t="shared" si="4"/>
        <v>44730.059027777788</v>
      </c>
      <c r="F23" s="422" t="s">
        <v>2461</v>
      </c>
      <c r="G23" s="414"/>
      <c r="H23" s="343">
        <v>816.77665404040408</v>
      </c>
      <c r="I23" s="343"/>
      <c r="J23" s="343"/>
      <c r="K23" s="343"/>
      <c r="L23" s="378">
        <f>SUM(H23:I23,K23)</f>
        <v>816.77665404040408</v>
      </c>
      <c r="M23" s="378"/>
      <c r="N23" s="1066" t="s">
        <v>609</v>
      </c>
      <c r="O23" s="1067"/>
    </row>
    <row r="24" spans="1:15" ht="15" customHeight="1" x14ac:dyDescent="0.25">
      <c r="A24" s="31">
        <f t="shared" si="2"/>
        <v>44730.059027777788</v>
      </c>
      <c r="B24" s="421">
        <f t="shared" si="3"/>
        <v>44730.059027777788</v>
      </c>
      <c r="C24" s="398">
        <v>8.3333333333333329E-2</v>
      </c>
      <c r="D24" s="420" t="str">
        <f t="shared" si="0"/>
        <v/>
      </c>
      <c r="E24" s="421">
        <f t="shared" si="4"/>
        <v>44730.142361111124</v>
      </c>
      <c r="F24" s="422" t="s">
        <v>647</v>
      </c>
      <c r="G24" s="275"/>
      <c r="H24" s="343"/>
      <c r="I24" s="343"/>
      <c r="J24" s="343"/>
      <c r="K24" s="343"/>
      <c r="L24" s="388"/>
      <c r="M24" s="378"/>
      <c r="N24" s="390" t="s">
        <v>2651</v>
      </c>
      <c r="O24" s="343">
        <f>SUM(H23:H30)</f>
        <v>816.77665404040408</v>
      </c>
    </row>
    <row r="25" spans="1:15" ht="15" customHeight="1" x14ac:dyDescent="0.25">
      <c r="A25" s="948">
        <f t="shared" si="2"/>
        <v>44730.142361111124</v>
      </c>
      <c r="B25" s="949">
        <f t="shared" si="3"/>
        <v>44730.142361111124</v>
      </c>
      <c r="C25" s="950">
        <v>2.2083333333333335</v>
      </c>
      <c r="D25" s="950"/>
      <c r="E25" s="949">
        <f t="shared" si="4"/>
        <v>44732.35069444446</v>
      </c>
      <c r="F25" s="951" t="s">
        <v>2675</v>
      </c>
      <c r="G25" s="952"/>
      <c r="H25" s="953"/>
      <c r="I25" s="953"/>
      <c r="J25" s="953"/>
      <c r="K25" s="953"/>
      <c r="L25" s="954"/>
      <c r="M25" s="955"/>
      <c r="N25" s="390"/>
      <c r="O25" s="343"/>
    </row>
    <row r="26" spans="1:15" ht="15" customHeight="1" x14ac:dyDescent="0.25">
      <c r="A26" s="31">
        <f>IF(D25 = "",A25+C25,A25+D25)</f>
        <v>44732.35069444446</v>
      </c>
      <c r="B26" s="421">
        <f>IF(D25 = "",B25+C25,B25+D25)</f>
        <v>44732.35069444446</v>
      </c>
      <c r="C26" s="398">
        <v>6.25E-2</v>
      </c>
      <c r="D26" s="420" t="str">
        <f t="shared" si="0"/>
        <v/>
      </c>
      <c r="E26" s="421">
        <f t="shared" si="4"/>
        <v>44732.41319444446</v>
      </c>
      <c r="F26" s="422" t="s">
        <v>648</v>
      </c>
      <c r="G26" s="275"/>
      <c r="H26" s="343"/>
      <c r="I26" s="343"/>
      <c r="J26" s="343"/>
      <c r="K26" s="343"/>
      <c r="L26" s="388"/>
      <c r="M26" s="378"/>
      <c r="N26" s="390" t="s">
        <v>2647</v>
      </c>
      <c r="O26" s="343">
        <f>SUM(I23:I30)</f>
        <v>0</v>
      </c>
    </row>
    <row r="27" spans="1:15" ht="15" customHeight="1" x14ac:dyDescent="0.25">
      <c r="A27" s="31">
        <f t="shared" si="2"/>
        <v>44732.41319444446</v>
      </c>
      <c r="B27" s="421">
        <f t="shared" si="3"/>
        <v>44732.41319444446</v>
      </c>
      <c r="C27" s="398">
        <v>8.3333333333333329E-2</v>
      </c>
      <c r="D27" s="420"/>
      <c r="E27" s="421">
        <f t="shared" si="4"/>
        <v>44732.496527777796</v>
      </c>
      <c r="F27" s="945" t="s">
        <v>2690</v>
      </c>
      <c r="G27" s="275"/>
      <c r="H27" s="343"/>
      <c r="I27" s="343"/>
      <c r="J27" s="343"/>
      <c r="K27" s="343"/>
      <c r="L27" s="388"/>
      <c r="M27" s="378"/>
      <c r="N27" s="390"/>
      <c r="O27" s="343"/>
    </row>
    <row r="28" spans="1:15" ht="15" customHeight="1" x14ac:dyDescent="0.25">
      <c r="A28" s="31">
        <f>IF(D27 = "",A27+C27,A27+D27)</f>
        <v>44732.496527777796</v>
      </c>
      <c r="B28" s="421">
        <f>IF(D27 = "",B27+C27,B27+D27)</f>
        <v>44732.496527777796</v>
      </c>
      <c r="C28" s="398">
        <v>1.3888888888888888E-2</v>
      </c>
      <c r="D28" s="420"/>
      <c r="E28" s="421">
        <f t="shared" si="4"/>
        <v>44732.510416666686</v>
      </c>
      <c r="F28" s="288" t="s">
        <v>2463</v>
      </c>
      <c r="G28" s="275"/>
      <c r="H28" s="343"/>
      <c r="I28" s="343"/>
      <c r="J28" s="343"/>
      <c r="K28" s="343"/>
      <c r="L28" s="388"/>
      <c r="M28" s="378"/>
      <c r="N28" s="390"/>
      <c r="O28" s="343"/>
    </row>
    <row r="29" spans="1:15" ht="15" customHeight="1" x14ac:dyDescent="0.25">
      <c r="A29" s="31">
        <f t="shared" si="2"/>
        <v>44732.510416666686</v>
      </c>
      <c r="B29" s="421">
        <f t="shared" si="3"/>
        <v>44732.510416666686</v>
      </c>
      <c r="C29" s="398">
        <v>0</v>
      </c>
      <c r="D29" s="420"/>
      <c r="E29" s="421" t="s">
        <v>99</v>
      </c>
      <c r="F29" s="427" t="s">
        <v>2676</v>
      </c>
      <c r="G29" s="275"/>
      <c r="H29" s="343"/>
      <c r="I29" s="343"/>
      <c r="J29" s="343"/>
      <c r="K29" s="343"/>
      <c r="L29" s="388"/>
      <c r="M29" s="378"/>
      <c r="N29" s="390" t="s">
        <v>682</v>
      </c>
      <c r="O29" s="343">
        <f>SUM(L23:L30)</f>
        <v>816.77665404040408</v>
      </c>
    </row>
    <row r="30" spans="1:15" ht="15" customHeight="1" x14ac:dyDescent="0.25">
      <c r="A30" s="31">
        <f t="shared" si="2"/>
        <v>44732.510416666686</v>
      </c>
      <c r="B30" s="421">
        <f>IF(D29 = "",B29+C29,B29+D29)</f>
        <v>44732.510416666686</v>
      </c>
      <c r="C30" s="398">
        <v>0.10416666666666667</v>
      </c>
      <c r="D30" s="420" t="str">
        <f t="shared" ref="D30" si="5">IF(_xlfn.ISFORMULA(E30)=TRUE,"",E30-B30)</f>
        <v/>
      </c>
      <c r="E30" s="421">
        <f t="shared" si="4"/>
        <v>44732.61458333335</v>
      </c>
      <c r="F30" s="422" t="s">
        <v>647</v>
      </c>
      <c r="G30" s="275"/>
      <c r="H30" s="343"/>
      <c r="I30" s="343"/>
      <c r="J30" s="343"/>
      <c r="K30" s="343"/>
      <c r="L30" s="388"/>
      <c r="M30" s="378"/>
    </row>
    <row r="31" spans="1:15" ht="15" customHeight="1" x14ac:dyDescent="0.25">
      <c r="A31" s="31">
        <f t="shared" si="2"/>
        <v>44732.61458333335</v>
      </c>
      <c r="B31" s="421">
        <f>IF(D30 = "",B30+C30,B30+D30)</f>
        <v>44732.61458333335</v>
      </c>
      <c r="C31" s="398">
        <v>1.3888888888888888E-2</v>
      </c>
      <c r="D31" s="420" t="str">
        <f>IF(_xlfn.ISFORMULA(E31)=TRUE,"",E31-B31)</f>
        <v/>
      </c>
      <c r="E31" s="421">
        <f t="shared" si="4"/>
        <v>44732.628472222241</v>
      </c>
      <c r="F31" s="429" t="s">
        <v>2677</v>
      </c>
      <c r="G31" s="275"/>
      <c r="H31" s="379">
        <v>126.26</v>
      </c>
      <c r="I31" s="380"/>
      <c r="J31" s="343"/>
      <c r="K31" s="343"/>
      <c r="L31" s="388">
        <f>SUM(H31:I31,K31)</f>
        <v>126.26</v>
      </c>
      <c r="M31" s="378"/>
      <c r="N31" s="390" t="s">
        <v>2651</v>
      </c>
      <c r="O31" s="343">
        <f>SUM(H31:H45)</f>
        <v>1612.4210131313132</v>
      </c>
    </row>
    <row r="32" spans="1:15" s="267" customFormat="1" ht="15" customHeight="1" x14ac:dyDescent="0.25">
      <c r="A32" s="280" t="s">
        <v>664</v>
      </c>
      <c r="B32" s="280"/>
      <c r="C32" s="280"/>
      <c r="D32" s="280"/>
      <c r="E32" s="280"/>
      <c r="F32" s="280"/>
      <c r="G32" s="280"/>
      <c r="H32" s="381"/>
      <c r="I32" s="381"/>
      <c r="J32" s="381"/>
      <c r="K32" s="381"/>
      <c r="L32" s="391"/>
      <c r="M32" s="391"/>
    </row>
    <row r="33" spans="1:15" ht="15" customHeight="1" x14ac:dyDescent="0.25">
      <c r="A33" s="31">
        <f>IF(D31 = "",A31+C31,A31+D31)</f>
        <v>44732.628472222241</v>
      </c>
      <c r="B33" s="421">
        <f>IF(D31 = "",B31+C31,B31+D31)</f>
        <v>44732.628472222241</v>
      </c>
      <c r="C33" s="398">
        <v>0</v>
      </c>
      <c r="D33" s="420"/>
      <c r="E33" s="421">
        <f>B33+C33</f>
        <v>44732.628472222241</v>
      </c>
      <c r="F33" s="429" t="s">
        <v>2677</v>
      </c>
      <c r="G33" s="275"/>
      <c r="H33" s="343"/>
      <c r="I33" s="343"/>
      <c r="J33" s="343"/>
      <c r="K33" s="343"/>
      <c r="L33" s="388"/>
      <c r="M33" s="378"/>
    </row>
    <row r="34" spans="1:15" ht="15" customHeight="1" x14ac:dyDescent="0.25">
      <c r="A34" s="31">
        <f>IF(D33 = "",A33+C33,A33+D33)</f>
        <v>44732.628472222241</v>
      </c>
      <c r="B34" s="421">
        <f>IF(D33 = "",B33+C33,B33+D33)</f>
        <v>44732.628472222241</v>
      </c>
      <c r="C34" s="398">
        <v>7.6388888888888895E-2</v>
      </c>
      <c r="D34" s="420" t="str">
        <f t="shared" ref="D34:D46" si="6">IF(_xlfn.ISFORMULA(E34)=TRUE,"",E34-B34)</f>
        <v/>
      </c>
      <c r="E34" s="421">
        <f t="shared" ref="E34:E51" si="7">B34+C34</f>
        <v>44732.704861111131</v>
      </c>
      <c r="F34" s="288" t="s">
        <v>2453</v>
      </c>
      <c r="G34" s="275"/>
      <c r="H34" s="343"/>
      <c r="I34" s="343">
        <v>149.55654101995566</v>
      </c>
      <c r="J34" s="343"/>
      <c r="K34" s="343"/>
      <c r="L34" s="388">
        <f>SUM(H34:I34,K34)</f>
        <v>149.55654101995566</v>
      </c>
      <c r="M34" s="378"/>
    </row>
    <row r="35" spans="1:15" ht="15" customHeight="1" x14ac:dyDescent="0.25">
      <c r="A35" s="31">
        <f t="shared" ref="A35:A54" si="8">IF(D34 = "",A34+C34,A34+D34)</f>
        <v>44732.704861111131</v>
      </c>
      <c r="B35" s="421">
        <f t="shared" ref="B35:B54" si="9">IF(D34 = "",B34+C34,B34+D34)</f>
        <v>44732.704861111131</v>
      </c>
      <c r="C35" s="423">
        <v>2.7777777777777776E-2</v>
      </c>
      <c r="D35" s="420" t="str">
        <f t="shared" si="6"/>
        <v/>
      </c>
      <c r="E35" s="421">
        <f t="shared" si="7"/>
        <v>44732.732638888912</v>
      </c>
      <c r="F35" s="288" t="s">
        <v>2679</v>
      </c>
      <c r="G35" s="275"/>
      <c r="H35" s="343"/>
      <c r="I35" s="343"/>
      <c r="J35" s="343">
        <v>30.886520000000001</v>
      </c>
      <c r="K35" s="343"/>
      <c r="L35" s="388"/>
      <c r="M35" s="378">
        <f>J35</f>
        <v>30.886520000000001</v>
      </c>
    </row>
    <row r="36" spans="1:15" ht="15" customHeight="1" x14ac:dyDescent="0.25">
      <c r="A36" s="31">
        <f t="shared" si="8"/>
        <v>44732.732638888912</v>
      </c>
      <c r="B36" s="421">
        <f t="shared" si="9"/>
        <v>44732.732638888912</v>
      </c>
      <c r="C36" s="423">
        <v>2.7777777777777776E-2</v>
      </c>
      <c r="D36" s="420" t="str">
        <f t="shared" si="6"/>
        <v/>
      </c>
      <c r="E36" s="421">
        <f t="shared" si="7"/>
        <v>44732.760416666693</v>
      </c>
      <c r="F36" s="288" t="s">
        <v>2680</v>
      </c>
      <c r="G36" s="275"/>
      <c r="H36" s="343"/>
      <c r="I36" s="343"/>
      <c r="J36" s="343"/>
      <c r="K36" s="343">
        <v>33.241492346938777</v>
      </c>
      <c r="L36" s="388">
        <f t="shared" ref="L36:L45" si="10">SUM(H36:I36,K36)</f>
        <v>33.241492346938777</v>
      </c>
      <c r="M36" s="378"/>
    </row>
    <row r="37" spans="1:15" ht="15" customHeight="1" x14ac:dyDescent="0.25">
      <c r="A37" s="31">
        <f t="shared" si="8"/>
        <v>44732.760416666693</v>
      </c>
      <c r="B37" s="421">
        <f t="shared" si="9"/>
        <v>44732.760416666693</v>
      </c>
      <c r="C37" s="423">
        <v>5.5555555555555552E-2</v>
      </c>
      <c r="D37" s="420" t="str">
        <f t="shared" si="6"/>
        <v/>
      </c>
      <c r="E37" s="421">
        <f t="shared" si="7"/>
        <v>44732.815972222248</v>
      </c>
      <c r="F37" s="288" t="s">
        <v>2681</v>
      </c>
      <c r="G37" s="275"/>
      <c r="H37" s="343"/>
      <c r="I37" s="343">
        <v>31.659944567627491</v>
      </c>
      <c r="J37" s="343"/>
      <c r="K37" s="343"/>
      <c r="L37" s="388">
        <f t="shared" si="10"/>
        <v>31.659944567627491</v>
      </c>
      <c r="M37" s="378"/>
    </row>
    <row r="38" spans="1:15" ht="15" hidden="1" customHeight="1" x14ac:dyDescent="0.25">
      <c r="A38" s="563">
        <f t="shared" si="8"/>
        <v>44732.815972222248</v>
      </c>
      <c r="B38" s="607">
        <f t="shared" si="9"/>
        <v>44732.815972222248</v>
      </c>
      <c r="C38" s="608">
        <v>0</v>
      </c>
      <c r="D38" s="609"/>
      <c r="E38" s="607">
        <f t="shared" si="7"/>
        <v>44732.815972222248</v>
      </c>
      <c r="F38" s="610" t="s">
        <v>693</v>
      </c>
      <c r="G38" s="611"/>
      <c r="H38" s="612"/>
      <c r="I38" s="612"/>
      <c r="J38" s="612"/>
      <c r="K38" s="612"/>
      <c r="L38" s="613"/>
      <c r="M38" s="614"/>
    </row>
    <row r="39" spans="1:15" ht="15" customHeight="1" x14ac:dyDescent="0.25">
      <c r="A39" s="31">
        <f t="shared" si="8"/>
        <v>44732.815972222248</v>
      </c>
      <c r="B39" s="421">
        <f t="shared" si="9"/>
        <v>44732.815972222248</v>
      </c>
      <c r="C39" s="398">
        <v>1.3888888888888888E-2</v>
      </c>
      <c r="D39" s="420" t="str">
        <f t="shared" si="6"/>
        <v/>
      </c>
      <c r="E39" s="421">
        <f t="shared" si="7"/>
        <v>44732.829861111139</v>
      </c>
      <c r="F39" s="288" t="s">
        <v>2467</v>
      </c>
      <c r="G39" s="275"/>
      <c r="H39" s="343"/>
      <c r="I39" s="343">
        <v>126.3050997782705</v>
      </c>
      <c r="J39" s="343"/>
      <c r="K39" s="343"/>
      <c r="L39" s="388">
        <f t="shared" si="10"/>
        <v>126.3050997782705</v>
      </c>
      <c r="M39" s="378"/>
    </row>
    <row r="40" spans="1:15" ht="15" customHeight="1" x14ac:dyDescent="0.25">
      <c r="A40" s="31">
        <f t="shared" si="8"/>
        <v>44732.829861111139</v>
      </c>
      <c r="B40" s="421">
        <f t="shared" si="9"/>
        <v>44732.829861111139</v>
      </c>
      <c r="C40" s="423">
        <v>2.0833333333333332E-2</v>
      </c>
      <c r="D40" s="420" t="str">
        <f t="shared" si="6"/>
        <v/>
      </c>
      <c r="E40" s="421">
        <f t="shared" si="7"/>
        <v>44732.850694444474</v>
      </c>
      <c r="F40" s="288" t="s">
        <v>619</v>
      </c>
      <c r="G40" s="275"/>
      <c r="H40" s="343">
        <v>46.870950000000001</v>
      </c>
      <c r="I40" s="343"/>
      <c r="J40" s="343"/>
      <c r="K40" s="343"/>
      <c r="L40" s="388">
        <f t="shared" si="10"/>
        <v>46.870950000000001</v>
      </c>
      <c r="M40" s="378"/>
    </row>
    <row r="41" spans="1:15" ht="15" customHeight="1" x14ac:dyDescent="0.25">
      <c r="A41" s="31">
        <f t="shared" si="8"/>
        <v>44732.850694444474</v>
      </c>
      <c r="B41" s="421">
        <f t="shared" si="9"/>
        <v>44732.850694444474</v>
      </c>
      <c r="C41" s="423">
        <v>2.7777777777777776E-2</v>
      </c>
      <c r="D41" s="420" t="str">
        <f t="shared" si="6"/>
        <v/>
      </c>
      <c r="E41" s="421">
        <f t="shared" si="7"/>
        <v>44732.878472222255</v>
      </c>
      <c r="F41" s="288" t="s">
        <v>2489</v>
      </c>
      <c r="G41" s="275"/>
      <c r="H41" s="343">
        <v>539.29006313131322</v>
      </c>
      <c r="I41" s="343"/>
      <c r="J41" s="343"/>
      <c r="K41" s="343"/>
      <c r="L41" s="388">
        <f t="shared" si="10"/>
        <v>539.29006313131322</v>
      </c>
      <c r="M41" s="378"/>
    </row>
    <row r="42" spans="1:15" ht="15" hidden="1" customHeight="1" x14ac:dyDescent="0.25">
      <c r="A42" s="604">
        <f t="shared" si="8"/>
        <v>44732.878472222255</v>
      </c>
      <c r="B42" s="650">
        <f t="shared" si="9"/>
        <v>44732.878472222255</v>
      </c>
      <c r="C42" s="608">
        <v>0</v>
      </c>
      <c r="D42" s="609"/>
      <c r="E42" s="650">
        <f t="shared" si="7"/>
        <v>44732.878472222255</v>
      </c>
      <c r="F42" s="610" t="s">
        <v>693</v>
      </c>
      <c r="G42" s="611"/>
      <c r="H42" s="612"/>
      <c r="I42" s="612"/>
      <c r="J42" s="612"/>
      <c r="K42" s="612"/>
      <c r="L42" s="613"/>
      <c r="M42" s="614"/>
    </row>
    <row r="43" spans="1:15" ht="15" customHeight="1" x14ac:dyDescent="0.25">
      <c r="A43" s="31">
        <f t="shared" si="8"/>
        <v>44732.878472222255</v>
      </c>
      <c r="B43" s="421">
        <f t="shared" si="9"/>
        <v>44732.878472222255</v>
      </c>
      <c r="C43" s="423">
        <v>0.29166666666666669</v>
      </c>
      <c r="D43" s="420" t="str">
        <f t="shared" si="6"/>
        <v/>
      </c>
      <c r="E43" s="421">
        <f t="shared" si="7"/>
        <v>44733.17013888892</v>
      </c>
      <c r="F43" s="288" t="s">
        <v>2456</v>
      </c>
      <c r="G43" s="275"/>
      <c r="H43" s="343">
        <v>450</v>
      </c>
      <c r="I43" s="343"/>
      <c r="J43" s="343"/>
      <c r="K43" s="343"/>
      <c r="L43" s="388">
        <f t="shared" si="10"/>
        <v>450</v>
      </c>
      <c r="M43" s="378"/>
    </row>
    <row r="44" spans="1:15" ht="15" hidden="1" customHeight="1" x14ac:dyDescent="0.25">
      <c r="A44" s="604">
        <f t="shared" si="8"/>
        <v>44733.17013888892</v>
      </c>
      <c r="B44" s="421">
        <f t="shared" si="9"/>
        <v>44733.17013888892</v>
      </c>
      <c r="C44" s="608">
        <v>0</v>
      </c>
      <c r="D44" s="609"/>
      <c r="E44" s="421">
        <f t="shared" si="7"/>
        <v>44733.17013888892</v>
      </c>
      <c r="F44" s="610" t="s">
        <v>693</v>
      </c>
      <c r="G44" s="611"/>
      <c r="H44" s="343"/>
      <c r="I44" s="343"/>
      <c r="J44" s="343"/>
      <c r="K44" s="343"/>
      <c r="L44" s="388"/>
      <c r="M44" s="378"/>
    </row>
    <row r="45" spans="1:15" ht="15" customHeight="1" x14ac:dyDescent="0.25">
      <c r="A45" s="31">
        <f t="shared" si="8"/>
        <v>44733.17013888892</v>
      </c>
      <c r="B45" s="421">
        <f t="shared" si="9"/>
        <v>44733.17013888892</v>
      </c>
      <c r="C45" s="398">
        <v>0.29166666666666669</v>
      </c>
      <c r="D45" s="420" t="str">
        <f t="shared" si="6"/>
        <v/>
      </c>
      <c r="E45" s="421">
        <f t="shared" si="7"/>
        <v>44733.461805555584</v>
      </c>
      <c r="F45" s="288" t="s">
        <v>2459</v>
      </c>
      <c r="G45" s="275"/>
      <c r="H45" s="382">
        <v>450</v>
      </c>
      <c r="I45" s="343"/>
      <c r="J45" s="343"/>
      <c r="K45" s="343"/>
      <c r="L45" s="388">
        <f t="shared" si="10"/>
        <v>450</v>
      </c>
      <c r="M45" s="378"/>
    </row>
    <row r="46" spans="1:15" ht="15" customHeight="1" x14ac:dyDescent="0.25">
      <c r="A46" s="31">
        <f t="shared" si="8"/>
        <v>44733.461805555584</v>
      </c>
      <c r="B46" s="421">
        <f t="shared" si="9"/>
        <v>44733.461805555584</v>
      </c>
      <c r="C46" s="398">
        <v>9.375E-2</v>
      </c>
      <c r="D46" s="420" t="str">
        <f t="shared" si="6"/>
        <v/>
      </c>
      <c r="E46" s="421">
        <f t="shared" si="7"/>
        <v>44733.555555555584</v>
      </c>
      <c r="F46" s="288" t="s">
        <v>2691</v>
      </c>
      <c r="G46" s="275"/>
      <c r="H46" s="382"/>
      <c r="I46" s="343"/>
      <c r="J46" s="343"/>
      <c r="K46" s="343"/>
      <c r="L46" s="388"/>
      <c r="M46" s="378"/>
      <c r="N46" s="1067" t="s">
        <v>630</v>
      </c>
      <c r="O46" s="1067"/>
    </row>
    <row r="47" spans="1:15" ht="15" customHeight="1" x14ac:dyDescent="0.25">
      <c r="A47" s="31">
        <f>IF(D46 = "",A46+C46,A46+D46)</f>
        <v>44733.555555555584</v>
      </c>
      <c r="B47" s="421">
        <f t="shared" si="9"/>
        <v>44733.555555555584</v>
      </c>
      <c r="C47" s="398">
        <v>7.6388888888888895E-2</v>
      </c>
      <c r="D47" s="420" t="str">
        <f>IF(_xlfn.ISFORMULA(E47)=TRUE,"",E47-B47)</f>
        <v/>
      </c>
      <c r="E47" s="421">
        <f t="shared" si="7"/>
        <v>44733.631944444474</v>
      </c>
      <c r="F47" s="288" t="s">
        <v>642</v>
      </c>
      <c r="G47" s="275"/>
      <c r="H47" s="343">
        <v>783.30669191919196</v>
      </c>
      <c r="I47" s="343"/>
      <c r="J47" s="343"/>
      <c r="K47" s="343"/>
      <c r="L47" s="388">
        <f>SUM(H47:I47,K47)</f>
        <v>783.30669191919196</v>
      </c>
      <c r="M47" s="378"/>
      <c r="N47" s="390" t="s">
        <v>2651</v>
      </c>
      <c r="O47" s="343">
        <f>SUM(H46:H53)</f>
        <v>832.03661616161617</v>
      </c>
    </row>
    <row r="48" spans="1:15" ht="15" customHeight="1" x14ac:dyDescent="0.25">
      <c r="A48" s="31">
        <f t="shared" si="8"/>
        <v>44733.631944444474</v>
      </c>
      <c r="B48" s="421">
        <f t="shared" si="9"/>
        <v>44733.631944444474</v>
      </c>
      <c r="C48" s="398">
        <v>0.10416666666666667</v>
      </c>
      <c r="D48" s="420" t="str">
        <f>IF(_xlfn.ISFORMULA(E48)=TRUE,"",E48-B48)</f>
        <v/>
      </c>
      <c r="E48" s="421">
        <f t="shared" si="7"/>
        <v>44733.736111111139</v>
      </c>
      <c r="F48" s="288" t="s">
        <v>647</v>
      </c>
      <c r="G48" s="275"/>
      <c r="H48" s="343"/>
      <c r="I48" s="343"/>
      <c r="J48" s="343"/>
      <c r="K48" s="343"/>
      <c r="L48" s="388"/>
      <c r="M48" s="378"/>
      <c r="N48" s="390" t="s">
        <v>2682</v>
      </c>
      <c r="O48" s="343">
        <f>SUM(I46:I53)</f>
        <v>0</v>
      </c>
    </row>
    <row r="49" spans="1:15" ht="15" customHeight="1" x14ac:dyDescent="0.25">
      <c r="A49" s="31">
        <f t="shared" si="8"/>
        <v>44733.736111111139</v>
      </c>
      <c r="B49" s="421">
        <f t="shared" si="9"/>
        <v>44733.736111111139</v>
      </c>
      <c r="C49" s="398">
        <v>6.25E-2</v>
      </c>
      <c r="D49" s="420"/>
      <c r="E49" s="421">
        <f t="shared" si="7"/>
        <v>44733.798611111139</v>
      </c>
      <c r="F49" s="288" t="s">
        <v>648</v>
      </c>
      <c r="G49" s="275"/>
      <c r="H49" s="343"/>
      <c r="I49" s="343"/>
      <c r="J49" s="343"/>
      <c r="K49" s="343"/>
      <c r="L49" s="388"/>
      <c r="M49" s="378"/>
      <c r="N49" s="390" t="s">
        <v>682</v>
      </c>
      <c r="O49" s="343">
        <f>SUM(L46:L53)</f>
        <v>832.03661616161617</v>
      </c>
    </row>
    <row r="50" spans="1:15" ht="15" customHeight="1" x14ac:dyDescent="0.25">
      <c r="A50" s="31">
        <f t="shared" si="8"/>
        <v>44733.798611111139</v>
      </c>
      <c r="B50" s="421">
        <f t="shared" si="9"/>
        <v>44733.798611111139</v>
      </c>
      <c r="C50" s="398">
        <v>8.3333333333333329E-2</v>
      </c>
      <c r="D50" s="420"/>
      <c r="E50" s="421">
        <f t="shared" si="7"/>
        <v>44733.881944444474</v>
      </c>
      <c r="F50" s="946" t="s">
        <v>2690</v>
      </c>
      <c r="G50" s="275"/>
      <c r="H50" s="343"/>
      <c r="I50" s="343"/>
      <c r="J50" s="343"/>
      <c r="K50" s="343"/>
      <c r="L50" s="388"/>
      <c r="M50" s="378"/>
      <c r="N50" s="943"/>
      <c r="O50" s="944"/>
    </row>
    <row r="51" spans="1:15" ht="15" customHeight="1" x14ac:dyDescent="0.25">
      <c r="A51" s="31">
        <f>IF(D49 = "",A49+C49,A49+D49)</f>
        <v>44733.798611111139</v>
      </c>
      <c r="B51" s="421">
        <f>IF(D49 = "",B49+C49,B49+D49)</f>
        <v>44733.798611111139</v>
      </c>
      <c r="C51" s="398">
        <v>3.4722222222222224E-2</v>
      </c>
      <c r="D51" s="420" t="str">
        <f>IF(_xlfn.ISFORMULA(E51)=TRUE,"",E51-B51)</f>
        <v/>
      </c>
      <c r="E51" s="421">
        <f t="shared" si="7"/>
        <v>44733.833333333358</v>
      </c>
      <c r="F51" s="288" t="s">
        <v>2463</v>
      </c>
      <c r="G51" s="275"/>
      <c r="H51" s="343">
        <v>48.729924242424239</v>
      </c>
      <c r="I51" s="343"/>
      <c r="J51" s="343"/>
      <c r="K51" s="343"/>
      <c r="L51" s="343">
        <v>48.729924242424239</v>
      </c>
      <c r="M51" s="378"/>
      <c r="N51" s="441"/>
      <c r="O51" s="442"/>
    </row>
    <row r="52" spans="1:15" ht="15" customHeight="1" x14ac:dyDescent="0.25">
      <c r="A52" s="31">
        <f t="shared" si="8"/>
        <v>44733.833333333358</v>
      </c>
      <c r="B52" s="421">
        <f t="shared" si="9"/>
        <v>44733.833333333358</v>
      </c>
      <c r="C52" s="398">
        <v>0</v>
      </c>
      <c r="D52" s="420"/>
      <c r="E52" s="421" t="s">
        <v>99</v>
      </c>
      <c r="F52" s="334" t="s">
        <v>2683</v>
      </c>
      <c r="G52" s="275"/>
      <c r="H52" s="343"/>
      <c r="I52" s="343"/>
      <c r="J52" s="343"/>
      <c r="K52" s="343"/>
      <c r="L52" s="343"/>
      <c r="M52" s="378"/>
    </row>
    <row r="53" spans="1:15" ht="15" customHeight="1" x14ac:dyDescent="0.25">
      <c r="A53" s="31">
        <f t="shared" si="8"/>
        <v>44733.833333333358</v>
      </c>
      <c r="B53" s="421">
        <f t="shared" si="9"/>
        <v>44733.833333333358</v>
      </c>
      <c r="C53" s="398">
        <v>0.10416666666666667</v>
      </c>
      <c r="D53" s="420"/>
      <c r="E53" s="421">
        <f t="shared" si="4"/>
        <v>44733.937500000022</v>
      </c>
      <c r="F53" s="288" t="s">
        <v>647</v>
      </c>
      <c r="G53" s="275"/>
      <c r="H53" s="343"/>
      <c r="I53" s="343"/>
      <c r="J53" s="343"/>
      <c r="K53" s="343"/>
      <c r="L53" s="388"/>
      <c r="M53" s="378"/>
    </row>
    <row r="54" spans="1:15" ht="15" customHeight="1" x14ac:dyDescent="0.25">
      <c r="A54" s="31">
        <f t="shared" si="8"/>
        <v>44733.937500000022</v>
      </c>
      <c r="B54" s="421">
        <f t="shared" si="9"/>
        <v>44733.937500000022</v>
      </c>
      <c r="C54" s="423">
        <v>1.3888888888888888E-2</v>
      </c>
      <c r="D54" s="420" t="str">
        <f t="shared" ref="D54" si="11">IF(_xlfn.ISFORMULA(E54)=TRUE,"",E54-B54)</f>
        <v/>
      </c>
      <c r="E54" s="421">
        <f t="shared" si="4"/>
        <v>44733.951388888912</v>
      </c>
      <c r="F54" s="288" t="s">
        <v>2472</v>
      </c>
      <c r="G54" s="275"/>
      <c r="H54" s="343">
        <v>133.60631313131313</v>
      </c>
      <c r="I54" s="343"/>
      <c r="J54" s="343"/>
      <c r="K54" s="343"/>
      <c r="L54" s="388">
        <f>SUM(H54:I54,K54)</f>
        <v>133.60631313131313</v>
      </c>
      <c r="M54" s="378"/>
    </row>
    <row r="55" spans="1:15" ht="15" customHeight="1" x14ac:dyDescent="0.25">
      <c r="A55" s="1070" t="s">
        <v>640</v>
      </c>
      <c r="B55" s="1070"/>
      <c r="C55" s="1070"/>
      <c r="D55" s="1070"/>
      <c r="E55" s="1070"/>
      <c r="F55" s="1070"/>
      <c r="G55" s="1071"/>
      <c r="H55" s="383"/>
      <c r="I55" s="383"/>
      <c r="J55" s="383"/>
      <c r="K55" s="383"/>
      <c r="L55" s="389"/>
      <c r="M55" s="383"/>
    </row>
    <row r="56" spans="1:15" ht="15" customHeight="1" x14ac:dyDescent="0.25">
      <c r="A56" s="31">
        <f>IF(D54 = "",A54+C54,A54+D54)</f>
        <v>44733.951388888912</v>
      </c>
      <c r="B56" s="421">
        <f>IF(D54 = "",B54+C54,B54+D54)</f>
        <v>44733.951388888912</v>
      </c>
      <c r="C56" s="431">
        <v>0</v>
      </c>
      <c r="D56" s="420"/>
      <c r="E56" s="421">
        <f>B56+C56</f>
        <v>44733.951388888912</v>
      </c>
      <c r="F56" s="288" t="s">
        <v>2472</v>
      </c>
      <c r="G56" s="275"/>
      <c r="H56" s="343"/>
      <c r="I56" s="343"/>
      <c r="J56" s="343"/>
      <c r="K56" s="343"/>
      <c r="L56" s="388"/>
      <c r="M56" s="378"/>
    </row>
    <row r="57" spans="1:15" ht="15" customHeight="1" x14ac:dyDescent="0.25">
      <c r="A57" s="31">
        <f>IF(D56 = "",A56+C56,A56+D56)</f>
        <v>44733.951388888912</v>
      </c>
      <c r="B57" s="421">
        <f t="shared" ref="B57:B71" si="12">IF(D56 = "",B56+C56,B56+D56)</f>
        <v>44733.951388888912</v>
      </c>
      <c r="C57" s="431">
        <v>6.25E-2</v>
      </c>
      <c r="D57" s="420" t="str">
        <f>IF(_xlfn.ISFORMULA(E57)=TRUE,"",E57-B57)</f>
        <v/>
      </c>
      <c r="E57" s="421">
        <f t="shared" ref="E57:E69" si="13">B57+C57</f>
        <v>44734.013888888912</v>
      </c>
      <c r="F57" s="260" t="s">
        <v>2685</v>
      </c>
      <c r="G57" s="275"/>
      <c r="H57" s="343">
        <v>1284.3779299999999</v>
      </c>
      <c r="I57" s="343"/>
      <c r="J57" s="343"/>
      <c r="K57" s="343"/>
      <c r="L57" s="388">
        <f>SUM(H57:I57,K57)</f>
        <v>1284.3779299999999</v>
      </c>
      <c r="M57" s="378"/>
    </row>
    <row r="58" spans="1:15" ht="15" customHeight="1" x14ac:dyDescent="0.25">
      <c r="A58" s="31">
        <f t="shared" ref="A58:A72" si="14">IF(D57 = "",A57+C57,A57+D57)</f>
        <v>44734.013888888912</v>
      </c>
      <c r="B58" s="421">
        <f t="shared" si="12"/>
        <v>44734.013888888912</v>
      </c>
      <c r="C58" s="432">
        <v>0.14583333333333334</v>
      </c>
      <c r="D58" s="420" t="str">
        <f t="shared" ref="D58:D71" si="15">IF(_xlfn.ISFORMULA(E58)=TRUE,"",E58-B58)</f>
        <v/>
      </c>
      <c r="E58" s="421">
        <f t="shared" si="13"/>
        <v>44734.159722222248</v>
      </c>
      <c r="F58" s="260" t="s">
        <v>2475</v>
      </c>
      <c r="G58" s="275"/>
      <c r="H58" s="343">
        <v>205.92000000000002</v>
      </c>
      <c r="I58" s="343"/>
      <c r="J58" s="343"/>
      <c r="K58" s="343"/>
      <c r="L58" s="388">
        <f>SUM(H58:I58,K58)</f>
        <v>205.92000000000002</v>
      </c>
      <c r="M58" s="378"/>
    </row>
    <row r="59" spans="1:15" ht="15" hidden="1" customHeight="1" x14ac:dyDescent="0.25">
      <c r="A59" s="31">
        <f t="shared" si="14"/>
        <v>44734.159722222248</v>
      </c>
      <c r="B59" s="650">
        <f t="shared" si="12"/>
        <v>44734.159722222248</v>
      </c>
      <c r="C59" s="713">
        <v>0</v>
      </c>
      <c r="D59" s="609"/>
      <c r="E59" s="650">
        <f t="shared" si="13"/>
        <v>44734.159722222248</v>
      </c>
      <c r="F59" s="714" t="s">
        <v>2686</v>
      </c>
      <c r="G59" s="611"/>
      <c r="H59" s="612"/>
      <c r="I59" s="612"/>
      <c r="J59" s="612"/>
      <c r="K59" s="612"/>
      <c r="L59" s="613"/>
      <c r="M59" s="614"/>
    </row>
    <row r="60" spans="1:15" ht="15" customHeight="1" x14ac:dyDescent="0.25">
      <c r="A60" s="31">
        <f t="shared" si="14"/>
        <v>44734.159722222248</v>
      </c>
      <c r="B60" s="421">
        <f t="shared" si="12"/>
        <v>44734.159722222248</v>
      </c>
      <c r="C60" s="432">
        <v>0.14583333333333334</v>
      </c>
      <c r="D60" s="420" t="str">
        <f t="shared" si="15"/>
        <v/>
      </c>
      <c r="E60" s="421">
        <f t="shared" si="13"/>
        <v>44734.305555555584</v>
      </c>
      <c r="F60" s="260" t="s">
        <v>2476</v>
      </c>
      <c r="G60" s="275"/>
      <c r="H60" s="343">
        <v>205.92000000000002</v>
      </c>
      <c r="I60" s="343"/>
      <c r="J60" s="343"/>
      <c r="K60" s="343"/>
      <c r="L60" s="388">
        <f>SUM(H60:I60,K60)</f>
        <v>205.92000000000002</v>
      </c>
      <c r="M60" s="378"/>
    </row>
    <row r="61" spans="1:15" ht="15" hidden="1" customHeight="1" x14ac:dyDescent="0.25">
      <c r="A61" s="31">
        <f t="shared" si="14"/>
        <v>44734.305555555584</v>
      </c>
      <c r="B61" s="650">
        <f t="shared" si="12"/>
        <v>44734.305555555584</v>
      </c>
      <c r="C61" s="713">
        <v>0</v>
      </c>
      <c r="D61" s="609"/>
      <c r="E61" s="650"/>
      <c r="F61" s="715" t="s">
        <v>693</v>
      </c>
      <c r="G61" s="723"/>
      <c r="H61" s="343"/>
      <c r="I61" s="343"/>
      <c r="J61" s="343"/>
      <c r="K61" s="343"/>
      <c r="L61" s="388"/>
      <c r="M61" s="378"/>
    </row>
    <row r="62" spans="1:15" ht="15" customHeight="1" x14ac:dyDescent="0.25">
      <c r="A62" s="31">
        <f t="shared" si="14"/>
        <v>44734.305555555584</v>
      </c>
      <c r="B62" s="421">
        <f t="shared" si="12"/>
        <v>44734.305555555584</v>
      </c>
      <c r="C62" s="432">
        <v>0.14583333333333334</v>
      </c>
      <c r="D62" s="420" t="str">
        <f t="shared" si="15"/>
        <v/>
      </c>
      <c r="E62" s="421">
        <f t="shared" si="13"/>
        <v>44734.45138888892</v>
      </c>
      <c r="F62" s="260" t="s">
        <v>2477</v>
      </c>
      <c r="G62" s="275"/>
      <c r="H62" s="343">
        <v>205.92000000000002</v>
      </c>
      <c r="I62" s="343"/>
      <c r="J62" s="343"/>
      <c r="K62" s="343"/>
      <c r="L62" s="388">
        <f>SUM(H62:I62,K62)</f>
        <v>205.92000000000002</v>
      </c>
      <c r="M62" s="378"/>
    </row>
    <row r="63" spans="1:15" ht="15" customHeight="1" x14ac:dyDescent="0.25">
      <c r="A63" s="31">
        <f t="shared" si="14"/>
        <v>44734.45138888892</v>
      </c>
      <c r="B63" s="421">
        <f t="shared" si="12"/>
        <v>44734.45138888892</v>
      </c>
      <c r="C63" s="432">
        <v>0.125</v>
      </c>
      <c r="D63" s="420" t="str">
        <f t="shared" si="15"/>
        <v/>
      </c>
      <c r="E63" s="421">
        <f t="shared" si="13"/>
        <v>44734.57638888892</v>
      </c>
      <c r="F63" s="260" t="s">
        <v>647</v>
      </c>
      <c r="G63" s="414"/>
      <c r="H63" s="343"/>
      <c r="I63" s="343"/>
      <c r="J63" s="343"/>
      <c r="K63" s="343"/>
      <c r="L63" s="378"/>
      <c r="M63" s="378"/>
    </row>
    <row r="64" spans="1:15" ht="15" customHeight="1" x14ac:dyDescent="0.25">
      <c r="A64" s="31">
        <f t="shared" si="14"/>
        <v>44734.57638888892</v>
      </c>
      <c r="B64" s="421">
        <f t="shared" si="12"/>
        <v>44734.57638888892</v>
      </c>
      <c r="C64" s="431">
        <v>0.18055555555555555</v>
      </c>
      <c r="D64" s="420" t="str">
        <f t="shared" si="15"/>
        <v/>
      </c>
      <c r="E64" s="421">
        <f t="shared" si="13"/>
        <v>44734.756944444474</v>
      </c>
      <c r="F64" s="260" t="s">
        <v>597</v>
      </c>
      <c r="G64" s="414"/>
      <c r="H64" s="343">
        <v>955.89929999999993</v>
      </c>
      <c r="I64" s="343"/>
      <c r="J64" s="343"/>
      <c r="K64" s="343"/>
      <c r="L64" s="378">
        <f>SUM(H64:I64,K64)</f>
        <v>955.89929999999993</v>
      </c>
      <c r="M64" s="378"/>
      <c r="N64" s="1066" t="s">
        <v>652</v>
      </c>
      <c r="O64" s="1067"/>
    </row>
    <row r="65" spans="1:15" ht="15" customHeight="1" x14ac:dyDescent="0.25">
      <c r="A65" s="31">
        <f t="shared" si="14"/>
        <v>44734.756944444474</v>
      </c>
      <c r="B65" s="421">
        <f t="shared" si="12"/>
        <v>44734.756944444474</v>
      </c>
      <c r="C65" s="431">
        <v>2.7777777777777776E-2</v>
      </c>
      <c r="D65" s="420" t="str">
        <f t="shared" si="15"/>
        <v/>
      </c>
      <c r="E65" s="421">
        <f t="shared" si="13"/>
        <v>44734.784722222255</v>
      </c>
      <c r="F65" s="260" t="s">
        <v>2461</v>
      </c>
      <c r="G65" s="414"/>
      <c r="H65" s="343"/>
      <c r="I65" s="343"/>
      <c r="J65" s="343"/>
      <c r="K65" s="343"/>
      <c r="L65" s="378"/>
      <c r="M65" s="378"/>
      <c r="N65" s="390" t="s">
        <v>2651</v>
      </c>
      <c r="O65" s="343">
        <f>SUM(H64:H70)</f>
        <v>985.14048999999989</v>
      </c>
    </row>
    <row r="66" spans="1:15" ht="15" customHeight="1" x14ac:dyDescent="0.25">
      <c r="A66" s="31">
        <f t="shared" si="14"/>
        <v>44734.784722222255</v>
      </c>
      <c r="B66" s="421">
        <f t="shared" si="12"/>
        <v>44734.784722222255</v>
      </c>
      <c r="C66" s="432">
        <v>8.3333333333333329E-2</v>
      </c>
      <c r="D66" s="420" t="str">
        <f t="shared" si="15"/>
        <v/>
      </c>
      <c r="E66" s="421">
        <f t="shared" si="13"/>
        <v>44734.868055555591</v>
      </c>
      <c r="F66" s="260" t="s">
        <v>647</v>
      </c>
      <c r="G66" s="414"/>
      <c r="H66" s="343">
        <v>29.24119</v>
      </c>
      <c r="I66" s="343"/>
      <c r="J66" s="343"/>
      <c r="K66" s="343"/>
      <c r="L66" s="378">
        <f>SUM(H66:I66,K66)</f>
        <v>29.24119</v>
      </c>
      <c r="M66" s="378"/>
      <c r="N66" s="390" t="s">
        <v>681</v>
      </c>
      <c r="O66" s="343">
        <f>SUM(J64:J70)</f>
        <v>0</v>
      </c>
    </row>
    <row r="67" spans="1:15" ht="15" customHeight="1" x14ac:dyDescent="0.25">
      <c r="A67" s="31">
        <f t="shared" si="14"/>
        <v>44734.868055555591</v>
      </c>
      <c r="B67" s="421">
        <f t="shared" si="12"/>
        <v>44734.868055555591</v>
      </c>
      <c r="C67" s="431">
        <v>0.10069444444444443</v>
      </c>
      <c r="D67" s="420" t="str">
        <f t="shared" si="15"/>
        <v/>
      </c>
      <c r="E67" s="421">
        <f t="shared" si="13"/>
        <v>44734.968750000036</v>
      </c>
      <c r="F67" s="260" t="s">
        <v>648</v>
      </c>
      <c r="G67" s="414"/>
      <c r="H67" s="343"/>
      <c r="I67" s="343"/>
      <c r="J67" s="343"/>
      <c r="K67" s="343"/>
      <c r="L67" s="378"/>
      <c r="M67" s="378"/>
      <c r="N67" s="390" t="s">
        <v>682</v>
      </c>
      <c r="O67" s="343">
        <f>SUM(L64:L70)</f>
        <v>985.14048999999989</v>
      </c>
    </row>
    <row r="68" spans="1:15" ht="15" customHeight="1" x14ac:dyDescent="0.25">
      <c r="A68" s="31">
        <f t="shared" si="14"/>
        <v>44734.968750000036</v>
      </c>
      <c r="B68" s="421">
        <f t="shared" si="12"/>
        <v>44734.968750000036</v>
      </c>
      <c r="C68" s="431">
        <v>8.3333333333333329E-2</v>
      </c>
      <c r="D68" s="420"/>
      <c r="E68" s="421">
        <f t="shared" si="13"/>
        <v>44735.052083333372</v>
      </c>
      <c r="F68" s="947" t="s">
        <v>2690</v>
      </c>
      <c r="G68" s="414"/>
      <c r="H68" s="343"/>
      <c r="I68" s="343"/>
      <c r="J68" s="343"/>
      <c r="K68" s="343"/>
      <c r="L68" s="378"/>
      <c r="M68" s="378"/>
      <c r="N68" s="943"/>
      <c r="O68" s="944"/>
    </row>
    <row r="69" spans="1:15" s="267" customFormat="1" ht="15" customHeight="1" x14ac:dyDescent="0.25">
      <c r="A69" s="31">
        <f t="shared" si="14"/>
        <v>44735.052083333372</v>
      </c>
      <c r="B69" s="421">
        <f t="shared" si="12"/>
        <v>44735.052083333372</v>
      </c>
      <c r="C69" s="431">
        <v>2.0833333333333332E-2</v>
      </c>
      <c r="D69" s="420" t="str">
        <f t="shared" si="15"/>
        <v/>
      </c>
      <c r="E69" s="421">
        <f t="shared" si="13"/>
        <v>44735.072916666708</v>
      </c>
      <c r="F69" s="260" t="s">
        <v>598</v>
      </c>
      <c r="G69" s="438"/>
      <c r="H69" s="343"/>
      <c r="I69" s="343"/>
      <c r="J69" s="343"/>
      <c r="K69" s="343"/>
      <c r="L69" s="378"/>
      <c r="M69" s="378"/>
    </row>
    <row r="70" spans="1:15" s="267" customFormat="1" ht="15" customHeight="1" x14ac:dyDescent="0.25">
      <c r="A70" s="31">
        <f t="shared" si="14"/>
        <v>44735.072916666708</v>
      </c>
      <c r="B70" s="421">
        <f t="shared" si="12"/>
        <v>44735.072916666708</v>
      </c>
      <c r="C70" s="437">
        <v>0</v>
      </c>
      <c r="D70" s="420"/>
      <c r="E70" s="421" t="s">
        <v>99</v>
      </c>
      <c r="F70" s="335" t="s">
        <v>2640</v>
      </c>
      <c r="G70" s="438"/>
      <c r="H70" s="343"/>
      <c r="I70" s="343"/>
      <c r="J70" s="343"/>
      <c r="K70" s="343"/>
      <c r="L70" s="378"/>
      <c r="M70" s="378"/>
    </row>
    <row r="71" spans="1:15" s="267" customFormat="1" ht="15" customHeight="1" x14ac:dyDescent="0.25">
      <c r="A71" s="31">
        <f t="shared" si="14"/>
        <v>44735.072916666708</v>
      </c>
      <c r="B71" s="421">
        <f t="shared" si="12"/>
        <v>44735.072916666708</v>
      </c>
      <c r="C71" s="437">
        <v>0.10416666666666667</v>
      </c>
      <c r="D71" s="420" t="str">
        <f t="shared" si="15"/>
        <v/>
      </c>
      <c r="E71" s="421">
        <f t="shared" si="4"/>
        <v>44735.177083333372</v>
      </c>
      <c r="F71" s="333" t="s">
        <v>656</v>
      </c>
      <c r="G71" s="725"/>
      <c r="H71" s="725"/>
      <c r="I71" s="725"/>
      <c r="J71" s="725"/>
      <c r="K71" s="725"/>
      <c r="L71" s="725"/>
      <c r="M71" s="725"/>
      <c r="O71" s="409"/>
    </row>
    <row r="72" spans="1:15" s="267" customFormat="1" ht="15" hidden="1" customHeight="1" x14ac:dyDescent="0.25">
      <c r="A72" s="31">
        <f t="shared" si="14"/>
        <v>44735.177083333372</v>
      </c>
      <c r="B72" s="280"/>
      <c r="C72" s="280"/>
      <c r="D72" s="280"/>
      <c r="E72" s="280"/>
      <c r="F72" s="280"/>
      <c r="G72" s="288"/>
      <c r="H72" s="385"/>
      <c r="I72" s="385"/>
      <c r="J72" s="385">
        <v>300</v>
      </c>
      <c r="K72" s="385"/>
      <c r="L72" s="388"/>
      <c r="M72" s="385"/>
      <c r="N72" s="25"/>
      <c r="O72" s="25"/>
    </row>
    <row r="73" spans="1:15" ht="15" customHeight="1" x14ac:dyDescent="0.55000000000000004">
      <c r="A73" s="34"/>
      <c r="B73" s="33" t="s">
        <v>534</v>
      </c>
      <c r="C73" s="32">
        <f>SUM(C60:C72,C13:C31,C34:C54,C57:C58)</f>
        <v>6.0520833333333357</v>
      </c>
      <c r="D73" s="32">
        <f>SUM(D60:D72,D13:D31,D34:D54,D57:D58)</f>
        <v>0</v>
      </c>
      <c r="G73" s="26"/>
      <c r="H73" s="26"/>
      <c r="I73" s="26"/>
      <c r="J73" s="26"/>
    </row>
    <row r="74" spans="1:15" ht="15" customHeight="1" x14ac:dyDescent="0.25">
      <c r="B74" s="31" t="s">
        <v>536</v>
      </c>
      <c r="C74" s="112">
        <f>(C73/24)</f>
        <v>0.25217013888888901</v>
      </c>
      <c r="D74" s="112">
        <f>(D73/24)</f>
        <v>0</v>
      </c>
      <c r="G74" s="26"/>
      <c r="H74" s="26"/>
      <c r="I74" s="26"/>
      <c r="J74" s="26"/>
    </row>
    <row r="75" spans="1:15" ht="15" customHeight="1" x14ac:dyDescent="0.25">
      <c r="C75" s="262"/>
      <c r="D75" s="262"/>
      <c r="G75" s="26"/>
      <c r="H75" s="26"/>
      <c r="I75" s="26"/>
      <c r="J75" s="26"/>
    </row>
    <row r="76" spans="1:15" ht="15" customHeight="1" x14ac:dyDescent="0.25">
      <c r="G76" s="26"/>
      <c r="H76" s="26"/>
      <c r="I76" s="26"/>
      <c r="J76" s="26"/>
    </row>
    <row r="77" spans="1:15" ht="15" customHeight="1" x14ac:dyDescent="0.25">
      <c r="G77" s="26"/>
      <c r="H77" s="26"/>
      <c r="I77" s="26"/>
      <c r="J77" s="26"/>
    </row>
    <row r="78" spans="1:15" ht="15" customHeight="1" x14ac:dyDescent="0.25">
      <c r="G78" s="26"/>
      <c r="H78" s="26"/>
      <c r="I78" s="26"/>
      <c r="J78" s="26"/>
    </row>
    <row r="79" spans="1:15" ht="15" customHeight="1" x14ac:dyDescent="0.25">
      <c r="G79" s="26"/>
      <c r="H79" s="26"/>
      <c r="I79" s="26"/>
      <c r="J79" s="26"/>
    </row>
    <row r="80" spans="1:15" ht="15" customHeight="1" x14ac:dyDescent="0.25">
      <c r="G80" s="26"/>
      <c r="H80" s="26"/>
      <c r="I80" s="26"/>
      <c r="J80" s="26"/>
    </row>
    <row r="81" spans="6:10" ht="15" customHeight="1" x14ac:dyDescent="0.25">
      <c r="G81" s="26"/>
      <c r="H81" s="26"/>
      <c r="I81" s="26"/>
      <c r="J81" s="26"/>
    </row>
    <row r="82" spans="6:10" ht="15" customHeight="1" x14ac:dyDescent="0.25">
      <c r="G82" s="26"/>
      <c r="H82" s="26"/>
      <c r="I82" s="26"/>
      <c r="J82" s="26"/>
    </row>
    <row r="83" spans="6:10" ht="15" customHeight="1" x14ac:dyDescent="0.25">
      <c r="G83" s="26"/>
      <c r="H83" s="26"/>
      <c r="I83" s="26"/>
      <c r="J83" s="26"/>
    </row>
    <row r="84" spans="6:10" ht="15" customHeight="1" x14ac:dyDescent="0.25">
      <c r="G84" s="26"/>
      <c r="H84" s="26"/>
      <c r="I84" s="26"/>
      <c r="J84" s="26"/>
    </row>
    <row r="85" spans="6:10" ht="15" customHeight="1" x14ac:dyDescent="0.25">
      <c r="G85" s="26"/>
      <c r="H85" s="26"/>
      <c r="I85" s="26"/>
      <c r="J85" s="26"/>
    </row>
    <row r="86" spans="6:10" ht="15" customHeight="1" x14ac:dyDescent="0.25">
      <c r="G86" s="26"/>
      <c r="H86" s="26"/>
      <c r="I86" s="26"/>
      <c r="J86" s="26"/>
    </row>
    <row r="87" spans="6:10" ht="15" customHeight="1" x14ac:dyDescent="0.25">
      <c r="G87" s="26"/>
      <c r="H87" s="26"/>
      <c r="I87" s="26"/>
      <c r="J87" s="26"/>
    </row>
    <row r="88" spans="6:10" ht="15" customHeight="1" x14ac:dyDescent="0.25">
      <c r="G88" s="26"/>
      <c r="H88" s="26"/>
      <c r="I88" s="26"/>
      <c r="J88" s="26"/>
    </row>
    <row r="89" spans="6:10" ht="15" customHeight="1" x14ac:dyDescent="0.25">
      <c r="G89" s="26"/>
      <c r="H89" s="26"/>
      <c r="I89" s="26"/>
      <c r="J89" s="26"/>
    </row>
    <row r="90" spans="6:10" ht="15" customHeight="1" x14ac:dyDescent="0.25">
      <c r="G90" s="26"/>
      <c r="H90" s="26"/>
      <c r="I90" s="26"/>
      <c r="J90" s="26"/>
    </row>
    <row r="91" spans="6:10" ht="15" customHeight="1" x14ac:dyDescent="0.25">
      <c r="G91" s="26"/>
      <c r="H91" s="26"/>
      <c r="I91" s="26"/>
      <c r="J91" s="26"/>
    </row>
    <row r="92" spans="6:10" ht="15" customHeight="1" x14ac:dyDescent="0.25">
      <c r="G92" s="26"/>
      <c r="H92" s="26"/>
      <c r="I92" s="26"/>
      <c r="J92" s="26"/>
    </row>
    <row r="93" spans="6:10" ht="15" customHeight="1" x14ac:dyDescent="0.25">
      <c r="G93" s="26"/>
      <c r="H93" s="26"/>
      <c r="I93" s="26"/>
      <c r="J93" s="26"/>
    </row>
    <row r="95" spans="6:10" ht="15" customHeight="1" x14ac:dyDescent="0.25">
      <c r="F95" s="26"/>
    </row>
    <row r="96" spans="6:10" ht="15" customHeight="1" x14ac:dyDescent="0.25">
      <c r="F96" s="26"/>
    </row>
  </sheetData>
  <mergeCells count="6">
    <mergeCell ref="A55:G55"/>
    <mergeCell ref="N64:O64"/>
    <mergeCell ref="A1:B1"/>
    <mergeCell ref="N13:O13"/>
    <mergeCell ref="N23:O23"/>
    <mergeCell ref="N46:O46"/>
  </mergeCells>
  <pageMargins left="0.75" right="0.75" top="1" bottom="1" header="0.5" footer="0.5"/>
  <pageSetup orientation="portrait" r:id="rId1"/>
  <headerFooter alignWithMargins="0">
    <oddFooter>&amp;R&amp;"Arial,Regular"&amp;08&amp;K7F7F7FAmgen Proprietary - Confidential   &amp;C&amp;"Calibri"&amp;11&amp;K000000&amp;"Arial,Regular"&amp;08&amp;K7F7F7FAmgen Proprietary - For Internal Use Only_x000D_&amp;1#&amp;"Calibri"&amp;10&amp;K000000 Non-Amgen</oddFooter>
    <evenFooter>&amp;R&amp;"Arial,Regular"&amp;08&amp;K7F7F7FAmgen Proprietary - Confidential   &amp;C&amp;"Arial,Regular"&amp;08&amp;K7F7F7FAmgen Proprietary - For Internal Use Only</evenFooter>
    <firstFooter>&amp;R&amp;"Arial,Regular"&amp;08&amp;K7F7F7FAmgen Proprietary - Confidential   &amp;C&amp;"Arial,Regular"&amp;08&amp;K7F7F7FAmgen Proprietary - For Internal Use Only</firstFooter>
  </headerFooter>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E2DFFF-0834-4B46-80FA-9E0D8D7DF80F}">
  <sheetPr codeName="Sheet117">
    <pageSetUpPr autoPageBreaks="0"/>
  </sheetPr>
  <dimension ref="A1:O123"/>
  <sheetViews>
    <sheetView topLeftCell="A25" zoomScale="80" zoomScaleNormal="80" workbookViewId="0">
      <selection activeCell="F102" sqref="F102"/>
    </sheetView>
  </sheetViews>
  <sheetFormatPr defaultColWidth="23.453125" defaultRowHeight="15" customHeight="1" x14ac:dyDescent="0.25"/>
  <cols>
    <col min="1" max="1" width="39.453125" style="25" customWidth="1"/>
    <col min="2" max="2" width="29.453125" style="25" customWidth="1"/>
    <col min="3" max="3" width="23.453125" style="25"/>
    <col min="4" max="4" width="23.453125" style="25" hidden="1" customWidth="1"/>
    <col min="5" max="5" width="23.453125" style="25"/>
    <col min="6" max="6" width="79.54296875" style="25" bestFit="1" customWidth="1"/>
    <col min="7" max="7" width="40.54296875" style="25" customWidth="1"/>
    <col min="8" max="11" width="10.54296875" style="25" customWidth="1"/>
    <col min="12" max="12" width="12.54296875" style="25" bestFit="1" customWidth="1"/>
    <col min="13" max="13" width="15" style="25" customWidth="1"/>
    <col min="14" max="16384" width="23.453125" style="25"/>
  </cols>
  <sheetData>
    <row r="1" spans="1:13" ht="15" customHeight="1" thickBot="1" x14ac:dyDescent="0.3">
      <c r="A1" s="1064" t="s">
        <v>479</v>
      </c>
      <c r="B1" s="1065"/>
    </row>
    <row r="2" spans="1:13" ht="15" customHeight="1" x14ac:dyDescent="0.25">
      <c r="A2" s="43" t="s">
        <v>480</v>
      </c>
      <c r="B2" s="289">
        <v>44700.354166666664</v>
      </c>
    </row>
    <row r="3" spans="1:13" ht="15" customHeight="1" thickBot="1" x14ac:dyDescent="0.3">
      <c r="A3" s="42" t="s">
        <v>482</v>
      </c>
      <c r="B3" s="290">
        <f>B2</f>
        <v>44700.354166666664</v>
      </c>
    </row>
    <row r="5" spans="1:13" ht="15" customHeight="1" x14ac:dyDescent="0.25">
      <c r="A5" s="328" t="s">
        <v>484</v>
      </c>
      <c r="B5" s="328"/>
      <c r="C5" s="328"/>
      <c r="D5" s="328"/>
    </row>
    <row r="6" spans="1:13" ht="15" customHeight="1" x14ac:dyDescent="0.25">
      <c r="A6" s="781" t="s">
        <v>485</v>
      </c>
      <c r="B6" s="781" t="s">
        <v>486</v>
      </c>
      <c r="C6" s="781" t="s">
        <v>487</v>
      </c>
      <c r="D6" s="781" t="s">
        <v>488</v>
      </c>
    </row>
    <row r="7" spans="1:13" ht="15" customHeight="1" x14ac:dyDescent="0.25">
      <c r="A7" s="41" t="str">
        <f>F34</f>
        <v xml:space="preserve">   Reactor 2 Sample for drug substance analysis (PR_171 in Methanol)</v>
      </c>
      <c r="B7" s="325">
        <f>INDEX($A$17:$A$99,MATCH(A7,$F$17:$F$99,0))</f>
        <v>44701.444444444453</v>
      </c>
      <c r="C7" s="37">
        <f>INDEX($B$17:$B$99,MATCH(A7,$F$17:$F$99,0))</f>
        <v>44701.444444444453</v>
      </c>
      <c r="D7" s="297"/>
    </row>
    <row r="8" spans="1:13" ht="15" customHeight="1" x14ac:dyDescent="0.25">
      <c r="A8" s="41" t="str">
        <f>F42</f>
        <v xml:space="preserve">   Reactor 2 Sample for Residual Solvent (Methanol in Ethyl Acetate)</v>
      </c>
      <c r="B8" s="325">
        <f>INDEX($A$17:$A$99,MATCH(A8,$F$17:$F$99,0))</f>
        <v>44704.628472222241</v>
      </c>
      <c r="C8" s="37">
        <f>INDEX($B$17:$B$99,MATCH(A8,$F$17:$F$99,0))</f>
        <v>44704.628472222241</v>
      </c>
      <c r="D8" s="297"/>
      <c r="E8" s="719"/>
    </row>
    <row r="9" spans="1:13" ht="15" customHeight="1" x14ac:dyDescent="0.25">
      <c r="A9" s="41" t="str">
        <f>F66</f>
        <v xml:space="preserve">   Reactor 1 Sample for drug substance analysis (PR-171 in Methanol)</v>
      </c>
      <c r="B9" s="325">
        <f>INDEX($A$17:$A$99,MATCH(A9,$F$17:$F$99,0))</f>
        <v>44705.815972222241</v>
      </c>
      <c r="C9" s="37">
        <f>INDEX($B$17:$B$99,MATCH(A9,$F$17:$F$99,0))</f>
        <v>44705.815972222241</v>
      </c>
      <c r="D9" s="297"/>
      <c r="E9" s="719"/>
    </row>
    <row r="10" spans="1:13" ht="15" customHeight="1" x14ac:dyDescent="0.25">
      <c r="A10" s="41" t="str">
        <f>F75</f>
        <v xml:space="preserve">   Reactor 1 Sample for Residual Solvent (Methanol in Ethyl Acetate)</v>
      </c>
      <c r="B10" s="325">
        <f>INDEX($A$17:$A$99,MATCH(A10,$F$17:$F$99,0))</f>
        <v>44706.454861111139</v>
      </c>
      <c r="C10" s="37">
        <f>INDEX($B$17:$B$99,MATCH(A10,$F$17:$F$99,0))</f>
        <v>44706.454861111139</v>
      </c>
      <c r="D10" s="297"/>
    </row>
    <row r="11" spans="1:13" ht="15" customHeight="1" x14ac:dyDescent="0.25">
      <c r="A11" s="41" t="str">
        <f>F95</f>
        <v xml:space="preserve">   Filter Dryer Sample for drug substance analysis (PR-171 in Methanol)</v>
      </c>
      <c r="B11" s="325">
        <f>INDEX($A$17:$A$99,MATCH(A11,$F$17:$F$99,0))</f>
        <v>44707.715277777825</v>
      </c>
      <c r="C11" s="37">
        <f>INDEX($B$17:$B$99,MATCH(A11,$F$17:$F$99,0))</f>
        <v>44707.715277777825</v>
      </c>
      <c r="D11" s="297"/>
    </row>
    <row r="12" spans="1:13" ht="15" hidden="1" customHeight="1" x14ac:dyDescent="0.25">
      <c r="A12" s="578" t="str">
        <f>F98</f>
        <v xml:space="preserve">  [Parallel] Chemical Canister Residual Solvent Sample (Acetone in EA)</v>
      </c>
      <c r="B12" s="325">
        <f>B98</f>
        <v>44707.343750000036</v>
      </c>
      <c r="C12" s="37">
        <f>E98</f>
        <v>44707.468750000036</v>
      </c>
      <c r="D12" s="297"/>
    </row>
    <row r="13" spans="1:13" ht="15" hidden="1" customHeight="1" x14ac:dyDescent="0.25">
      <c r="A13" s="578" t="s">
        <v>2667</v>
      </c>
      <c r="B13" s="325">
        <f>B99</f>
        <v>44707.468750000036</v>
      </c>
      <c r="C13" s="37">
        <f>E99</f>
        <v>44707.614583333372</v>
      </c>
      <c r="D13" s="297"/>
    </row>
    <row r="15" spans="1:13" ht="23" x14ac:dyDescent="0.25">
      <c r="A15" s="749" t="s">
        <v>492</v>
      </c>
      <c r="B15" s="749" t="s">
        <v>576</v>
      </c>
      <c r="C15" s="749" t="s">
        <v>2484</v>
      </c>
      <c r="D15" s="749" t="s">
        <v>2668</v>
      </c>
      <c r="E15" s="749" t="s">
        <v>560</v>
      </c>
      <c r="F15" s="749" t="s">
        <v>541</v>
      </c>
      <c r="G15" s="749" t="s">
        <v>498</v>
      </c>
      <c r="H15" s="372" t="s">
        <v>500</v>
      </c>
      <c r="I15" s="372" t="s">
        <v>677</v>
      </c>
      <c r="J15" s="372" t="s">
        <v>92</v>
      </c>
      <c r="K15" s="372" t="s">
        <v>96</v>
      </c>
      <c r="L15" s="373" t="s">
        <v>501</v>
      </c>
      <c r="M15" s="386" t="s">
        <v>114</v>
      </c>
    </row>
    <row r="16" spans="1:13" ht="15" customHeight="1" x14ac:dyDescent="0.25">
      <c r="A16" s="279" t="s">
        <v>2519</v>
      </c>
      <c r="B16" s="279"/>
      <c r="C16" s="279"/>
      <c r="D16" s="279"/>
      <c r="E16" s="279"/>
      <c r="F16" s="279"/>
      <c r="G16" s="279"/>
      <c r="H16" s="374"/>
      <c r="I16" s="374"/>
      <c r="J16" s="374"/>
      <c r="K16" s="374"/>
      <c r="L16" s="375"/>
      <c r="M16" s="387"/>
    </row>
    <row r="17" spans="1:15" ht="15" customHeight="1" x14ac:dyDescent="0.25">
      <c r="A17" s="31">
        <f>B2</f>
        <v>44700.354166666664</v>
      </c>
      <c r="B17" s="332">
        <f>B3</f>
        <v>44700.354166666664</v>
      </c>
      <c r="C17" s="398">
        <v>6.25E-2</v>
      </c>
      <c r="D17" s="420" t="str">
        <f t="shared" ref="D17:D32" si="0">IF(_xlfn.ISFORMULA(E17)=TRUE,"",E17-B17)</f>
        <v/>
      </c>
      <c r="E17" s="421">
        <f>B17+C17</f>
        <v>44700.416666666664</v>
      </c>
      <c r="F17" s="422" t="s">
        <v>2692</v>
      </c>
      <c r="G17" s="277"/>
      <c r="H17" s="376">
        <v>132.11957070707069</v>
      </c>
      <c r="I17" s="377"/>
      <c r="J17" s="377"/>
      <c r="K17" s="378"/>
      <c r="L17" s="388">
        <f t="shared" ref="L17:L28" si="1">SUM(H17:I17,K17)</f>
        <v>132.11957070707069</v>
      </c>
      <c r="M17" s="378"/>
      <c r="N17" s="1067" t="s">
        <v>652</v>
      </c>
      <c r="O17" s="1067"/>
    </row>
    <row r="18" spans="1:15" ht="15" customHeight="1" x14ac:dyDescent="0.25">
      <c r="A18" s="31">
        <f>IF(D17 = "",A17+C17,A17+D17)</f>
        <v>44700.416666666664</v>
      </c>
      <c r="B18" s="421">
        <f>IF(D17 = "",B17+C17,B17+D17)</f>
        <v>44700.416666666664</v>
      </c>
      <c r="C18" s="398">
        <v>2.0833333333333332E-2</v>
      </c>
      <c r="D18" s="420" t="str">
        <f t="shared" si="0"/>
        <v/>
      </c>
      <c r="E18" s="421">
        <f t="shared" ref="E18:E98" si="2">B18+C18</f>
        <v>44700.4375</v>
      </c>
      <c r="F18" s="422" t="s">
        <v>2670</v>
      </c>
      <c r="G18" s="275"/>
      <c r="H18" s="343"/>
      <c r="I18" s="343">
        <v>116.05498891352551</v>
      </c>
      <c r="J18" s="343"/>
      <c r="K18" s="343"/>
      <c r="L18" s="388">
        <f t="shared" si="1"/>
        <v>116.05498891352551</v>
      </c>
      <c r="M18" s="378"/>
      <c r="N18" s="390" t="s">
        <v>2651</v>
      </c>
      <c r="O18" s="343">
        <f>SUM(H17:H28)</f>
        <v>1713.4689393939393</v>
      </c>
    </row>
    <row r="19" spans="1:15" ht="15" customHeight="1" x14ac:dyDescent="0.25">
      <c r="A19" s="31">
        <f>IF(D18 = "",A18+C18,A18+D18)</f>
        <v>44700.4375</v>
      </c>
      <c r="B19" s="421">
        <f>IF(D18 = "",B18+C18,B18+D18)</f>
        <v>44700.4375</v>
      </c>
      <c r="C19" s="398">
        <v>2.0833333333333332E-2</v>
      </c>
      <c r="D19" s="420" t="str">
        <f t="shared" ref="D19" si="3">IF(_xlfn.ISFORMULA(E19)=TRUE,"",E19-B19)</f>
        <v/>
      </c>
      <c r="E19" s="421">
        <f t="shared" ref="E19" si="4">B19+C19</f>
        <v>44700.458333333336</v>
      </c>
      <c r="F19" s="422" t="s">
        <v>2670</v>
      </c>
      <c r="G19" s="275"/>
      <c r="H19" s="343"/>
      <c r="I19" s="343"/>
      <c r="J19" s="343"/>
      <c r="K19" s="343"/>
      <c r="L19" s="388"/>
      <c r="M19" s="378"/>
      <c r="N19" s="390"/>
      <c r="O19" s="343"/>
    </row>
    <row r="20" spans="1:15" ht="15" hidden="1" customHeight="1" x14ac:dyDescent="0.25">
      <c r="A20" s="31">
        <f>IF(D19 = "",A19+C19,A19+D19)</f>
        <v>44700.458333333336</v>
      </c>
      <c r="B20" s="421">
        <f>IF(D19 = "",B19+C19,B19+D19)</f>
        <v>44700.458333333336</v>
      </c>
      <c r="C20" s="398">
        <v>0</v>
      </c>
      <c r="D20" s="420" t="str">
        <f t="shared" si="0"/>
        <v/>
      </c>
      <c r="E20" s="421">
        <f t="shared" si="2"/>
        <v>44700.458333333336</v>
      </c>
      <c r="F20" s="422" t="s">
        <v>2671</v>
      </c>
      <c r="G20" s="275"/>
      <c r="H20" s="343"/>
      <c r="I20" s="343"/>
      <c r="J20" s="343"/>
      <c r="K20" s="343">
        <v>205.46709183673468</v>
      </c>
      <c r="L20" s="388">
        <f t="shared" si="1"/>
        <v>205.46709183673468</v>
      </c>
      <c r="M20" s="378"/>
      <c r="N20" s="390" t="s">
        <v>2647</v>
      </c>
      <c r="O20" s="343">
        <f>SUM(I17:I28)</f>
        <v>714.12738359201785</v>
      </c>
    </row>
    <row r="21" spans="1:15" ht="15" hidden="1" customHeight="1" x14ac:dyDescent="0.25">
      <c r="A21" s="31">
        <f t="shared" ref="A21:A44" si="5">IF(D20 = "",A20+C20,A20+D20)</f>
        <v>44700.458333333336</v>
      </c>
      <c r="B21" s="421">
        <f t="shared" ref="B21:B34" si="6">IF(D20 = "",B20+C20,B20+D20)</f>
        <v>44700.458333333336</v>
      </c>
      <c r="C21" s="398">
        <v>0</v>
      </c>
      <c r="D21" s="420" t="str">
        <f t="shared" si="0"/>
        <v/>
      </c>
      <c r="E21" s="421">
        <f t="shared" si="2"/>
        <v>44700.458333333336</v>
      </c>
      <c r="F21" s="422" t="s">
        <v>2672</v>
      </c>
      <c r="G21" s="275"/>
      <c r="H21" s="343"/>
      <c r="I21" s="343">
        <v>213.24035476718404</v>
      </c>
      <c r="J21" s="343"/>
      <c r="K21" s="343"/>
      <c r="L21" s="388">
        <f t="shared" si="1"/>
        <v>213.24035476718404</v>
      </c>
      <c r="M21" s="378"/>
      <c r="N21" s="390" t="s">
        <v>682</v>
      </c>
      <c r="O21" s="343">
        <f>SUM(L17:L28)</f>
        <v>2633.0634148226918</v>
      </c>
    </row>
    <row r="22" spans="1:15" ht="15" customHeight="1" x14ac:dyDescent="0.25">
      <c r="A22" s="31">
        <f t="shared" si="5"/>
        <v>44700.458333333336</v>
      </c>
      <c r="B22" s="421">
        <f t="shared" si="6"/>
        <v>44700.458333333336</v>
      </c>
      <c r="C22" s="398">
        <v>6.9444444444444441E-3</v>
      </c>
      <c r="D22" s="420" t="str">
        <f t="shared" si="0"/>
        <v/>
      </c>
      <c r="E22" s="421">
        <f t="shared" si="2"/>
        <v>44700.465277777781</v>
      </c>
      <c r="F22" s="422" t="s">
        <v>2673</v>
      </c>
      <c r="G22" s="275"/>
      <c r="H22" s="343"/>
      <c r="I22" s="343">
        <v>125.73203991130821</v>
      </c>
      <c r="J22" s="343"/>
      <c r="K22" s="343"/>
      <c r="L22" s="388">
        <f t="shared" si="1"/>
        <v>125.73203991130821</v>
      </c>
      <c r="M22" s="378"/>
    </row>
    <row r="23" spans="1:15" ht="15" customHeight="1" x14ac:dyDescent="0.25">
      <c r="A23" s="31">
        <f t="shared" si="5"/>
        <v>44700.465277777781</v>
      </c>
      <c r="B23" s="421">
        <f t="shared" si="6"/>
        <v>44700.465277777781</v>
      </c>
      <c r="C23" s="423">
        <v>1.3888888888888888E-2</v>
      </c>
      <c r="D23" s="420" t="str">
        <f t="shared" si="0"/>
        <v/>
      </c>
      <c r="E23" s="421">
        <f t="shared" si="2"/>
        <v>44700.479166666672</v>
      </c>
      <c r="F23" s="422" t="s">
        <v>2454</v>
      </c>
      <c r="G23" s="275"/>
      <c r="H23" s="343"/>
      <c r="I23" s="343"/>
      <c r="J23" s="343">
        <v>250</v>
      </c>
      <c r="K23" s="343"/>
      <c r="L23" s="388"/>
      <c r="M23" s="378"/>
    </row>
    <row r="24" spans="1:15" ht="15" customHeight="1" x14ac:dyDescent="0.25">
      <c r="A24" s="31">
        <f t="shared" si="5"/>
        <v>44700.479166666672</v>
      </c>
      <c r="B24" s="421">
        <f t="shared" si="6"/>
        <v>44700.479166666672</v>
      </c>
      <c r="C24" s="423">
        <v>4.1666666666666664E-2</v>
      </c>
      <c r="D24" s="420" t="str">
        <f t="shared" si="0"/>
        <v/>
      </c>
      <c r="E24" s="421">
        <f t="shared" si="2"/>
        <v>44700.520833333336</v>
      </c>
      <c r="F24" s="422" t="s">
        <v>2455</v>
      </c>
      <c r="G24" s="275"/>
      <c r="H24" s="343"/>
      <c r="I24" s="343">
        <v>259.10000000000002</v>
      </c>
      <c r="J24" s="343"/>
      <c r="K24" s="343"/>
      <c r="L24" s="388">
        <f t="shared" si="1"/>
        <v>259.10000000000002</v>
      </c>
      <c r="M24" s="378"/>
    </row>
    <row r="25" spans="1:15" ht="15" customHeight="1" x14ac:dyDescent="0.25">
      <c r="A25" s="31">
        <f t="shared" si="5"/>
        <v>44700.520833333336</v>
      </c>
      <c r="B25" s="421">
        <f t="shared" si="6"/>
        <v>44700.520833333336</v>
      </c>
      <c r="C25" s="423">
        <v>2.0833333333333332E-2</v>
      </c>
      <c r="D25" s="420" t="str">
        <f t="shared" si="0"/>
        <v/>
      </c>
      <c r="E25" s="421">
        <f t="shared" si="2"/>
        <v>44700.541666666672</v>
      </c>
      <c r="F25" s="422" t="s">
        <v>619</v>
      </c>
      <c r="G25" s="275"/>
      <c r="H25" s="343">
        <v>51.172853535353532</v>
      </c>
      <c r="I25" s="343"/>
      <c r="J25" s="343"/>
      <c r="K25" s="343"/>
      <c r="L25" s="388">
        <f t="shared" si="1"/>
        <v>51.172853535353532</v>
      </c>
      <c r="M25" s="378"/>
    </row>
    <row r="26" spans="1:15" ht="15" customHeight="1" x14ac:dyDescent="0.25">
      <c r="A26" s="31">
        <f t="shared" si="5"/>
        <v>44700.541666666672</v>
      </c>
      <c r="B26" s="421">
        <f t="shared" si="6"/>
        <v>44700.541666666672</v>
      </c>
      <c r="C26" s="423">
        <v>3.125E-2</v>
      </c>
      <c r="D26" s="420" t="str">
        <f t="shared" si="0"/>
        <v/>
      </c>
      <c r="E26" s="421">
        <f t="shared" si="2"/>
        <v>44700.572916666672</v>
      </c>
      <c r="F26" s="422" t="s">
        <v>2674</v>
      </c>
      <c r="G26" s="275"/>
      <c r="H26" s="343">
        <v>610.1765151515151</v>
      </c>
      <c r="I26" s="343"/>
      <c r="J26" s="343"/>
      <c r="K26" s="343"/>
      <c r="L26" s="388">
        <f t="shared" si="1"/>
        <v>610.1765151515151</v>
      </c>
      <c r="M26" s="378"/>
    </row>
    <row r="27" spans="1:15" ht="15" customHeight="1" x14ac:dyDescent="0.25">
      <c r="A27" s="31">
        <f t="shared" si="5"/>
        <v>44700.572916666672</v>
      </c>
      <c r="B27" s="421">
        <f t="shared" si="6"/>
        <v>44700.572916666672</v>
      </c>
      <c r="C27" s="398">
        <v>0.3125</v>
      </c>
      <c r="D27" s="420">
        <v>0.32291666666666669</v>
      </c>
      <c r="E27" s="421">
        <f t="shared" si="2"/>
        <v>44700.885416666672</v>
      </c>
      <c r="F27" s="422" t="s">
        <v>2456</v>
      </c>
      <c r="G27" s="275"/>
      <c r="H27" s="343">
        <v>550</v>
      </c>
      <c r="I27" s="343"/>
      <c r="J27" s="343"/>
      <c r="K27" s="343"/>
      <c r="L27" s="388">
        <f t="shared" si="1"/>
        <v>550</v>
      </c>
      <c r="M27" s="378"/>
    </row>
    <row r="28" spans="1:15" ht="15" customHeight="1" x14ac:dyDescent="0.25">
      <c r="A28" s="31">
        <f t="shared" si="5"/>
        <v>44700.895833333336</v>
      </c>
      <c r="B28" s="421">
        <f t="shared" si="6"/>
        <v>44700.895833333336</v>
      </c>
      <c r="C28" s="398">
        <v>0.3125</v>
      </c>
      <c r="D28" s="420" t="str">
        <f t="shared" si="0"/>
        <v/>
      </c>
      <c r="E28" s="421">
        <f t="shared" si="2"/>
        <v>44701.208333333336</v>
      </c>
      <c r="F28" s="424" t="s">
        <v>2459</v>
      </c>
      <c r="G28" s="413"/>
      <c r="H28" s="384">
        <v>370</v>
      </c>
      <c r="I28" s="384"/>
      <c r="J28" s="384"/>
      <c r="K28" s="384"/>
      <c r="L28" s="412">
        <f t="shared" si="1"/>
        <v>370</v>
      </c>
      <c r="M28" s="411"/>
    </row>
    <row r="29" spans="1:15" ht="15" hidden="1" customHeight="1" thickBot="1" x14ac:dyDescent="0.3">
      <c r="A29" s="31">
        <f t="shared" si="5"/>
        <v>44701.208333333336</v>
      </c>
      <c r="B29" s="421">
        <f t="shared" si="6"/>
        <v>44701.208333333336</v>
      </c>
      <c r="C29" s="435">
        <v>0</v>
      </c>
      <c r="D29" s="436" t="str">
        <f>IF(_xlfn.ISFORMULA(E29)=TRUE,"",E29-B29)</f>
        <v/>
      </c>
      <c r="E29" s="434">
        <f>B29+C29</f>
        <v>44701.208333333336</v>
      </c>
      <c r="F29" s="415" t="s">
        <v>2675</v>
      </c>
      <c r="G29" s="416"/>
      <c r="H29" s="417"/>
      <c r="I29" s="417"/>
      <c r="J29" s="417"/>
      <c r="K29" s="417"/>
      <c r="L29" s="418"/>
      <c r="M29" s="419"/>
    </row>
    <row r="30" spans="1:15" ht="15" customHeight="1" x14ac:dyDescent="0.25">
      <c r="A30" s="31">
        <f t="shared" si="5"/>
        <v>44701.208333333336</v>
      </c>
      <c r="B30" s="421">
        <f t="shared" si="6"/>
        <v>44701.208333333336</v>
      </c>
      <c r="C30" s="425">
        <v>7.6388888888888895E-2</v>
      </c>
      <c r="D30" s="426" t="str">
        <f t="shared" si="0"/>
        <v/>
      </c>
      <c r="E30" s="421">
        <f t="shared" si="2"/>
        <v>44701.284722222226</v>
      </c>
      <c r="F30" s="422" t="s">
        <v>2461</v>
      </c>
      <c r="G30" s="414"/>
      <c r="H30" s="343">
        <v>816.77665404040408</v>
      </c>
      <c r="I30" s="343"/>
      <c r="J30" s="343"/>
      <c r="K30" s="343"/>
      <c r="L30" s="378">
        <f>SUM(H30:I30,K30)</f>
        <v>816.77665404040408</v>
      </c>
      <c r="M30" s="378"/>
      <c r="N30" s="1066" t="s">
        <v>609</v>
      </c>
      <c r="O30" s="1067"/>
    </row>
    <row r="31" spans="1:15" ht="15" customHeight="1" x14ac:dyDescent="0.25">
      <c r="A31" s="31">
        <f t="shared" si="5"/>
        <v>44701.284722222226</v>
      </c>
      <c r="B31" s="421">
        <f t="shared" si="6"/>
        <v>44701.284722222226</v>
      </c>
      <c r="C31" s="398">
        <v>8.3333333333333329E-2</v>
      </c>
      <c r="D31" s="420" t="str">
        <f t="shared" si="0"/>
        <v/>
      </c>
      <c r="E31" s="421">
        <f t="shared" si="2"/>
        <v>44701.368055555562</v>
      </c>
      <c r="F31" s="422" t="s">
        <v>647</v>
      </c>
      <c r="G31" s="275"/>
      <c r="H31" s="343"/>
      <c r="I31" s="343"/>
      <c r="J31" s="343"/>
      <c r="K31" s="343"/>
      <c r="L31" s="388"/>
      <c r="M31" s="378"/>
      <c r="N31" s="390" t="s">
        <v>2651</v>
      </c>
      <c r="O31" s="343">
        <f>SUM(H30:H40)</f>
        <v>816.77665404040408</v>
      </c>
    </row>
    <row r="32" spans="1:15" ht="15" customHeight="1" x14ac:dyDescent="0.25">
      <c r="A32" s="31">
        <f t="shared" si="5"/>
        <v>44701.368055555562</v>
      </c>
      <c r="B32" s="421">
        <f t="shared" si="6"/>
        <v>44701.368055555562</v>
      </c>
      <c r="C32" s="398">
        <v>6.25E-2</v>
      </c>
      <c r="D32" s="420" t="str">
        <f t="shared" si="0"/>
        <v/>
      </c>
      <c r="E32" s="421">
        <f t="shared" si="2"/>
        <v>44701.430555555562</v>
      </c>
      <c r="F32" s="422" t="s">
        <v>648</v>
      </c>
      <c r="G32" s="275"/>
      <c r="H32" s="343"/>
      <c r="I32" s="343"/>
      <c r="J32" s="343"/>
      <c r="K32" s="343"/>
      <c r="L32" s="388"/>
      <c r="M32" s="378"/>
      <c r="N32" s="390" t="s">
        <v>2647</v>
      </c>
      <c r="O32" s="343">
        <f>SUM(I30:I40)</f>
        <v>1251.5857871396895</v>
      </c>
    </row>
    <row r="33" spans="1:15" ht="15" customHeight="1" x14ac:dyDescent="0.25">
      <c r="A33" s="31">
        <f t="shared" si="5"/>
        <v>44701.430555555562</v>
      </c>
      <c r="B33" s="421">
        <f t="shared" si="6"/>
        <v>44701.430555555562</v>
      </c>
      <c r="C33" s="398">
        <v>1.3888888888888888E-2</v>
      </c>
      <c r="D33" s="420"/>
      <c r="E33" s="421">
        <f t="shared" si="2"/>
        <v>44701.444444444453</v>
      </c>
      <c r="F33" s="288" t="s">
        <v>2463</v>
      </c>
      <c r="G33" s="275"/>
      <c r="H33" s="343"/>
      <c r="I33" s="343"/>
      <c r="J33" s="343"/>
      <c r="K33" s="343"/>
      <c r="L33" s="388"/>
      <c r="M33" s="378"/>
      <c r="N33" s="390"/>
      <c r="O33" s="343"/>
    </row>
    <row r="34" spans="1:15" ht="15" customHeight="1" x14ac:dyDescent="0.25">
      <c r="A34" s="31">
        <f t="shared" si="5"/>
        <v>44701.444444444453</v>
      </c>
      <c r="B34" s="421">
        <f t="shared" si="6"/>
        <v>44701.444444444453</v>
      </c>
      <c r="C34" s="398">
        <v>0</v>
      </c>
      <c r="D34" s="420"/>
      <c r="E34" s="421" t="s">
        <v>99</v>
      </c>
      <c r="F34" s="923" t="s">
        <v>2676</v>
      </c>
      <c r="G34" s="275"/>
      <c r="H34" s="343"/>
      <c r="I34" s="343"/>
      <c r="J34" s="343"/>
      <c r="K34" s="343"/>
      <c r="L34" s="388"/>
      <c r="M34" s="378"/>
      <c r="N34" s="390" t="s">
        <v>682</v>
      </c>
      <c r="O34" s="343">
        <f>SUM(L30:L40)</f>
        <v>2068.3624411800938</v>
      </c>
    </row>
    <row r="35" spans="1:15" ht="15" customHeight="1" x14ac:dyDescent="0.25">
      <c r="A35" s="31">
        <f t="shared" si="5"/>
        <v>44701.444444444453</v>
      </c>
      <c r="B35" s="421">
        <f>IF(D34 = "",B34+C34,B34+D34)</f>
        <v>44701.444444444453</v>
      </c>
      <c r="C35" s="398">
        <v>8.3333333333333329E-2</v>
      </c>
      <c r="D35" s="420" t="str">
        <f t="shared" ref="D35:D37" si="7">IF(_xlfn.ISFORMULA(E35)=TRUE,"",E35-B35)</f>
        <v/>
      </c>
      <c r="E35" s="421">
        <f t="shared" si="2"/>
        <v>44701.527777777788</v>
      </c>
      <c r="F35" s="422" t="s">
        <v>647</v>
      </c>
      <c r="G35" s="275"/>
      <c r="H35" s="343"/>
      <c r="I35" s="343"/>
      <c r="J35" s="343"/>
      <c r="K35" s="343"/>
      <c r="L35" s="388"/>
      <c r="M35" s="378"/>
    </row>
    <row r="36" spans="1:15" ht="15" customHeight="1" x14ac:dyDescent="0.25">
      <c r="A36" s="31">
        <f t="shared" si="5"/>
        <v>44701.527777777788</v>
      </c>
      <c r="B36" s="421">
        <f t="shared" ref="B36:B44" si="8">IF(D35 = "",B35+C35,B35+D35)</f>
        <v>44701.527777777788</v>
      </c>
      <c r="C36" s="398">
        <v>1.3888888888888888E-2</v>
      </c>
      <c r="D36" s="420" t="str">
        <f t="shared" si="7"/>
        <v/>
      </c>
      <c r="E36" s="421">
        <f t="shared" si="2"/>
        <v>44701.541666666679</v>
      </c>
      <c r="F36" s="422" t="s">
        <v>2642</v>
      </c>
      <c r="G36" s="275"/>
      <c r="H36" s="343"/>
      <c r="I36" s="343">
        <v>50.428248337028826</v>
      </c>
      <c r="J36" s="343"/>
      <c r="K36" s="343"/>
      <c r="L36" s="388">
        <f>SUM(H36:I36,K36)</f>
        <v>50.428248337028826</v>
      </c>
      <c r="M36" s="378"/>
    </row>
    <row r="37" spans="1:15" ht="15" customHeight="1" x14ac:dyDescent="0.25">
      <c r="A37" s="31">
        <f t="shared" si="5"/>
        <v>44701.541666666679</v>
      </c>
      <c r="B37" s="421">
        <f t="shared" si="8"/>
        <v>44701.541666666679</v>
      </c>
      <c r="C37" s="398">
        <v>0.13194444444444445</v>
      </c>
      <c r="D37" s="420" t="str">
        <f t="shared" si="7"/>
        <v/>
      </c>
      <c r="E37" s="421">
        <f t="shared" si="2"/>
        <v>44701.673611111124</v>
      </c>
      <c r="F37" s="422" t="s">
        <v>2643</v>
      </c>
      <c r="G37" s="275"/>
      <c r="H37" s="343"/>
      <c r="I37" s="236">
        <v>400.14866962305985</v>
      </c>
      <c r="J37" s="343"/>
      <c r="K37" s="343"/>
      <c r="L37" s="388">
        <f>SUM(H37:I37,K37)</f>
        <v>400.14866962305985</v>
      </c>
      <c r="M37" s="378"/>
    </row>
    <row r="38" spans="1:15" ht="15" customHeight="1" x14ac:dyDescent="0.25">
      <c r="A38" s="31">
        <f t="shared" si="5"/>
        <v>44701.673611111124</v>
      </c>
      <c r="B38" s="421">
        <f t="shared" si="8"/>
        <v>44701.673611111124</v>
      </c>
      <c r="C38" s="398">
        <v>0.13194444444444445</v>
      </c>
      <c r="D38" s="420"/>
      <c r="E38" s="421">
        <f t="shared" si="2"/>
        <v>44701.805555555569</v>
      </c>
      <c r="F38" s="428" t="s">
        <v>2644</v>
      </c>
      <c r="G38" s="275"/>
      <c r="H38" s="343"/>
      <c r="I38" s="343">
        <v>401.22971175166293</v>
      </c>
      <c r="J38" s="343"/>
      <c r="K38" s="343"/>
      <c r="L38" s="388">
        <f>SUM(H38:I38,K38)</f>
        <v>401.22971175166293</v>
      </c>
      <c r="M38" s="378"/>
    </row>
    <row r="39" spans="1:15" ht="15" customHeight="1" x14ac:dyDescent="0.25">
      <c r="A39" s="604">
        <f t="shared" si="5"/>
        <v>44701.805555555569</v>
      </c>
      <c r="B39" s="650">
        <f t="shared" si="8"/>
        <v>44701.805555555569</v>
      </c>
      <c r="C39" s="609">
        <v>2.5590277777777777</v>
      </c>
      <c r="D39" s="609"/>
      <c r="E39" s="650">
        <f t="shared" si="2"/>
        <v>44704.36458333335</v>
      </c>
      <c r="F39" s="928" t="s">
        <v>693</v>
      </c>
      <c r="G39" s="611"/>
      <c r="H39" s="612"/>
      <c r="I39" s="612"/>
      <c r="J39" s="612"/>
      <c r="K39" s="612"/>
      <c r="L39" s="613"/>
      <c r="M39" s="614"/>
    </row>
    <row r="40" spans="1:15" ht="15" customHeight="1" x14ac:dyDescent="0.25">
      <c r="A40" s="31">
        <f t="shared" si="5"/>
        <v>44704.36458333335</v>
      </c>
      <c r="B40" s="421">
        <f t="shared" si="8"/>
        <v>44704.36458333335</v>
      </c>
      <c r="C40" s="398">
        <v>0.13194444444444445</v>
      </c>
      <c r="D40" s="420"/>
      <c r="E40" s="421">
        <f t="shared" si="2"/>
        <v>44704.496527777796</v>
      </c>
      <c r="F40" s="429" t="s">
        <v>2645</v>
      </c>
      <c r="G40" s="275"/>
      <c r="H40" s="343"/>
      <c r="I40" s="343">
        <v>399.77915742793789</v>
      </c>
      <c r="J40" s="343"/>
      <c r="K40" s="343"/>
      <c r="L40" s="388">
        <f>SUM(H40:I40,K40)</f>
        <v>399.77915742793789</v>
      </c>
      <c r="M40" s="378"/>
    </row>
    <row r="41" spans="1:15" ht="15" customHeight="1" x14ac:dyDescent="0.25">
      <c r="A41" s="31">
        <f t="shared" si="5"/>
        <v>44704.496527777796</v>
      </c>
      <c r="B41" s="421">
        <f t="shared" si="8"/>
        <v>44704.496527777796</v>
      </c>
      <c r="C41" s="398">
        <v>0.13194444444444445</v>
      </c>
      <c r="D41" s="420"/>
      <c r="E41" s="421">
        <f t="shared" si="2"/>
        <v>44704.628472222241</v>
      </c>
      <c r="F41" s="429" t="s">
        <v>2646</v>
      </c>
      <c r="G41" s="275"/>
      <c r="H41" s="343"/>
      <c r="I41" s="343">
        <v>299.20776053215076</v>
      </c>
      <c r="J41" s="343"/>
      <c r="K41" s="343"/>
      <c r="L41" s="388">
        <f>SUM(H41:I41,K41)</f>
        <v>299.20776053215076</v>
      </c>
      <c r="M41" s="378"/>
      <c r="N41" s="1066" t="s">
        <v>624</v>
      </c>
      <c r="O41" s="1067"/>
    </row>
    <row r="42" spans="1:15" ht="15" customHeight="1" x14ac:dyDescent="0.25">
      <c r="A42" s="31">
        <f t="shared" si="5"/>
        <v>44704.628472222241</v>
      </c>
      <c r="B42" s="421">
        <f t="shared" si="8"/>
        <v>44704.628472222241</v>
      </c>
      <c r="C42" s="398">
        <v>0</v>
      </c>
      <c r="D42" s="420"/>
      <c r="E42" s="421" t="s">
        <v>99</v>
      </c>
      <c r="F42" s="924" t="s">
        <v>2637</v>
      </c>
      <c r="G42" s="275"/>
      <c r="H42" s="343"/>
      <c r="I42" s="343"/>
      <c r="J42" s="343"/>
      <c r="K42" s="343"/>
      <c r="L42" s="388"/>
      <c r="M42" s="378"/>
      <c r="N42" s="390" t="s">
        <v>681</v>
      </c>
      <c r="O42" s="343">
        <f>SUM(M41:M60)</f>
        <v>30.886520000000001</v>
      </c>
    </row>
    <row r="43" spans="1:15" ht="15" customHeight="1" x14ac:dyDescent="0.25">
      <c r="A43" s="31">
        <f t="shared" si="5"/>
        <v>44704.628472222241</v>
      </c>
      <c r="B43" s="421">
        <f t="shared" si="8"/>
        <v>44704.628472222241</v>
      </c>
      <c r="C43" s="398">
        <v>6.9444444444444434E-2</v>
      </c>
      <c r="D43" s="420" t="str">
        <f>IF(_xlfn.ISFORMULA(E43)=TRUE,"",E43-B43)</f>
        <v/>
      </c>
      <c r="E43" s="421">
        <f t="shared" si="2"/>
        <v>44704.697916666686</v>
      </c>
      <c r="F43" s="429" t="s">
        <v>656</v>
      </c>
      <c r="G43" s="275"/>
      <c r="H43" s="343"/>
      <c r="I43" s="343"/>
      <c r="J43" s="343"/>
      <c r="K43" s="343"/>
      <c r="L43" s="388"/>
      <c r="M43" s="378"/>
      <c r="N43" s="390" t="s">
        <v>2647</v>
      </c>
      <c r="O43" s="343">
        <f>SUM(I41:I60)</f>
        <v>717.59409090909082</v>
      </c>
    </row>
    <row r="44" spans="1:15" ht="15" customHeight="1" x14ac:dyDescent="0.25">
      <c r="A44" s="31">
        <f t="shared" si="5"/>
        <v>44704.697916666686</v>
      </c>
      <c r="B44" s="421">
        <f t="shared" si="8"/>
        <v>44704.697916666686</v>
      </c>
      <c r="C44" s="398">
        <v>1.3888888888888888E-2</v>
      </c>
      <c r="D44" s="420" t="str">
        <f>IF(_xlfn.ISFORMULA(E44)=TRUE,"",E44-B44)</f>
        <v/>
      </c>
      <c r="E44" s="421">
        <f t="shared" si="2"/>
        <v>44704.711805555577</v>
      </c>
      <c r="F44" s="429" t="s">
        <v>2677</v>
      </c>
      <c r="G44" s="275"/>
      <c r="H44" s="379">
        <v>126.26</v>
      </c>
      <c r="I44" s="380"/>
      <c r="J44" s="343"/>
      <c r="K44" s="343"/>
      <c r="L44" s="388">
        <f>SUM(H44:I44,K44)</f>
        <v>126.26</v>
      </c>
      <c r="M44" s="378"/>
      <c r="N44" s="390" t="s">
        <v>2651</v>
      </c>
      <c r="O44" s="343">
        <f>SUM(H41:H60)</f>
        <v>1612.4210131313132</v>
      </c>
    </row>
    <row r="45" spans="1:15" ht="15" customHeight="1" x14ac:dyDescent="0.25">
      <c r="A45" s="31">
        <f>IF(D44 = "",A44+C44,A44+D44)</f>
        <v>44704.711805555577</v>
      </c>
      <c r="B45" s="421">
        <f>IF(D44 = "",B44+C44,B44+D44)</f>
        <v>44704.711805555577</v>
      </c>
      <c r="C45" s="398">
        <v>1.3888888888888888E-2</v>
      </c>
      <c r="D45" s="420" t="str">
        <f>IF(_xlfn.ISFORMULA(E45)=TRUE,"",E45-B45)</f>
        <v/>
      </c>
      <c r="E45" s="421">
        <f t="shared" si="2"/>
        <v>44704.725694444467</v>
      </c>
      <c r="F45" s="429" t="s">
        <v>2678</v>
      </c>
      <c r="G45" s="275"/>
      <c r="H45" s="343"/>
      <c r="I45" s="343">
        <v>110.86474501108647</v>
      </c>
      <c r="J45" s="343"/>
      <c r="K45" s="343"/>
      <c r="L45" s="388">
        <f>SUM(H45:I45,K45)</f>
        <v>110.86474501108647</v>
      </c>
      <c r="M45" s="378"/>
      <c r="N45" s="390" t="s">
        <v>682</v>
      </c>
      <c r="O45" s="343">
        <f>SUM(L41:L60)</f>
        <v>2363.2565963873426</v>
      </c>
    </row>
    <row r="46" spans="1:15" s="267" customFormat="1" ht="15" customHeight="1" x14ac:dyDescent="0.25">
      <c r="A46" s="280" t="s">
        <v>664</v>
      </c>
      <c r="B46" s="280"/>
      <c r="C46" s="280"/>
      <c r="D46" s="280"/>
      <c r="E46" s="280"/>
      <c r="F46" s="280"/>
      <c r="G46" s="280"/>
      <c r="H46" s="381"/>
      <c r="I46" s="381"/>
      <c r="J46" s="381"/>
      <c r="K46" s="381"/>
      <c r="L46" s="391"/>
      <c r="M46" s="391"/>
    </row>
    <row r="47" spans="1:15" ht="15" customHeight="1" x14ac:dyDescent="0.25">
      <c r="A47" s="31">
        <f>IF(D45 = "",A45+C45,A45+D45)</f>
        <v>44704.725694444467</v>
      </c>
      <c r="B47" s="421">
        <f>IF(D45 = "",B45+C45,B45+D45)</f>
        <v>44704.725694444467</v>
      </c>
      <c r="C47" s="398">
        <v>0</v>
      </c>
      <c r="D47" s="420"/>
      <c r="E47" s="421">
        <f>B47+C47</f>
        <v>44704.725694444467</v>
      </c>
      <c r="F47" s="429" t="s">
        <v>2677</v>
      </c>
      <c r="G47" s="275"/>
      <c r="H47" s="343"/>
      <c r="I47" s="343"/>
      <c r="J47" s="343"/>
      <c r="K47" s="343"/>
      <c r="L47" s="388"/>
      <c r="M47" s="378"/>
    </row>
    <row r="48" spans="1:15" ht="15" customHeight="1" x14ac:dyDescent="0.25">
      <c r="A48" s="31">
        <f>IF(D47 = "",A47+C47,A47+D47)</f>
        <v>44704.725694444467</v>
      </c>
      <c r="B48" s="421">
        <f>IF(D47 = "",B47+C47,B47+D47)</f>
        <v>44704.725694444467</v>
      </c>
      <c r="C48" s="398">
        <v>0</v>
      </c>
      <c r="D48" s="420"/>
      <c r="E48" s="421">
        <f t="shared" ref="E48:E65" si="9">B48+C48</f>
        <v>44704.725694444467</v>
      </c>
      <c r="F48" s="429" t="s">
        <v>2678</v>
      </c>
      <c r="G48" s="275"/>
      <c r="H48" s="343"/>
      <c r="I48" s="343"/>
      <c r="J48" s="343"/>
      <c r="K48" s="343"/>
      <c r="L48" s="388"/>
      <c r="M48" s="378"/>
    </row>
    <row r="49" spans="1:15" ht="15" customHeight="1" x14ac:dyDescent="0.25">
      <c r="A49" s="31">
        <f t="shared" ref="A49:A77" si="10">IF(D48 = "",A48+C48,A48+D48)</f>
        <v>44704.725694444467</v>
      </c>
      <c r="B49" s="421">
        <f t="shared" ref="B49:B77" si="11">IF(D48 = "",B48+C48,B48+D48)</f>
        <v>44704.725694444467</v>
      </c>
      <c r="C49" s="398">
        <v>7.6388888888888895E-2</v>
      </c>
      <c r="D49" s="420" t="str">
        <f t="shared" ref="D49:D61" si="12">IF(_xlfn.ISFORMULA(E49)=TRUE,"",E49-B49)</f>
        <v/>
      </c>
      <c r="E49" s="421">
        <f t="shared" si="9"/>
        <v>44704.802083333358</v>
      </c>
      <c r="F49" s="288" t="s">
        <v>2453</v>
      </c>
      <c r="G49" s="275"/>
      <c r="H49" s="343"/>
      <c r="I49" s="343">
        <v>149.55654101995566</v>
      </c>
      <c r="J49" s="343"/>
      <c r="K49" s="343"/>
      <c r="L49" s="388">
        <f>SUM(H49:I49,K49)</f>
        <v>149.55654101995566</v>
      </c>
      <c r="M49" s="378"/>
    </row>
    <row r="50" spans="1:15" ht="15" hidden="1" customHeight="1" x14ac:dyDescent="0.25">
      <c r="A50" s="31">
        <f t="shared" si="10"/>
        <v>44704.802083333358</v>
      </c>
      <c r="B50" s="421">
        <f t="shared" si="11"/>
        <v>44704.802083333358</v>
      </c>
      <c r="C50" s="423">
        <v>0</v>
      </c>
      <c r="D50" s="420" t="str">
        <f t="shared" si="12"/>
        <v/>
      </c>
      <c r="E50" s="421">
        <f t="shared" si="9"/>
        <v>44704.802083333358</v>
      </c>
      <c r="F50" s="926" t="s">
        <v>2679</v>
      </c>
      <c r="G50" s="275"/>
      <c r="H50" s="343"/>
      <c r="I50" s="343"/>
      <c r="J50" s="343">
        <v>30.886520000000001</v>
      </c>
      <c r="K50" s="343"/>
      <c r="L50" s="388"/>
      <c r="M50" s="378">
        <f>J50</f>
        <v>30.886520000000001</v>
      </c>
    </row>
    <row r="51" spans="1:15" ht="15" hidden="1" customHeight="1" x14ac:dyDescent="0.25">
      <c r="A51" s="31">
        <f t="shared" si="10"/>
        <v>44704.802083333358</v>
      </c>
      <c r="B51" s="421">
        <f t="shared" si="11"/>
        <v>44704.802083333358</v>
      </c>
      <c r="C51" s="423">
        <v>0</v>
      </c>
      <c r="D51" s="420" t="str">
        <f t="shared" si="12"/>
        <v/>
      </c>
      <c r="E51" s="421">
        <f t="shared" si="9"/>
        <v>44704.802083333358</v>
      </c>
      <c r="F51" s="926" t="s">
        <v>2680</v>
      </c>
      <c r="G51" s="275"/>
      <c r="H51" s="343"/>
      <c r="I51" s="343"/>
      <c r="J51" s="343"/>
      <c r="K51" s="343">
        <v>33.241492346938777</v>
      </c>
      <c r="L51" s="388">
        <f t="shared" ref="L51:L60" si="13">SUM(H51:I51,K51)</f>
        <v>33.241492346938777</v>
      </c>
      <c r="M51" s="378"/>
    </row>
    <row r="52" spans="1:15" ht="15" hidden="1" customHeight="1" x14ac:dyDescent="0.25">
      <c r="A52" s="31">
        <f t="shared" si="10"/>
        <v>44704.802083333358</v>
      </c>
      <c r="B52" s="421">
        <f t="shared" si="11"/>
        <v>44704.802083333358</v>
      </c>
      <c r="C52" s="423">
        <v>0</v>
      </c>
      <c r="D52" s="420" t="str">
        <f t="shared" si="12"/>
        <v/>
      </c>
      <c r="E52" s="421">
        <f t="shared" si="9"/>
        <v>44704.802083333358</v>
      </c>
      <c r="F52" s="926" t="s">
        <v>2681</v>
      </c>
      <c r="G52" s="275"/>
      <c r="H52" s="343"/>
      <c r="I52" s="343">
        <v>31.659944567627491</v>
      </c>
      <c r="J52" s="343"/>
      <c r="K52" s="343"/>
      <c r="L52" s="388">
        <f t="shared" si="13"/>
        <v>31.659944567627491</v>
      </c>
      <c r="M52" s="378"/>
    </row>
    <row r="53" spans="1:15" ht="15" hidden="1" customHeight="1" x14ac:dyDescent="0.25">
      <c r="A53" s="563">
        <f t="shared" si="10"/>
        <v>44704.802083333358</v>
      </c>
      <c r="B53" s="607">
        <f t="shared" si="11"/>
        <v>44704.802083333358</v>
      </c>
      <c r="C53" s="608">
        <v>0</v>
      </c>
      <c r="D53" s="609"/>
      <c r="E53" s="607">
        <f t="shared" si="9"/>
        <v>44704.802083333358</v>
      </c>
      <c r="F53" s="610" t="s">
        <v>693</v>
      </c>
      <c r="G53" s="611"/>
      <c r="H53" s="612"/>
      <c r="I53" s="612"/>
      <c r="J53" s="612"/>
      <c r="K53" s="612"/>
      <c r="L53" s="613"/>
      <c r="M53" s="614"/>
    </row>
    <row r="54" spans="1:15" ht="15" customHeight="1" x14ac:dyDescent="0.25">
      <c r="A54" s="31">
        <f t="shared" si="10"/>
        <v>44704.802083333358</v>
      </c>
      <c r="B54" s="421">
        <f t="shared" si="11"/>
        <v>44704.802083333358</v>
      </c>
      <c r="C54" s="398">
        <v>1.3888888888888888E-2</v>
      </c>
      <c r="D54" s="420" t="str">
        <f t="shared" si="12"/>
        <v/>
      </c>
      <c r="E54" s="421">
        <f t="shared" si="9"/>
        <v>44704.815972222248</v>
      </c>
      <c r="F54" s="288" t="s">
        <v>2467</v>
      </c>
      <c r="G54" s="275"/>
      <c r="H54" s="343"/>
      <c r="I54" s="343">
        <v>126.3050997782705</v>
      </c>
      <c r="J54" s="343"/>
      <c r="K54" s="343"/>
      <c r="L54" s="388">
        <f t="shared" si="13"/>
        <v>126.3050997782705</v>
      </c>
      <c r="M54" s="378"/>
    </row>
    <row r="55" spans="1:15" ht="15" customHeight="1" x14ac:dyDescent="0.25">
      <c r="A55" s="31">
        <f t="shared" si="10"/>
        <v>44704.815972222248</v>
      </c>
      <c r="B55" s="421">
        <f t="shared" si="11"/>
        <v>44704.815972222248</v>
      </c>
      <c r="C55" s="423">
        <v>1.3888888888888888E-2</v>
      </c>
      <c r="D55" s="420" t="str">
        <f t="shared" si="12"/>
        <v/>
      </c>
      <c r="E55" s="421">
        <f t="shared" si="9"/>
        <v>44704.829861111139</v>
      </c>
      <c r="F55" s="288" t="s">
        <v>619</v>
      </c>
      <c r="G55" s="275"/>
      <c r="H55" s="343">
        <v>46.870950000000001</v>
      </c>
      <c r="I55" s="343"/>
      <c r="J55" s="343"/>
      <c r="K55" s="343"/>
      <c r="L55" s="388">
        <f t="shared" si="13"/>
        <v>46.870950000000001</v>
      </c>
      <c r="M55" s="378"/>
    </row>
    <row r="56" spans="1:15" ht="15" customHeight="1" x14ac:dyDescent="0.25">
      <c r="A56" s="31">
        <f t="shared" si="10"/>
        <v>44704.829861111139</v>
      </c>
      <c r="B56" s="421">
        <f t="shared" si="11"/>
        <v>44704.829861111139</v>
      </c>
      <c r="C56" s="423">
        <v>3.125E-2</v>
      </c>
      <c r="D56" s="420" t="str">
        <f t="shared" si="12"/>
        <v/>
      </c>
      <c r="E56" s="421">
        <f t="shared" si="9"/>
        <v>44704.861111111139</v>
      </c>
      <c r="F56" s="288" t="s">
        <v>2489</v>
      </c>
      <c r="G56" s="275"/>
      <c r="H56" s="343">
        <v>539.29006313131322</v>
      </c>
      <c r="I56" s="343"/>
      <c r="J56" s="343"/>
      <c r="K56" s="343"/>
      <c r="L56" s="388">
        <f t="shared" si="13"/>
        <v>539.29006313131322</v>
      </c>
      <c r="M56" s="378"/>
    </row>
    <row r="57" spans="1:15" ht="15" hidden="1" customHeight="1" x14ac:dyDescent="0.25">
      <c r="A57" s="604">
        <f t="shared" si="10"/>
        <v>44704.861111111139</v>
      </c>
      <c r="B57" s="650">
        <f t="shared" si="11"/>
        <v>44704.861111111139</v>
      </c>
      <c r="C57" s="608">
        <v>0</v>
      </c>
      <c r="D57" s="609"/>
      <c r="E57" s="650">
        <f t="shared" si="9"/>
        <v>44704.861111111139</v>
      </c>
      <c r="F57" s="610" t="s">
        <v>693</v>
      </c>
      <c r="G57" s="611"/>
      <c r="H57" s="612"/>
      <c r="I57" s="612"/>
      <c r="J57" s="612"/>
      <c r="K57" s="612"/>
      <c r="L57" s="613"/>
      <c r="M57" s="614"/>
    </row>
    <row r="58" spans="1:15" ht="15" customHeight="1" x14ac:dyDescent="0.25">
      <c r="A58" s="31">
        <f t="shared" si="10"/>
        <v>44704.861111111139</v>
      </c>
      <c r="B58" s="421">
        <f t="shared" si="11"/>
        <v>44704.861111111139</v>
      </c>
      <c r="C58" s="423">
        <v>0.29166666666666669</v>
      </c>
      <c r="D58" s="420" t="str">
        <f t="shared" si="12"/>
        <v/>
      </c>
      <c r="E58" s="421">
        <f t="shared" si="9"/>
        <v>44705.152777777803</v>
      </c>
      <c r="F58" s="288" t="s">
        <v>2456</v>
      </c>
      <c r="G58" s="275"/>
      <c r="H58" s="343">
        <v>450</v>
      </c>
      <c r="I58" s="343"/>
      <c r="J58" s="343"/>
      <c r="K58" s="343"/>
      <c r="L58" s="388">
        <f t="shared" si="13"/>
        <v>450</v>
      </c>
      <c r="M58" s="378"/>
    </row>
    <row r="59" spans="1:15" ht="15" hidden="1" customHeight="1" x14ac:dyDescent="0.25">
      <c r="A59" s="604">
        <f t="shared" si="10"/>
        <v>44705.152777777803</v>
      </c>
      <c r="B59" s="650">
        <f>IF(D58 = "",B58+C58,B58+D58)</f>
        <v>44705.152777777803</v>
      </c>
      <c r="C59" s="608">
        <v>0</v>
      </c>
      <c r="D59" s="609"/>
      <c r="E59" s="650">
        <f t="shared" si="9"/>
        <v>44705.152777777803</v>
      </c>
      <c r="F59" s="610" t="s">
        <v>693</v>
      </c>
      <c r="G59" s="611"/>
      <c r="H59" s="612"/>
      <c r="I59" s="612"/>
      <c r="J59" s="612"/>
      <c r="K59" s="612"/>
      <c r="L59" s="613"/>
      <c r="M59" s="614"/>
    </row>
    <row r="60" spans="1:15" ht="15" customHeight="1" x14ac:dyDescent="0.25">
      <c r="A60" s="31">
        <f t="shared" si="10"/>
        <v>44705.152777777803</v>
      </c>
      <c r="B60" s="421">
        <f t="shared" si="11"/>
        <v>44705.152777777803</v>
      </c>
      <c r="C60" s="398">
        <v>0.29166666666666669</v>
      </c>
      <c r="D60" s="420" t="str">
        <f t="shared" si="12"/>
        <v/>
      </c>
      <c r="E60" s="421">
        <f t="shared" si="9"/>
        <v>44705.444444444467</v>
      </c>
      <c r="F60" s="288" t="s">
        <v>2459</v>
      </c>
      <c r="G60" s="275"/>
      <c r="H60" s="382">
        <v>450</v>
      </c>
      <c r="I60" s="343"/>
      <c r="J60" s="343"/>
      <c r="K60" s="343"/>
      <c r="L60" s="388">
        <f t="shared" si="13"/>
        <v>450</v>
      </c>
      <c r="M60" s="378"/>
    </row>
    <row r="61" spans="1:15" ht="15" customHeight="1" x14ac:dyDescent="0.25">
      <c r="A61" s="31">
        <f t="shared" si="10"/>
        <v>44705.444444444467</v>
      </c>
      <c r="B61" s="421">
        <f t="shared" si="11"/>
        <v>44705.444444444467</v>
      </c>
      <c r="C61" s="398">
        <v>9.375E-2</v>
      </c>
      <c r="D61" s="420" t="str">
        <f t="shared" si="12"/>
        <v/>
      </c>
      <c r="E61" s="421">
        <f t="shared" si="9"/>
        <v>44705.538194444467</v>
      </c>
      <c r="F61" s="288" t="s">
        <v>647</v>
      </c>
      <c r="G61" s="275"/>
      <c r="H61" s="382"/>
      <c r="I61" s="343"/>
      <c r="J61" s="343"/>
      <c r="K61" s="343"/>
      <c r="L61" s="388"/>
      <c r="M61" s="378"/>
      <c r="N61" s="1067" t="s">
        <v>630</v>
      </c>
      <c r="O61" s="1067"/>
    </row>
    <row r="62" spans="1:15" ht="15" customHeight="1" x14ac:dyDescent="0.25">
      <c r="A62" s="31">
        <f>IF(D61 = "",A61+C61,A61+D61)</f>
        <v>44705.538194444467</v>
      </c>
      <c r="B62" s="421">
        <f>IF(D61 = "",B61+C61,B61+D61)</f>
        <v>44705.538194444467</v>
      </c>
      <c r="C62" s="398">
        <v>7.6388888888888895E-2</v>
      </c>
      <c r="D62" s="420" t="str">
        <f>IF(_xlfn.ISFORMULA(E62)=TRUE,"",E62-B62)</f>
        <v/>
      </c>
      <c r="E62" s="421">
        <f t="shared" si="9"/>
        <v>44705.614583333358</v>
      </c>
      <c r="F62" s="288" t="s">
        <v>642</v>
      </c>
      <c r="G62" s="275"/>
      <c r="H62" s="343">
        <v>783.30669191919196</v>
      </c>
      <c r="I62" s="343"/>
      <c r="J62" s="343"/>
      <c r="K62" s="343"/>
      <c r="L62" s="388">
        <f>SUM(H62:I62,K62)</f>
        <v>783.30669191919196</v>
      </c>
      <c r="M62" s="378"/>
      <c r="N62" s="390" t="s">
        <v>2651</v>
      </c>
      <c r="O62" s="343">
        <f>SUM(H61:H72)</f>
        <v>832.03661616161617</v>
      </c>
    </row>
    <row r="63" spans="1:15" ht="15" customHeight="1" x14ac:dyDescent="0.25">
      <c r="A63" s="31">
        <f t="shared" si="10"/>
        <v>44705.614583333358</v>
      </c>
      <c r="B63" s="421">
        <f t="shared" si="11"/>
        <v>44705.614583333358</v>
      </c>
      <c r="C63" s="398">
        <v>0.10416666666666667</v>
      </c>
      <c r="D63" s="420" t="str">
        <f>IF(_xlfn.ISFORMULA(E63)=TRUE,"",E63-B63)</f>
        <v/>
      </c>
      <c r="E63" s="421">
        <f t="shared" si="9"/>
        <v>44705.718750000022</v>
      </c>
      <c r="F63" s="288" t="s">
        <v>647</v>
      </c>
      <c r="G63" s="275"/>
      <c r="H63" s="343"/>
      <c r="I63" s="343"/>
      <c r="J63" s="343"/>
      <c r="K63" s="343"/>
      <c r="L63" s="388"/>
      <c r="M63" s="378"/>
      <c r="N63" s="390" t="s">
        <v>2682</v>
      </c>
      <c r="O63" s="343">
        <f>SUM(I61:I72)</f>
        <v>1265.3009831485588</v>
      </c>
    </row>
    <row r="64" spans="1:15" ht="15" customHeight="1" x14ac:dyDescent="0.25">
      <c r="A64" s="31">
        <f t="shared" si="10"/>
        <v>44705.718750000022</v>
      </c>
      <c r="B64" s="421">
        <f t="shared" si="11"/>
        <v>44705.718750000022</v>
      </c>
      <c r="C64" s="398">
        <v>6.25E-2</v>
      </c>
      <c r="D64" s="420"/>
      <c r="E64" s="421">
        <f t="shared" si="9"/>
        <v>44705.781250000022</v>
      </c>
      <c r="F64" s="288" t="s">
        <v>648</v>
      </c>
      <c r="G64" s="275"/>
      <c r="H64" s="343"/>
      <c r="I64" s="343"/>
      <c r="J64" s="343"/>
      <c r="K64" s="343"/>
      <c r="L64" s="388"/>
      <c r="M64" s="378"/>
      <c r="N64" s="390" t="s">
        <v>682</v>
      </c>
      <c r="O64" s="343">
        <f>SUM(L61:L72)</f>
        <v>2097.3375993101749</v>
      </c>
    </row>
    <row r="65" spans="1:15" ht="15" customHeight="1" x14ac:dyDescent="0.25">
      <c r="A65" s="31">
        <f t="shared" si="10"/>
        <v>44705.781250000022</v>
      </c>
      <c r="B65" s="421">
        <f t="shared" si="11"/>
        <v>44705.781250000022</v>
      </c>
      <c r="C65" s="398">
        <v>3.4722222222222224E-2</v>
      </c>
      <c r="D65" s="420" t="str">
        <f>IF(_xlfn.ISFORMULA(E65)=TRUE,"",E65-B65)</f>
        <v/>
      </c>
      <c r="E65" s="421">
        <f t="shared" si="9"/>
        <v>44705.815972222241</v>
      </c>
      <c r="F65" s="288" t="s">
        <v>2463</v>
      </c>
      <c r="G65" s="275"/>
      <c r="H65" s="343">
        <v>48.729924242424239</v>
      </c>
      <c r="I65" s="343"/>
      <c r="J65" s="343"/>
      <c r="K65" s="343"/>
      <c r="L65" s="343">
        <v>48.729924242424239</v>
      </c>
      <c r="M65" s="378"/>
      <c r="N65" s="441"/>
      <c r="O65" s="442"/>
    </row>
    <row r="66" spans="1:15" ht="15" customHeight="1" x14ac:dyDescent="0.25">
      <c r="A66" s="31">
        <f t="shared" si="10"/>
        <v>44705.815972222241</v>
      </c>
      <c r="B66" s="421">
        <f t="shared" si="11"/>
        <v>44705.815972222241</v>
      </c>
      <c r="C66" s="398">
        <v>0</v>
      </c>
      <c r="D66" s="420"/>
      <c r="E66" s="421" t="s">
        <v>99</v>
      </c>
      <c r="F66" s="294" t="s">
        <v>2683</v>
      </c>
      <c r="G66" s="275"/>
      <c r="H66" s="343"/>
      <c r="I66" s="343"/>
      <c r="J66" s="343"/>
      <c r="K66" s="343"/>
      <c r="L66" s="343"/>
      <c r="M66" s="378"/>
    </row>
    <row r="67" spans="1:15" ht="15" customHeight="1" x14ac:dyDescent="0.25">
      <c r="A67" s="31">
        <f t="shared" si="10"/>
        <v>44705.815972222241</v>
      </c>
      <c r="B67" s="421">
        <f t="shared" si="11"/>
        <v>44705.815972222241</v>
      </c>
      <c r="C67" s="398">
        <v>8.3333333333333329E-2</v>
      </c>
      <c r="D67" s="420"/>
      <c r="E67" s="421">
        <f t="shared" si="2"/>
        <v>44705.899305555577</v>
      </c>
      <c r="F67" s="288" t="s">
        <v>647</v>
      </c>
      <c r="G67" s="275"/>
      <c r="H67" s="343"/>
      <c r="I67" s="343"/>
      <c r="J67" s="343"/>
      <c r="K67" s="343"/>
      <c r="L67" s="388"/>
      <c r="M67" s="378"/>
    </row>
    <row r="68" spans="1:15" ht="15" customHeight="1" x14ac:dyDescent="0.25">
      <c r="A68" s="31">
        <f t="shared" si="10"/>
        <v>44705.899305555577</v>
      </c>
      <c r="B68" s="421">
        <f t="shared" si="11"/>
        <v>44705.899305555577</v>
      </c>
      <c r="C68" s="398">
        <v>2.7777777777777776E-2</v>
      </c>
      <c r="D68" s="420" t="str">
        <f t="shared" ref="D68:D74" si="14">IF(_xlfn.ISFORMULA(E68)=TRUE,"",E68-B68)</f>
        <v/>
      </c>
      <c r="E68" s="421">
        <f t="shared" si="2"/>
        <v>44705.927083333358</v>
      </c>
      <c r="F68" s="288" t="s">
        <v>632</v>
      </c>
      <c r="G68" s="275"/>
      <c r="H68" s="343"/>
      <c r="I68" s="343">
        <v>53.22811529933481</v>
      </c>
      <c r="J68" s="343"/>
      <c r="K68" s="343"/>
      <c r="L68" s="388">
        <f>SUM(H68:I68,K68)</f>
        <v>53.22811529933481</v>
      </c>
      <c r="M68" s="378"/>
    </row>
    <row r="69" spans="1:15" ht="15" customHeight="1" x14ac:dyDescent="0.25">
      <c r="A69" s="31">
        <f t="shared" si="10"/>
        <v>44705.927083333358</v>
      </c>
      <c r="B69" s="421">
        <f t="shared" si="11"/>
        <v>44705.927083333358</v>
      </c>
      <c r="C69" s="398">
        <v>0.125</v>
      </c>
      <c r="D69" s="420" t="str">
        <f t="shared" si="14"/>
        <v/>
      </c>
      <c r="E69" s="421">
        <f t="shared" si="2"/>
        <v>44706.052083333358</v>
      </c>
      <c r="F69" s="288" t="s">
        <v>2643</v>
      </c>
      <c r="G69" s="275"/>
      <c r="H69" s="343"/>
      <c r="I69" s="343">
        <v>402.40454545454548</v>
      </c>
      <c r="J69" s="343"/>
      <c r="K69" s="343"/>
      <c r="L69" s="388">
        <f>SUM(H69:I69,K69)</f>
        <v>402.40454545454548</v>
      </c>
      <c r="M69" s="378"/>
    </row>
    <row r="70" spans="1:15" ht="15" customHeight="1" x14ac:dyDescent="0.25">
      <c r="A70" s="31">
        <f t="shared" si="10"/>
        <v>44706.052083333358</v>
      </c>
      <c r="B70" s="421">
        <f t="shared" si="11"/>
        <v>44706.052083333358</v>
      </c>
      <c r="C70" s="398">
        <v>0.125</v>
      </c>
      <c r="D70" s="420"/>
      <c r="E70" s="421">
        <f t="shared" si="2"/>
        <v>44706.177083333358</v>
      </c>
      <c r="F70" s="273" t="s">
        <v>2644</v>
      </c>
      <c r="G70" s="275"/>
      <c r="H70" s="343"/>
      <c r="I70" s="343">
        <v>401.28492239467846</v>
      </c>
      <c r="J70" s="343"/>
      <c r="K70" s="343"/>
      <c r="L70" s="388">
        <f>SUM(H70:I70,K70)</f>
        <v>401.28492239467846</v>
      </c>
      <c r="M70" s="378"/>
    </row>
    <row r="71" spans="1:15" ht="15" hidden="1" customHeight="1" x14ac:dyDescent="0.25">
      <c r="A71" s="563">
        <f t="shared" si="10"/>
        <v>44706.177083333358</v>
      </c>
      <c r="B71" s="607">
        <f t="shared" si="11"/>
        <v>44706.177083333358</v>
      </c>
      <c r="C71" s="609"/>
      <c r="D71" s="609"/>
      <c r="E71" s="607"/>
      <c r="F71" s="724" t="s">
        <v>2675</v>
      </c>
      <c r="G71" s="275"/>
      <c r="H71" s="343"/>
      <c r="I71" s="343"/>
      <c r="J71" s="343"/>
      <c r="K71" s="343"/>
      <c r="L71" s="388"/>
      <c r="M71" s="378"/>
    </row>
    <row r="72" spans="1:15" ht="15" customHeight="1" x14ac:dyDescent="0.25">
      <c r="A72" s="31">
        <f t="shared" si="10"/>
        <v>44706.177083333358</v>
      </c>
      <c r="B72" s="421">
        <f t="shared" si="11"/>
        <v>44706.177083333358</v>
      </c>
      <c r="C72" s="398">
        <v>0.125</v>
      </c>
      <c r="D72" s="420"/>
      <c r="E72" s="421">
        <f t="shared" si="2"/>
        <v>44706.302083333358</v>
      </c>
      <c r="F72" s="288" t="s">
        <v>2645</v>
      </c>
      <c r="G72" s="275"/>
      <c r="H72" s="343"/>
      <c r="I72" s="343">
        <v>408.38339999999999</v>
      </c>
      <c r="J72" s="343"/>
      <c r="K72" s="343"/>
      <c r="L72" s="388">
        <f>SUM(H72:I72,K72)</f>
        <v>408.38339999999999</v>
      </c>
      <c r="M72" s="378"/>
    </row>
    <row r="73" spans="1:15" ht="15" customHeight="1" x14ac:dyDescent="0.25">
      <c r="A73" s="31">
        <f t="shared" si="10"/>
        <v>44706.302083333358</v>
      </c>
      <c r="B73" s="421">
        <f t="shared" si="11"/>
        <v>44706.302083333358</v>
      </c>
      <c r="C73" s="398">
        <v>0.125</v>
      </c>
      <c r="D73" s="420"/>
      <c r="E73" s="421">
        <f t="shared" si="2"/>
        <v>44706.427083333358</v>
      </c>
      <c r="F73" s="288" t="s">
        <v>2646</v>
      </c>
      <c r="G73" s="275"/>
      <c r="H73" s="343"/>
      <c r="I73" s="343">
        <v>302.87261640798226</v>
      </c>
      <c r="J73" s="343"/>
      <c r="K73" s="343"/>
      <c r="L73" s="388">
        <f>SUM(H73:I73,K73)</f>
        <v>302.87261640798226</v>
      </c>
      <c r="M73" s="378"/>
      <c r="N73" s="1066" t="s">
        <v>644</v>
      </c>
      <c r="O73" s="1067"/>
    </row>
    <row r="74" spans="1:15" ht="15" customHeight="1" x14ac:dyDescent="0.25">
      <c r="A74" s="31">
        <f t="shared" si="10"/>
        <v>44706.427083333358</v>
      </c>
      <c r="B74" s="421">
        <f t="shared" si="11"/>
        <v>44706.427083333358</v>
      </c>
      <c r="C74" s="398">
        <v>2.7777777777777776E-2</v>
      </c>
      <c r="D74" s="420" t="str">
        <f t="shared" si="14"/>
        <v/>
      </c>
      <c r="E74" s="421">
        <f t="shared" si="2"/>
        <v>44706.454861111139</v>
      </c>
      <c r="F74" s="288" t="s">
        <v>2463</v>
      </c>
      <c r="G74" s="275"/>
      <c r="H74" s="343"/>
      <c r="I74" s="343"/>
      <c r="J74" s="343"/>
      <c r="K74" s="343"/>
      <c r="L74" s="388"/>
      <c r="M74" s="378"/>
      <c r="N74" s="390" t="s">
        <v>2651</v>
      </c>
      <c r="O74" s="343">
        <f>SUM(H73:H89)</f>
        <v>2035.7442431313132</v>
      </c>
    </row>
    <row r="75" spans="1:15" ht="15" customHeight="1" x14ac:dyDescent="0.25">
      <c r="A75" s="31">
        <f t="shared" si="10"/>
        <v>44706.454861111139</v>
      </c>
      <c r="B75" s="421">
        <f t="shared" si="11"/>
        <v>44706.454861111139</v>
      </c>
      <c r="C75" s="398">
        <v>0</v>
      </c>
      <c r="D75" s="420">
        <v>9.0277777777777776E-2</v>
      </c>
      <c r="E75" s="421" t="s">
        <v>99</v>
      </c>
      <c r="F75" s="294" t="s">
        <v>2639</v>
      </c>
      <c r="G75" s="275"/>
      <c r="H75" s="343"/>
      <c r="I75" s="343"/>
      <c r="J75" s="343"/>
      <c r="K75" s="343"/>
      <c r="L75" s="388"/>
      <c r="M75" s="378"/>
      <c r="N75" s="390" t="s">
        <v>2647</v>
      </c>
      <c r="O75" s="343">
        <f>SUM(I73:I89)</f>
        <v>420.96718403547675</v>
      </c>
    </row>
    <row r="76" spans="1:15" ht="15" customHeight="1" x14ac:dyDescent="0.25">
      <c r="A76" s="31">
        <f t="shared" si="10"/>
        <v>44706.54513888892</v>
      </c>
      <c r="B76" s="421">
        <f t="shared" si="11"/>
        <v>44706.54513888892</v>
      </c>
      <c r="C76" s="423">
        <v>0.10416666666666667</v>
      </c>
      <c r="D76" s="420" t="str">
        <f>IF(_xlfn.ISFORMULA(E76)=TRUE,"",E76-B76)</f>
        <v/>
      </c>
      <c r="E76" s="421">
        <f t="shared" si="2"/>
        <v>44706.649305555584</v>
      </c>
      <c r="F76" s="273" t="s">
        <v>656</v>
      </c>
      <c r="G76" s="275"/>
      <c r="H76" s="343"/>
      <c r="I76" s="343"/>
      <c r="J76" s="343"/>
      <c r="K76" s="343"/>
      <c r="L76" s="388"/>
      <c r="M76" s="378"/>
      <c r="N76" s="390" t="s">
        <v>682</v>
      </c>
      <c r="O76" s="343">
        <f>SUM(L73:L89)</f>
        <v>2456.7114271667897</v>
      </c>
    </row>
    <row r="77" spans="1:15" ht="15" customHeight="1" x14ac:dyDescent="0.25">
      <c r="A77" s="31">
        <f t="shared" si="10"/>
        <v>44706.649305555584</v>
      </c>
      <c r="B77" s="421">
        <f t="shared" si="11"/>
        <v>44706.649305555584</v>
      </c>
      <c r="C77" s="423">
        <v>1.3888888888888888E-2</v>
      </c>
      <c r="D77" s="420" t="str">
        <f t="shared" ref="D77" si="15">IF(_xlfn.ISFORMULA(E77)=TRUE,"",E77-B77)</f>
        <v/>
      </c>
      <c r="E77" s="421">
        <f t="shared" si="2"/>
        <v>44706.663194444474</v>
      </c>
      <c r="F77" s="288" t="s">
        <v>2472</v>
      </c>
      <c r="G77" s="275"/>
      <c r="H77" s="343">
        <v>133.60631313131313</v>
      </c>
      <c r="I77" s="343"/>
      <c r="J77" s="343"/>
      <c r="K77" s="343"/>
      <c r="L77" s="388">
        <f>SUM(H77:I77,K77)</f>
        <v>133.60631313131313</v>
      </c>
      <c r="M77" s="378"/>
    </row>
    <row r="78" spans="1:15" ht="15" customHeight="1" x14ac:dyDescent="0.25">
      <c r="A78" s="31">
        <f>IF(D77 = "",A77+C77,A77+D77)</f>
        <v>44706.663194444474</v>
      </c>
      <c r="B78" s="421">
        <f>IF(D77 = "",B77+C77,B77+D77)</f>
        <v>44706.663194444474</v>
      </c>
      <c r="C78" s="398">
        <v>1.3888888888888888E-2</v>
      </c>
      <c r="D78" s="420" t="str">
        <f>IF(_xlfn.ISFORMULA(E78)=TRUE,"",E78-B78)</f>
        <v/>
      </c>
      <c r="E78" s="421">
        <f t="shared" si="2"/>
        <v>44706.677083333365</v>
      </c>
      <c r="F78" s="288" t="s">
        <v>2549</v>
      </c>
      <c r="G78" s="275"/>
      <c r="H78" s="343"/>
      <c r="I78" s="343">
        <v>118.09456762749446</v>
      </c>
      <c r="J78" s="343"/>
      <c r="K78" s="343"/>
      <c r="L78" s="388">
        <f>SUM(H78:I78,K78)</f>
        <v>118.09456762749446</v>
      </c>
      <c r="M78" s="378"/>
    </row>
    <row r="79" spans="1:15" ht="15" customHeight="1" x14ac:dyDescent="0.25">
      <c r="A79" s="1070" t="s">
        <v>640</v>
      </c>
      <c r="B79" s="1070"/>
      <c r="C79" s="1070"/>
      <c r="D79" s="1070"/>
      <c r="E79" s="1070"/>
      <c r="F79" s="1070"/>
      <c r="G79" s="1071"/>
      <c r="H79" s="383"/>
      <c r="I79" s="383"/>
      <c r="J79" s="383"/>
      <c r="K79" s="383"/>
      <c r="L79" s="389"/>
      <c r="M79" s="383"/>
    </row>
    <row r="80" spans="1:15" ht="15" customHeight="1" x14ac:dyDescent="0.25">
      <c r="A80" s="31">
        <f>IF(D78 = "",A78+C78,A78+D78)</f>
        <v>44706.677083333365</v>
      </c>
      <c r="B80" s="421">
        <f>IF(D78 = "",B78+C78,B78+D78)</f>
        <v>44706.677083333365</v>
      </c>
      <c r="C80" s="431">
        <v>0</v>
      </c>
      <c r="D80" s="420"/>
      <c r="E80" s="421">
        <f>B80+C80</f>
        <v>44706.677083333365</v>
      </c>
      <c r="F80" s="288" t="s">
        <v>2472</v>
      </c>
      <c r="G80" s="275"/>
      <c r="H80" s="343"/>
      <c r="I80" s="343"/>
      <c r="J80" s="343"/>
      <c r="K80" s="343"/>
      <c r="L80" s="388"/>
      <c r="M80" s="378"/>
    </row>
    <row r="81" spans="1:15" ht="15" customHeight="1" x14ac:dyDescent="0.25">
      <c r="A81" s="31">
        <f>IF(D80 = "",A80+C80,A80+D80)</f>
        <v>44706.677083333365</v>
      </c>
      <c r="B81" s="421">
        <f>IF(D80 = "",B80+C80,B80+D80)</f>
        <v>44706.677083333365</v>
      </c>
      <c r="C81" s="431">
        <v>0</v>
      </c>
      <c r="D81" s="420"/>
      <c r="E81" s="421">
        <f t="shared" ref="E81:E94" si="16">B81+C81</f>
        <v>44706.677083333365</v>
      </c>
      <c r="F81" s="288" t="s">
        <v>2549</v>
      </c>
      <c r="G81" s="275"/>
      <c r="H81" s="343"/>
      <c r="I81" s="343"/>
      <c r="J81" s="343"/>
      <c r="K81" s="343"/>
      <c r="L81" s="388"/>
      <c r="M81" s="378"/>
    </row>
    <row r="82" spans="1:15" ht="15" customHeight="1" x14ac:dyDescent="0.25">
      <c r="A82" s="31">
        <f t="shared" ref="A82:A95" si="17">IF(D81 = "",A81+C81,A81+D81)</f>
        <v>44706.677083333365</v>
      </c>
      <c r="B82" s="421">
        <f t="shared" ref="B82:B95" si="18">IF(D81 = "",B81+C81,B81+D81)</f>
        <v>44706.677083333365</v>
      </c>
      <c r="C82" s="431">
        <v>6.25E-2</v>
      </c>
      <c r="D82" s="420" t="str">
        <f>IF(_xlfn.ISFORMULA(E82)=TRUE,"",E82-B82)</f>
        <v/>
      </c>
      <c r="E82" s="421">
        <f t="shared" si="16"/>
        <v>44706.739583333365</v>
      </c>
      <c r="F82" s="260" t="s">
        <v>2685</v>
      </c>
      <c r="G82" s="275"/>
      <c r="H82" s="343">
        <v>1284.3779299999999</v>
      </c>
      <c r="I82" s="343"/>
      <c r="J82" s="343"/>
      <c r="K82" s="343"/>
      <c r="L82" s="388">
        <f>SUM(H82:I82,K82)</f>
        <v>1284.3779299999999</v>
      </c>
      <c r="M82" s="378"/>
    </row>
    <row r="83" spans="1:15" ht="15" customHeight="1" x14ac:dyDescent="0.25">
      <c r="A83" s="31">
        <f t="shared" si="17"/>
        <v>44706.739583333365</v>
      </c>
      <c r="B83" s="421">
        <f t="shared" si="18"/>
        <v>44706.739583333365</v>
      </c>
      <c r="C83" s="432">
        <v>0.14583333333333334</v>
      </c>
      <c r="D83" s="420" t="str">
        <f t="shared" ref="D83:D96" si="19">IF(_xlfn.ISFORMULA(E83)=TRUE,"",E83-B83)</f>
        <v/>
      </c>
      <c r="E83" s="421">
        <f t="shared" si="16"/>
        <v>44706.885416666701</v>
      </c>
      <c r="F83" s="260" t="s">
        <v>2475</v>
      </c>
      <c r="G83" s="275"/>
      <c r="H83" s="343">
        <v>205.92000000000002</v>
      </c>
      <c r="I83" s="343"/>
      <c r="J83" s="343"/>
      <c r="K83" s="343"/>
      <c r="L83" s="388">
        <f>SUM(H83:I83,K83)</f>
        <v>205.92000000000002</v>
      </c>
      <c r="M83" s="378"/>
    </row>
    <row r="84" spans="1:15" ht="15" hidden="1" customHeight="1" x14ac:dyDescent="0.25">
      <c r="A84" s="604">
        <f t="shared" si="17"/>
        <v>44706.885416666701</v>
      </c>
      <c r="B84" s="650">
        <f t="shared" si="18"/>
        <v>44706.885416666701</v>
      </c>
      <c r="C84" s="713">
        <v>0</v>
      </c>
      <c r="D84" s="609"/>
      <c r="E84" s="650">
        <f t="shared" si="16"/>
        <v>44706.885416666701</v>
      </c>
      <c r="F84" s="714" t="s">
        <v>2686</v>
      </c>
      <c r="G84" s="611"/>
      <c r="H84" s="612"/>
      <c r="I84" s="612"/>
      <c r="J84" s="612"/>
      <c r="K84" s="612"/>
      <c r="L84" s="613"/>
      <c r="M84" s="614"/>
    </row>
    <row r="85" spans="1:15" ht="15" customHeight="1" x14ac:dyDescent="0.25">
      <c r="A85" s="31">
        <f t="shared" si="17"/>
        <v>44706.885416666701</v>
      </c>
      <c r="B85" s="421">
        <f t="shared" si="18"/>
        <v>44706.885416666701</v>
      </c>
      <c r="C85" s="432">
        <v>0.14583333333333334</v>
      </c>
      <c r="D85" s="420" t="str">
        <f t="shared" si="19"/>
        <v/>
      </c>
      <c r="E85" s="421">
        <f t="shared" si="16"/>
        <v>44707.031250000036</v>
      </c>
      <c r="F85" s="260" t="s">
        <v>2476</v>
      </c>
      <c r="G85" s="275"/>
      <c r="H85" s="343">
        <v>205.92000000000002</v>
      </c>
      <c r="I85" s="343"/>
      <c r="J85" s="343"/>
      <c r="K85" s="343"/>
      <c r="L85" s="388">
        <f>SUM(H85:I85,K85)</f>
        <v>205.92000000000002</v>
      </c>
      <c r="M85" s="378"/>
    </row>
    <row r="86" spans="1:15" ht="15" hidden="1" customHeight="1" x14ac:dyDescent="0.25">
      <c r="A86" s="604">
        <f t="shared" si="17"/>
        <v>44707.031250000036</v>
      </c>
      <c r="B86" s="650">
        <f t="shared" si="18"/>
        <v>44707.031250000036</v>
      </c>
      <c r="C86" s="713">
        <v>0</v>
      </c>
      <c r="D86" s="609"/>
      <c r="E86" s="650"/>
      <c r="F86" s="715" t="s">
        <v>693</v>
      </c>
      <c r="G86" s="723"/>
      <c r="H86" s="343"/>
      <c r="I86" s="343"/>
      <c r="J86" s="343"/>
      <c r="K86" s="343"/>
      <c r="L86" s="388"/>
      <c r="M86" s="378"/>
    </row>
    <row r="87" spans="1:15" ht="15" customHeight="1" x14ac:dyDescent="0.25">
      <c r="A87" s="31">
        <f t="shared" si="17"/>
        <v>44707.031250000036</v>
      </c>
      <c r="B87" s="421">
        <f t="shared" si="18"/>
        <v>44707.031250000036</v>
      </c>
      <c r="C87" s="432">
        <v>0.14583333333333334</v>
      </c>
      <c r="D87" s="420" t="str">
        <f t="shared" si="19"/>
        <v/>
      </c>
      <c r="E87" s="421">
        <f t="shared" si="16"/>
        <v>44707.177083333372</v>
      </c>
      <c r="F87" s="260" t="s">
        <v>2477</v>
      </c>
      <c r="G87" s="275"/>
      <c r="H87" s="343">
        <v>205.92000000000002</v>
      </c>
      <c r="I87" s="343"/>
      <c r="J87" s="343"/>
      <c r="K87" s="343"/>
      <c r="L87" s="388">
        <f>SUM(H87:I87,K87)</f>
        <v>205.92000000000002</v>
      </c>
      <c r="M87" s="378"/>
    </row>
    <row r="88" spans="1:15" ht="15" customHeight="1" x14ac:dyDescent="0.25">
      <c r="A88" s="31">
        <f t="shared" si="17"/>
        <v>44707.177083333372</v>
      </c>
      <c r="B88" s="421">
        <f>IF(D87 = "",B87+C87,B87+D87)</f>
        <v>44707.177083333372</v>
      </c>
      <c r="C88" s="432">
        <v>0.125</v>
      </c>
      <c r="D88" s="420" t="str">
        <f t="shared" si="19"/>
        <v/>
      </c>
      <c r="E88" s="421">
        <f t="shared" si="16"/>
        <v>44707.302083333372</v>
      </c>
      <c r="F88" s="260" t="s">
        <v>647</v>
      </c>
      <c r="G88" s="414"/>
      <c r="H88" s="343"/>
      <c r="I88" s="343"/>
      <c r="J88" s="343"/>
      <c r="K88" s="343"/>
      <c r="L88" s="378"/>
      <c r="M88" s="378"/>
    </row>
    <row r="89" spans="1:15" ht="15" hidden="1" customHeight="1" x14ac:dyDescent="0.25">
      <c r="A89" s="604">
        <f t="shared" si="17"/>
        <v>44707.302083333372</v>
      </c>
      <c r="B89" s="650">
        <f t="shared" si="18"/>
        <v>44707.302083333372</v>
      </c>
      <c r="C89" s="713"/>
      <c r="D89" s="609"/>
      <c r="E89" s="650"/>
      <c r="F89" s="715" t="s">
        <v>2675</v>
      </c>
      <c r="G89" s="716"/>
      <c r="H89" s="612"/>
      <c r="I89" s="612"/>
      <c r="J89" s="612"/>
      <c r="K89" s="612"/>
      <c r="L89" s="614"/>
      <c r="M89" s="614"/>
    </row>
    <row r="90" spans="1:15" ht="15" customHeight="1" x14ac:dyDescent="0.25">
      <c r="A90" s="31">
        <f>IF(D89 = "",A89+C89,A89+D89)</f>
        <v>44707.302083333372</v>
      </c>
      <c r="B90" s="421">
        <f t="shared" si="18"/>
        <v>44707.302083333372</v>
      </c>
      <c r="C90" s="431">
        <v>0.18055555555555555</v>
      </c>
      <c r="D90" s="420" t="str">
        <f t="shared" si="19"/>
        <v/>
      </c>
      <c r="E90" s="421">
        <f t="shared" si="16"/>
        <v>44707.482638888927</v>
      </c>
      <c r="F90" s="260" t="s">
        <v>597</v>
      </c>
      <c r="G90" s="414"/>
      <c r="H90" s="343">
        <v>955.89929999999993</v>
      </c>
      <c r="I90" s="343"/>
      <c r="J90" s="343"/>
      <c r="K90" s="343"/>
      <c r="L90" s="378">
        <f>SUM(H90:I90,K90)</f>
        <v>955.89929999999993</v>
      </c>
      <c r="M90" s="378"/>
      <c r="N90" s="1066" t="s">
        <v>652</v>
      </c>
      <c r="O90" s="1067"/>
    </row>
    <row r="91" spans="1:15" ht="15" customHeight="1" x14ac:dyDescent="0.25">
      <c r="A91" s="31">
        <f t="shared" si="17"/>
        <v>44707.482638888927</v>
      </c>
      <c r="B91" s="421">
        <f t="shared" si="18"/>
        <v>44707.482638888927</v>
      </c>
      <c r="C91" s="431">
        <v>2.7777777777777776E-2</v>
      </c>
      <c r="D91" s="420" t="str">
        <f t="shared" si="19"/>
        <v/>
      </c>
      <c r="E91" s="421">
        <f t="shared" si="16"/>
        <v>44707.510416666708</v>
      </c>
      <c r="F91" s="260" t="s">
        <v>2461</v>
      </c>
      <c r="G91" s="414"/>
      <c r="H91" s="343"/>
      <c r="I91" s="343"/>
      <c r="J91" s="343"/>
      <c r="K91" s="343"/>
      <c r="L91" s="378"/>
      <c r="M91" s="378"/>
      <c r="N91" s="390" t="s">
        <v>2651</v>
      </c>
      <c r="O91" s="343">
        <f>SUM(H90:H95)</f>
        <v>985.14048999999989</v>
      </c>
    </row>
    <row r="92" spans="1:15" ht="15" customHeight="1" x14ac:dyDescent="0.25">
      <c r="A92" s="31">
        <f t="shared" si="17"/>
        <v>44707.510416666708</v>
      </c>
      <c r="B92" s="421">
        <f t="shared" si="18"/>
        <v>44707.510416666708</v>
      </c>
      <c r="C92" s="432">
        <v>8.3333333333333329E-2</v>
      </c>
      <c r="D92" s="420" t="str">
        <f t="shared" si="19"/>
        <v/>
      </c>
      <c r="E92" s="421">
        <f t="shared" si="16"/>
        <v>44707.593750000044</v>
      </c>
      <c r="F92" s="260" t="s">
        <v>647</v>
      </c>
      <c r="G92" s="414"/>
      <c r="H92" s="343">
        <v>29.24119</v>
      </c>
      <c r="I92" s="343"/>
      <c r="J92" s="343"/>
      <c r="K92" s="343"/>
      <c r="L92" s="378">
        <f>SUM(H92:I92,K92)</f>
        <v>29.24119</v>
      </c>
      <c r="M92" s="378"/>
      <c r="N92" s="390" t="s">
        <v>681</v>
      </c>
      <c r="O92" s="343">
        <f>SUM(J90:J95)</f>
        <v>0</v>
      </c>
    </row>
    <row r="93" spans="1:15" ht="15" customHeight="1" x14ac:dyDescent="0.25">
      <c r="A93" s="31">
        <f t="shared" si="17"/>
        <v>44707.593750000044</v>
      </c>
      <c r="B93" s="421">
        <f t="shared" si="18"/>
        <v>44707.593750000044</v>
      </c>
      <c r="C93" s="431">
        <v>0.10069444444444443</v>
      </c>
      <c r="D93" s="420" t="str">
        <f t="shared" si="19"/>
        <v/>
      </c>
      <c r="E93" s="421">
        <f t="shared" si="16"/>
        <v>44707.694444444489</v>
      </c>
      <c r="F93" s="260" t="s">
        <v>648</v>
      </c>
      <c r="G93" s="414"/>
      <c r="H93" s="343"/>
      <c r="I93" s="343"/>
      <c r="J93" s="343"/>
      <c r="K93" s="343"/>
      <c r="L93" s="378"/>
      <c r="M93" s="378"/>
      <c r="N93" s="390" t="s">
        <v>682</v>
      </c>
      <c r="O93" s="343">
        <f>SUM(L90:L95)</f>
        <v>985.14048999999989</v>
      </c>
    </row>
    <row r="94" spans="1:15" s="267" customFormat="1" ht="15" customHeight="1" x14ac:dyDescent="0.25">
      <c r="A94" s="31">
        <f t="shared" si="17"/>
        <v>44707.694444444489</v>
      </c>
      <c r="B94" s="421">
        <f t="shared" si="18"/>
        <v>44707.694444444489</v>
      </c>
      <c r="C94" s="431">
        <v>2.0833333333333332E-2</v>
      </c>
      <c r="D94" s="420" t="str">
        <f t="shared" si="19"/>
        <v/>
      </c>
      <c r="E94" s="421">
        <f t="shared" si="16"/>
        <v>44707.715277777825</v>
      </c>
      <c r="F94" s="260" t="s">
        <v>598</v>
      </c>
      <c r="G94" s="438"/>
      <c r="H94" s="343"/>
      <c r="I94" s="343"/>
      <c r="J94" s="343"/>
      <c r="K94" s="343"/>
      <c r="L94" s="378"/>
      <c r="M94" s="378"/>
    </row>
    <row r="95" spans="1:15" s="267" customFormat="1" ht="15" customHeight="1" x14ac:dyDescent="0.25">
      <c r="A95" s="31">
        <f t="shared" si="17"/>
        <v>44707.715277777825</v>
      </c>
      <c r="B95" s="421">
        <f t="shared" si="18"/>
        <v>44707.715277777825</v>
      </c>
      <c r="C95" s="437">
        <v>0</v>
      </c>
      <c r="D95" s="420"/>
      <c r="E95" s="421" t="s">
        <v>99</v>
      </c>
      <c r="F95" s="925" t="s">
        <v>2640</v>
      </c>
      <c r="G95" s="438"/>
      <c r="H95" s="343"/>
      <c r="I95" s="343"/>
      <c r="J95" s="343"/>
      <c r="K95" s="343"/>
      <c r="L95" s="378"/>
      <c r="M95" s="378"/>
    </row>
    <row r="96" spans="1:15" s="267" customFormat="1" ht="15" customHeight="1" x14ac:dyDescent="0.25">
      <c r="A96" s="31">
        <f>IF(D95 = "",A95+C95,A95+D95)</f>
        <v>44707.715277777825</v>
      </c>
      <c r="B96" s="421">
        <f>IF(D95 = "",B95+C95,B95+D95)</f>
        <v>44707.715277777825</v>
      </c>
      <c r="C96" s="437">
        <v>0.10416666666666667</v>
      </c>
      <c r="D96" s="420" t="str">
        <f t="shared" si="19"/>
        <v/>
      </c>
      <c r="E96" s="421">
        <f t="shared" si="2"/>
        <v>44707.819444444489</v>
      </c>
      <c r="F96" s="333" t="s">
        <v>656</v>
      </c>
      <c r="G96" s="725"/>
      <c r="H96" s="725"/>
      <c r="I96" s="725"/>
      <c r="J96" s="725"/>
      <c r="K96" s="725"/>
      <c r="L96" s="725"/>
      <c r="M96" s="725"/>
      <c r="O96" s="409"/>
    </row>
    <row r="97" spans="1:15" s="267" customFormat="1" ht="15" hidden="1" customHeight="1" x14ac:dyDescent="0.25">
      <c r="A97" s="280" t="s">
        <v>2687</v>
      </c>
      <c r="B97" s="280"/>
      <c r="C97" s="280"/>
      <c r="D97" s="280"/>
      <c r="E97" s="280"/>
      <c r="F97" s="280"/>
      <c r="G97" s="288"/>
      <c r="H97" s="385"/>
      <c r="I97" s="385"/>
      <c r="J97" s="385">
        <v>300</v>
      </c>
      <c r="K97" s="385"/>
      <c r="L97" s="388"/>
      <c r="M97" s="385"/>
      <c r="N97" s="25"/>
      <c r="O97" s="25"/>
    </row>
    <row r="98" spans="1:15" s="267" customFormat="1" ht="15" hidden="1" customHeight="1" x14ac:dyDescent="0.25">
      <c r="A98" s="31">
        <f>E98</f>
        <v>44707.468750000036</v>
      </c>
      <c r="B98" s="421">
        <f>B90 + "1:00"</f>
        <v>44707.343750000036</v>
      </c>
      <c r="C98" s="423">
        <v>0.125</v>
      </c>
      <c r="D98" s="420" t="str">
        <f t="shared" ref="D98" si="20">IF(_xlfn.ISFORMULA(E98)=TRUE,"",E98-B98)</f>
        <v/>
      </c>
      <c r="E98" s="421">
        <f t="shared" si="2"/>
        <v>44707.468750000036</v>
      </c>
      <c r="F98" s="439" t="s">
        <v>2688</v>
      </c>
      <c r="G98" s="288"/>
      <c r="H98" s="385"/>
      <c r="I98" s="385"/>
      <c r="J98" s="385"/>
      <c r="K98" s="385">
        <v>85</v>
      </c>
      <c r="L98" s="388">
        <f>K98</f>
        <v>85</v>
      </c>
      <c r="M98" s="385"/>
    </row>
    <row r="99" spans="1:15" ht="15" hidden="1" customHeight="1" x14ac:dyDescent="0.25">
      <c r="A99" s="31">
        <f>IF(D98 = "",A98+C98,A98+D98)</f>
        <v>44707.593750000036</v>
      </c>
      <c r="B99" s="421">
        <f>IF(D98 = "",B98+C98,B98+D98)</f>
        <v>44707.468750000036</v>
      </c>
      <c r="C99" s="423">
        <v>0.14583333333333334</v>
      </c>
      <c r="D99" s="420" t="str">
        <f>IF(_xlfn.ISFORMULA(E99)=TRUE,"",E99-B99)</f>
        <v/>
      </c>
      <c r="E99" s="421">
        <f t="shared" ref="E99" si="21">B99+C99</f>
        <v>44707.614583333372</v>
      </c>
      <c r="F99" s="439" t="s">
        <v>2689</v>
      </c>
      <c r="G99" s="274" t="s">
        <v>607</v>
      </c>
      <c r="H99" s="287">
        <f>SUM(H82:H95,H49:H78,H17:H45,H98:H98)</f>
        <v>7995.5879558585875</v>
      </c>
      <c r="I99" s="287">
        <f>SUM(I82:I95,I49:I78,I17:I45,I98:I98)</f>
        <v>4369.5754288248336</v>
      </c>
      <c r="J99" s="287">
        <f>SUM(J82:J95,J49:J78,J17:J45,J98:J98)</f>
        <v>280.88652000000002</v>
      </c>
      <c r="K99" s="287">
        <f>SUM(K82:K95,K49:K78,K17:K45,K98:K98)</f>
        <v>323.70858418367345</v>
      </c>
      <c r="L99" s="287">
        <f>SUM(L82:L95,L49:L78,L17:L45,L98:L98)</f>
        <v>12688.871968867094</v>
      </c>
      <c r="M99" s="287"/>
      <c r="N99" s="409">
        <f>SUM(L70:L98)</f>
        <v>4336.5202395614679</v>
      </c>
    </row>
    <row r="100" spans="1:15" ht="15" customHeight="1" x14ac:dyDescent="0.55000000000000004">
      <c r="A100" s="34"/>
      <c r="B100" s="33" t="s">
        <v>534</v>
      </c>
      <c r="C100" s="32">
        <f>SUM(C85:C99,C17:C45,C49:C78,C82:C83)</f>
        <v>7.6354166666666705</v>
      </c>
      <c r="D100" s="32">
        <f>SUM(D85:D99,D17:D45,D49:D78,D82:D83)</f>
        <v>0.41319444444444448</v>
      </c>
      <c r="G100" s="26"/>
      <c r="H100" s="26"/>
      <c r="I100" s="26"/>
      <c r="J100" s="26"/>
    </row>
    <row r="101" spans="1:15" ht="15" customHeight="1" x14ac:dyDescent="0.25">
      <c r="B101" s="31" t="s">
        <v>536</v>
      </c>
      <c r="C101" s="112">
        <f>(C100/24)</f>
        <v>0.31814236111111127</v>
      </c>
      <c r="D101" s="112">
        <f>(D100/24)</f>
        <v>1.7216435185185185E-2</v>
      </c>
      <c r="G101" s="26"/>
      <c r="H101" s="26"/>
      <c r="I101" s="26"/>
      <c r="J101" s="26"/>
    </row>
    <row r="102" spans="1:15" ht="15" customHeight="1" x14ac:dyDescent="0.25">
      <c r="C102" s="262"/>
      <c r="D102" s="262"/>
      <c r="G102" s="26"/>
      <c r="H102" s="26"/>
      <c r="I102" s="26"/>
      <c r="J102" s="26"/>
    </row>
    <row r="103" spans="1:15" ht="15" customHeight="1" x14ac:dyDescent="0.25">
      <c r="G103" s="26"/>
      <c r="H103" s="26"/>
      <c r="I103" s="26"/>
      <c r="J103" s="26"/>
    </row>
    <row r="104" spans="1:15" ht="15" customHeight="1" x14ac:dyDescent="0.25">
      <c r="G104" s="26"/>
      <c r="H104" s="26"/>
      <c r="I104" s="26"/>
      <c r="J104" s="26"/>
    </row>
    <row r="105" spans="1:15" ht="15" customHeight="1" x14ac:dyDescent="0.25">
      <c r="G105" s="26"/>
      <c r="H105" s="26"/>
      <c r="I105" s="26"/>
      <c r="J105" s="26"/>
    </row>
    <row r="106" spans="1:15" ht="15" customHeight="1" x14ac:dyDescent="0.25">
      <c r="G106" s="26"/>
      <c r="H106" s="26"/>
      <c r="I106" s="26"/>
      <c r="J106" s="26"/>
    </row>
    <row r="107" spans="1:15" ht="15" customHeight="1" x14ac:dyDescent="0.25">
      <c r="G107" s="26"/>
      <c r="H107" s="26"/>
      <c r="I107" s="26"/>
      <c r="J107" s="26"/>
    </row>
    <row r="108" spans="1:15" ht="15" customHeight="1" x14ac:dyDescent="0.25">
      <c r="G108" s="26"/>
      <c r="H108" s="26"/>
      <c r="I108" s="26"/>
      <c r="J108" s="26"/>
    </row>
    <row r="109" spans="1:15" ht="15" customHeight="1" x14ac:dyDescent="0.25">
      <c r="G109" s="26"/>
      <c r="H109" s="26"/>
      <c r="I109" s="26"/>
      <c r="J109" s="26"/>
    </row>
    <row r="110" spans="1:15" ht="15" customHeight="1" x14ac:dyDescent="0.25">
      <c r="G110" s="26"/>
      <c r="H110" s="26"/>
      <c r="I110" s="26"/>
      <c r="J110" s="26"/>
    </row>
    <row r="111" spans="1:15" ht="15" customHeight="1" x14ac:dyDescent="0.25">
      <c r="G111" s="26"/>
      <c r="H111" s="26"/>
      <c r="I111" s="26"/>
      <c r="J111" s="26"/>
    </row>
    <row r="112" spans="1:15" ht="15" customHeight="1" x14ac:dyDescent="0.25">
      <c r="G112" s="26"/>
      <c r="H112" s="26"/>
      <c r="I112" s="26"/>
      <c r="J112" s="26"/>
    </row>
    <row r="113" spans="6:10" ht="15" customHeight="1" x14ac:dyDescent="0.25">
      <c r="G113" s="26"/>
      <c r="H113" s="26"/>
      <c r="I113" s="26"/>
      <c r="J113" s="26"/>
    </row>
    <row r="114" spans="6:10" ht="15" customHeight="1" x14ac:dyDescent="0.25">
      <c r="G114" s="26"/>
      <c r="H114" s="26"/>
      <c r="I114" s="26"/>
      <c r="J114" s="26"/>
    </row>
    <row r="115" spans="6:10" ht="15" customHeight="1" x14ac:dyDescent="0.25">
      <c r="G115" s="26"/>
      <c r="H115" s="26"/>
      <c r="I115" s="26"/>
      <c r="J115" s="26"/>
    </row>
    <row r="116" spans="6:10" ht="15" customHeight="1" x14ac:dyDescent="0.25">
      <c r="G116" s="26"/>
      <c r="H116" s="26"/>
      <c r="I116" s="26"/>
      <c r="J116" s="26"/>
    </row>
    <row r="117" spans="6:10" ht="15" customHeight="1" x14ac:dyDescent="0.25">
      <c r="G117" s="26"/>
      <c r="H117" s="26"/>
      <c r="I117" s="26"/>
      <c r="J117" s="26"/>
    </row>
    <row r="118" spans="6:10" ht="15" customHeight="1" x14ac:dyDescent="0.25">
      <c r="G118" s="26"/>
      <c r="H118" s="26"/>
      <c r="I118" s="26"/>
      <c r="J118" s="26"/>
    </row>
    <row r="119" spans="6:10" ht="15" customHeight="1" x14ac:dyDescent="0.25">
      <c r="G119" s="26"/>
      <c r="H119" s="26"/>
      <c r="I119" s="26"/>
      <c r="J119" s="26"/>
    </row>
    <row r="120" spans="6:10" ht="15" customHeight="1" x14ac:dyDescent="0.25">
      <c r="G120" s="26"/>
      <c r="H120" s="26"/>
      <c r="I120" s="26"/>
      <c r="J120" s="26"/>
    </row>
    <row r="122" spans="6:10" ht="15" customHeight="1" x14ac:dyDescent="0.25">
      <c r="F122" s="26"/>
    </row>
    <row r="123" spans="6:10" ht="15" customHeight="1" x14ac:dyDescent="0.25">
      <c r="F123" s="26"/>
    </row>
  </sheetData>
  <mergeCells count="8">
    <mergeCell ref="A79:G79"/>
    <mergeCell ref="N90:O90"/>
    <mergeCell ref="A1:B1"/>
    <mergeCell ref="N17:O17"/>
    <mergeCell ref="N30:O30"/>
    <mergeCell ref="N41:O41"/>
    <mergeCell ref="N61:O61"/>
    <mergeCell ref="N73:O73"/>
  </mergeCells>
  <pageMargins left="0.75" right="0.75" top="1" bottom="1" header="0.5" footer="0.5"/>
  <pageSetup orientation="portrait" r:id="rId1"/>
  <headerFooter alignWithMargins="0">
    <oddFooter>&amp;R&amp;"Arial,Regular"&amp;08&amp;K7F7F7FAmgen Proprietary - Confidential   &amp;C&amp;"Calibri"&amp;11&amp;K000000&amp;"Arial,Regular"&amp;08&amp;K7F7F7FAmgen Proprietary - For Internal Use Only_x000D_&amp;1#&amp;"Calibri"&amp;10&amp;K000000 Non-Amgen</oddFooter>
    <evenFooter>&amp;R&amp;"Arial,Regular"&amp;08&amp;K7F7F7FAmgen Proprietary - Confidential   &amp;C&amp;"Arial,Regular"&amp;08&amp;K7F7F7FAmgen Proprietary - For Internal Use Only</evenFooter>
    <firstFooter>&amp;R&amp;"Arial,Regular"&amp;08&amp;K7F7F7FAmgen Proprietary - Confidential   &amp;C&amp;"Arial,Regular"&amp;08&amp;K7F7F7FAmgen Proprietary - For Internal Use Only</firstFooter>
  </headerFooter>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EF526-9A90-456E-8BC1-D0C2C7B62036}">
  <sheetPr codeName="Sheet68">
    <pageSetUpPr autoPageBreaks="0"/>
  </sheetPr>
  <dimension ref="A1:P78"/>
  <sheetViews>
    <sheetView zoomScale="85" zoomScaleNormal="85" workbookViewId="0">
      <selection activeCell="C25" sqref="C25:F25"/>
    </sheetView>
  </sheetViews>
  <sheetFormatPr defaultColWidth="23.453125" defaultRowHeight="11.5" x14ac:dyDescent="0.25"/>
  <cols>
    <col min="1" max="1" width="52.453125" style="46" bestFit="1" customWidth="1"/>
    <col min="2" max="2" width="23.453125" style="46" bestFit="1" customWidth="1"/>
    <col min="3" max="3" width="20.453125" style="46" bestFit="1" customWidth="1"/>
    <col min="4" max="4" width="20.54296875" style="46" bestFit="1" customWidth="1"/>
    <col min="5" max="5" width="23.453125" style="46"/>
    <col min="6" max="6" width="75.453125" style="46" bestFit="1" customWidth="1"/>
    <col min="7" max="7" width="16.54296875" style="46" customWidth="1"/>
    <col min="8" max="8" width="17.453125" style="46" customWidth="1"/>
    <col min="9" max="9" width="10.54296875" style="46" customWidth="1"/>
    <col min="10" max="10" width="19.453125" style="46" customWidth="1"/>
    <col min="11" max="11" width="16" style="46" customWidth="1"/>
    <col min="12" max="12" width="22.54296875" style="46" customWidth="1"/>
    <col min="13" max="13" width="30.54296875" style="46" customWidth="1"/>
    <col min="14" max="14" width="23.453125" style="46"/>
    <col min="15" max="15" width="53.54296875" style="46" hidden="1" customWidth="1"/>
    <col min="16" max="16" width="23.453125" style="46" hidden="1" customWidth="1"/>
    <col min="17" max="16384" width="23.453125" style="46"/>
  </cols>
  <sheetData>
    <row r="1" spans="1:16" ht="12" thickBot="1" x14ac:dyDescent="0.3">
      <c r="A1" s="1042" t="s">
        <v>479</v>
      </c>
      <c r="B1" s="1043"/>
    </row>
    <row r="2" spans="1:16" x14ac:dyDescent="0.25">
      <c r="A2" s="67" t="s">
        <v>480</v>
      </c>
      <c r="B2" s="407">
        <f>A13</f>
        <v>44202.041666666664</v>
      </c>
    </row>
    <row r="3" spans="1:16" ht="12" thickBot="1" x14ac:dyDescent="0.3">
      <c r="A3" s="66" t="s">
        <v>482</v>
      </c>
      <c r="B3" s="408">
        <f>A13</f>
        <v>44202.041666666664</v>
      </c>
    </row>
    <row r="5" spans="1:16" x14ac:dyDescent="0.25">
      <c r="A5" s="1044" t="s">
        <v>484</v>
      </c>
      <c r="B5" s="1045"/>
      <c r="C5" s="1045"/>
      <c r="D5" s="1046"/>
    </row>
    <row r="6" spans="1:16" x14ac:dyDescent="0.25">
      <c r="A6" s="102" t="s">
        <v>485</v>
      </c>
      <c r="B6" s="102" t="s">
        <v>486</v>
      </c>
      <c r="C6" s="102" t="s">
        <v>487</v>
      </c>
      <c r="D6" s="102" t="s">
        <v>488</v>
      </c>
    </row>
    <row r="7" spans="1:16" x14ac:dyDescent="0.25">
      <c r="A7" s="65" t="str">
        <f>F33</f>
        <v>Sample for Residual Solvent Methanol (Ethyl Acetate)</v>
      </c>
      <c r="B7" s="64">
        <f>A33</f>
        <v>44204.00694444446</v>
      </c>
      <c r="C7" s="56">
        <f>B33</f>
        <v>44204.00694444446</v>
      </c>
      <c r="D7" s="464"/>
    </row>
    <row r="8" spans="1:16" x14ac:dyDescent="0.25">
      <c r="A8" s="65" t="s">
        <v>490</v>
      </c>
      <c r="B8" s="64">
        <f>A51</f>
        <v>44205.038194444467</v>
      </c>
      <c r="C8" s="56">
        <f>A51</f>
        <v>44205.038194444467</v>
      </c>
      <c r="D8" s="464"/>
    </row>
    <row r="9" spans="1:16" x14ac:dyDescent="0.25">
      <c r="A9" s="65" t="s">
        <v>491</v>
      </c>
      <c r="B9" s="64">
        <f>E54</f>
        <v>44207.416666666664</v>
      </c>
      <c r="C9" s="56">
        <f>E54</f>
        <v>44207.416666666664</v>
      </c>
      <c r="D9" s="63"/>
    </row>
    <row r="10" spans="1:16" ht="13" x14ac:dyDescent="0.25">
      <c r="O10" s="62" t="s">
        <v>2564</v>
      </c>
      <c r="P10" s="62" t="s">
        <v>2565</v>
      </c>
    </row>
    <row r="11" spans="1:16" ht="23" x14ac:dyDescent="0.25">
      <c r="A11" s="61" t="s">
        <v>492</v>
      </c>
      <c r="B11" s="61" t="s">
        <v>493</v>
      </c>
      <c r="C11" s="61" t="s">
        <v>494</v>
      </c>
      <c r="D11" s="118" t="s">
        <v>495</v>
      </c>
      <c r="E11" s="61" t="s">
        <v>496</v>
      </c>
      <c r="F11" s="61" t="s">
        <v>497</v>
      </c>
      <c r="G11" s="61" t="s">
        <v>498</v>
      </c>
      <c r="H11" s="61" t="s">
        <v>92</v>
      </c>
      <c r="I11" s="61" t="s">
        <v>499</v>
      </c>
      <c r="J11" s="61" t="s">
        <v>96</v>
      </c>
      <c r="K11" s="61" t="s">
        <v>500</v>
      </c>
      <c r="L11" s="61" t="s">
        <v>501</v>
      </c>
      <c r="O11" s="60" t="s">
        <v>2566</v>
      </c>
      <c r="P11" s="60" t="s">
        <v>2567</v>
      </c>
    </row>
    <row r="12" spans="1:16" ht="14.5" x14ac:dyDescent="0.25">
      <c r="A12" s="117" t="s">
        <v>2568</v>
      </c>
      <c r="B12" s="117"/>
      <c r="C12" s="117"/>
      <c r="D12" s="119"/>
      <c r="E12" s="117"/>
      <c r="F12" s="117"/>
      <c r="G12" s="117"/>
      <c r="H12" s="189"/>
      <c r="I12" s="189"/>
      <c r="J12" s="189"/>
      <c r="K12" s="189"/>
      <c r="L12" s="189"/>
      <c r="O12" s="60"/>
      <c r="P12" s="60"/>
    </row>
    <row r="13" spans="1:16" ht="13.5" customHeight="1" x14ac:dyDescent="0.25">
      <c r="A13" s="50">
        <v>44202.041666666664</v>
      </c>
      <c r="B13" s="461">
        <f>A13</f>
        <v>44202.041666666664</v>
      </c>
      <c r="C13" s="55">
        <v>7.2916666666666671E-2</v>
      </c>
      <c r="D13" s="327"/>
      <c r="E13" s="56">
        <f>B13+C13</f>
        <v>44202.114583333328</v>
      </c>
      <c r="F13" s="54" t="s">
        <v>2569</v>
      </c>
      <c r="G13" s="190"/>
      <c r="H13" s="190">
        <v>5</v>
      </c>
      <c r="I13" s="191"/>
      <c r="J13" s="191"/>
      <c r="K13" s="191"/>
      <c r="L13" s="191"/>
      <c r="M13" s="203" t="s">
        <v>2570</v>
      </c>
      <c r="N13" s="203">
        <f>SUM(J13:J22)</f>
        <v>33.241492346938777</v>
      </c>
      <c r="O13" s="57" t="s">
        <v>2571</v>
      </c>
      <c r="P13" s="57" t="s">
        <v>2572</v>
      </c>
    </row>
    <row r="14" spans="1:16" ht="13.5" customHeight="1" x14ac:dyDescent="0.25">
      <c r="A14" s="31">
        <f t="shared" ref="A14:A35" si="0">IF(D13 = "",A13+C13,A13+D13)</f>
        <v>44202.114583333328</v>
      </c>
      <c r="B14" s="37">
        <f t="shared" ref="B14:B35" si="1">IF(D13 = "",B13+C13,B13+D13)</f>
        <v>44202.114583333328</v>
      </c>
      <c r="C14" s="55">
        <v>2.0833333333333332E-2</v>
      </c>
      <c r="D14" s="327"/>
      <c r="E14" s="56">
        <f t="shared" ref="E14:E36" si="2">B14+C14</f>
        <v>44202.135416666664</v>
      </c>
      <c r="F14" s="54" t="s">
        <v>504</v>
      </c>
      <c r="G14" s="190"/>
      <c r="H14" s="190">
        <v>30</v>
      </c>
      <c r="I14" s="191"/>
      <c r="J14" s="191"/>
      <c r="K14" s="191"/>
      <c r="L14" s="191"/>
      <c r="M14" s="195" t="s">
        <v>2573</v>
      </c>
      <c r="N14" s="195">
        <f>SUM(K13:K22)</f>
        <v>1595.8448535353536</v>
      </c>
      <c r="O14" s="57" t="s">
        <v>580</v>
      </c>
      <c r="P14" s="57" t="s">
        <v>2574</v>
      </c>
    </row>
    <row r="15" spans="1:16" ht="13.5" customHeight="1" x14ac:dyDescent="0.25">
      <c r="A15" s="31">
        <f t="shared" si="0"/>
        <v>44202.135416666664</v>
      </c>
      <c r="B15" s="37">
        <f t="shared" si="1"/>
        <v>44202.135416666664</v>
      </c>
      <c r="C15" s="55">
        <v>2.0833333333333332E-2</v>
      </c>
      <c r="D15" s="327"/>
      <c r="E15" s="56">
        <f t="shared" si="2"/>
        <v>44202.15625</v>
      </c>
      <c r="F15" s="54" t="s">
        <v>505</v>
      </c>
      <c r="G15" s="193"/>
      <c r="H15" s="193">
        <v>30</v>
      </c>
      <c r="I15" s="194"/>
      <c r="J15" s="194"/>
      <c r="K15" s="194"/>
      <c r="L15" s="191"/>
      <c r="M15" s="195" t="s">
        <v>2575</v>
      </c>
      <c r="N15" s="195">
        <f>SUM(I13:I22)</f>
        <v>157.39168514412415</v>
      </c>
      <c r="O15" s="57" t="s">
        <v>581</v>
      </c>
      <c r="P15" s="57" t="s">
        <v>2576</v>
      </c>
    </row>
    <row r="16" spans="1:16" ht="13.5" customHeight="1" x14ac:dyDescent="0.25">
      <c r="A16" s="31">
        <f t="shared" si="0"/>
        <v>44202.15625</v>
      </c>
      <c r="B16" s="37">
        <f t="shared" si="1"/>
        <v>44202.15625</v>
      </c>
      <c r="C16" s="55">
        <v>2.0833333333333332E-2</v>
      </c>
      <c r="D16" s="327"/>
      <c r="E16" s="56">
        <f t="shared" si="2"/>
        <v>44202.177083333336</v>
      </c>
      <c r="F16" s="54" t="s">
        <v>506</v>
      </c>
      <c r="G16" s="190"/>
      <c r="H16" s="190"/>
      <c r="I16" s="191"/>
      <c r="J16" s="191">
        <v>33.241492346938777</v>
      </c>
      <c r="K16" s="191"/>
      <c r="L16" s="191">
        <f t="shared" ref="L16:L27" si="3">SUM(I16:K16)</f>
        <v>33.241492346938777</v>
      </c>
      <c r="M16" s="195" t="s">
        <v>2577</v>
      </c>
      <c r="N16" s="195">
        <f>SUM(L13:L22)</f>
        <v>1786.4780310264164</v>
      </c>
      <c r="O16" s="57" t="s">
        <v>2578</v>
      </c>
      <c r="P16" s="57" t="s">
        <v>2579</v>
      </c>
    </row>
    <row r="17" spans="1:16" ht="13.5" customHeight="1" x14ac:dyDescent="0.25">
      <c r="A17" s="31">
        <f t="shared" si="0"/>
        <v>44202.177083333336</v>
      </c>
      <c r="B17" s="37">
        <f t="shared" si="1"/>
        <v>44202.177083333336</v>
      </c>
      <c r="C17" s="59">
        <v>4.1666666666666664E-2</v>
      </c>
      <c r="D17" s="327"/>
      <c r="E17" s="56">
        <f t="shared" si="2"/>
        <v>44202.21875</v>
      </c>
      <c r="F17" s="54" t="s">
        <v>507</v>
      </c>
      <c r="G17" s="190"/>
      <c r="H17" s="190"/>
      <c r="I17" s="191">
        <v>31.659645232815961</v>
      </c>
      <c r="J17" s="191"/>
      <c r="K17" s="191"/>
      <c r="L17" s="191">
        <f t="shared" si="3"/>
        <v>31.659645232815961</v>
      </c>
      <c r="M17" s="192"/>
      <c r="N17" s="192"/>
      <c r="O17" s="57" t="s">
        <v>2580</v>
      </c>
      <c r="P17" s="57" t="s">
        <v>2581</v>
      </c>
    </row>
    <row r="18" spans="1:16" ht="13.5" customHeight="1" x14ac:dyDescent="0.25">
      <c r="A18" s="31">
        <f t="shared" si="0"/>
        <v>44202.21875</v>
      </c>
      <c r="B18" s="37">
        <f t="shared" si="1"/>
        <v>44202.21875</v>
      </c>
      <c r="C18" s="59">
        <v>6.9444444444444441E-3</v>
      </c>
      <c r="D18" s="327"/>
      <c r="E18" s="56">
        <f t="shared" si="2"/>
        <v>44202.225694444445</v>
      </c>
      <c r="F18" s="54" t="s">
        <v>509</v>
      </c>
      <c r="G18" s="190"/>
      <c r="H18" s="190"/>
      <c r="I18" s="191">
        <v>125.73203991130821</v>
      </c>
      <c r="J18" s="191"/>
      <c r="K18" s="191"/>
      <c r="L18" s="191">
        <f t="shared" si="3"/>
        <v>125.73203991130821</v>
      </c>
      <c r="M18" s="192"/>
      <c r="N18" s="192"/>
      <c r="O18" s="57" t="s">
        <v>2582</v>
      </c>
      <c r="P18" s="57" t="s">
        <v>2583</v>
      </c>
    </row>
    <row r="19" spans="1:16" ht="13.5" customHeight="1" x14ac:dyDescent="0.25">
      <c r="A19" s="31">
        <f t="shared" si="0"/>
        <v>44202.225694444445</v>
      </c>
      <c r="B19" s="37">
        <f t="shared" si="1"/>
        <v>44202.225694444445</v>
      </c>
      <c r="C19" s="59">
        <v>2.0833333333333332E-2</v>
      </c>
      <c r="D19" s="327"/>
      <c r="E19" s="56">
        <f t="shared" si="2"/>
        <v>44202.246527777781</v>
      </c>
      <c r="F19" s="54" t="s">
        <v>510</v>
      </c>
      <c r="G19" s="190"/>
      <c r="H19" s="190"/>
      <c r="I19" s="191"/>
      <c r="J19" s="191"/>
      <c r="K19" s="191">
        <v>51.172853535353532</v>
      </c>
      <c r="L19" s="191">
        <f t="shared" si="3"/>
        <v>51.172853535353532</v>
      </c>
      <c r="O19" s="202" t="s">
        <v>2584</v>
      </c>
      <c r="P19" s="57" t="s">
        <v>2585</v>
      </c>
    </row>
    <row r="20" spans="1:16" ht="13.5" customHeight="1" x14ac:dyDescent="0.25">
      <c r="A20" s="31">
        <f t="shared" si="0"/>
        <v>44202.246527777781</v>
      </c>
      <c r="B20" s="37">
        <f t="shared" si="1"/>
        <v>44202.246527777781</v>
      </c>
      <c r="C20" s="55">
        <v>2.0833333333333332E-2</v>
      </c>
      <c r="D20" s="327"/>
      <c r="E20" s="56">
        <f t="shared" si="2"/>
        <v>44202.267361111117</v>
      </c>
      <c r="F20" s="54" t="s">
        <v>511</v>
      </c>
      <c r="G20" s="193"/>
      <c r="H20" s="193"/>
      <c r="I20" s="194"/>
      <c r="J20" s="194"/>
      <c r="K20" s="194">
        <v>624.67200000000003</v>
      </c>
      <c r="L20" s="191">
        <f t="shared" si="3"/>
        <v>624.67200000000003</v>
      </c>
      <c r="O20" s="57" t="s">
        <v>2586</v>
      </c>
      <c r="P20" s="57" t="s">
        <v>2587</v>
      </c>
    </row>
    <row r="21" spans="1:16" ht="13.5" customHeight="1" x14ac:dyDescent="0.25">
      <c r="A21" s="31">
        <f t="shared" si="0"/>
        <v>44202.267361111117</v>
      </c>
      <c r="B21" s="37">
        <f t="shared" si="1"/>
        <v>44202.267361111117</v>
      </c>
      <c r="C21" s="55">
        <v>0.33333333333333331</v>
      </c>
      <c r="D21" s="327"/>
      <c r="E21" s="56">
        <f t="shared" si="2"/>
        <v>44202.600694444453</v>
      </c>
      <c r="F21" s="54" t="s">
        <v>2588</v>
      </c>
      <c r="G21" s="190"/>
      <c r="H21" s="190"/>
      <c r="I21" s="191"/>
      <c r="J21" s="191"/>
      <c r="K21" s="191">
        <v>550</v>
      </c>
      <c r="L21" s="191">
        <f t="shared" si="3"/>
        <v>550</v>
      </c>
      <c r="O21" s="57" t="s">
        <v>2589</v>
      </c>
      <c r="P21" s="57" t="s">
        <v>2590</v>
      </c>
    </row>
    <row r="22" spans="1:16" ht="13.5" customHeight="1" x14ac:dyDescent="0.25">
      <c r="A22" s="31">
        <f t="shared" si="0"/>
        <v>44202.600694444453</v>
      </c>
      <c r="B22" s="37">
        <f t="shared" si="1"/>
        <v>44202.600694444453</v>
      </c>
      <c r="C22" s="55">
        <v>0.29166666666666669</v>
      </c>
      <c r="D22" s="327">
        <v>0.33333333333333331</v>
      </c>
      <c r="E22" s="56">
        <f t="shared" si="2"/>
        <v>44202.892361111117</v>
      </c>
      <c r="F22" s="54" t="s">
        <v>2591</v>
      </c>
      <c r="G22" s="190"/>
      <c r="H22" s="190"/>
      <c r="I22" s="191"/>
      <c r="J22" s="191"/>
      <c r="K22" s="191">
        <v>370</v>
      </c>
      <c r="L22" s="191">
        <f t="shared" si="3"/>
        <v>370</v>
      </c>
      <c r="O22" s="57" t="s">
        <v>589</v>
      </c>
      <c r="P22" s="57" t="s">
        <v>2592</v>
      </c>
    </row>
    <row r="23" spans="1:16" ht="13.5" customHeight="1" x14ac:dyDescent="0.25">
      <c r="A23" s="31">
        <f t="shared" si="0"/>
        <v>44202.934027777788</v>
      </c>
      <c r="B23" s="37">
        <f t="shared" si="1"/>
        <v>44202.934027777788</v>
      </c>
      <c r="C23" s="55">
        <v>0.3125</v>
      </c>
      <c r="D23" s="327"/>
      <c r="E23" s="56">
        <f t="shared" si="2"/>
        <v>44203.246527777788</v>
      </c>
      <c r="F23" s="54" t="s">
        <v>2593</v>
      </c>
      <c r="G23" s="190"/>
      <c r="H23" s="190"/>
      <c r="I23" s="191"/>
      <c r="J23" s="191"/>
      <c r="K23" s="191">
        <v>370</v>
      </c>
      <c r="L23" s="191">
        <f t="shared" si="3"/>
        <v>370</v>
      </c>
      <c r="M23" s="195" t="s">
        <v>2594</v>
      </c>
      <c r="N23" s="195">
        <f>SUM(K23:K37)</f>
        <v>1286.9770000000001</v>
      </c>
      <c r="O23" s="57" t="s">
        <v>2595</v>
      </c>
      <c r="P23" s="57" t="s">
        <v>2596</v>
      </c>
    </row>
    <row r="24" spans="1:16" ht="13.5" customHeight="1" x14ac:dyDescent="0.25">
      <c r="A24" s="31">
        <f t="shared" si="0"/>
        <v>44203.246527777788</v>
      </c>
      <c r="B24" s="37">
        <f t="shared" si="1"/>
        <v>44203.246527777788</v>
      </c>
      <c r="C24" s="55">
        <v>6.25E-2</v>
      </c>
      <c r="D24" s="327"/>
      <c r="E24" s="56">
        <f t="shared" si="2"/>
        <v>44203.309027777788</v>
      </c>
      <c r="F24" s="54" t="s">
        <v>515</v>
      </c>
      <c r="G24" s="190"/>
      <c r="H24" s="190"/>
      <c r="I24" s="191"/>
      <c r="J24" s="191"/>
      <c r="K24" s="191">
        <v>816.77700000000004</v>
      </c>
      <c r="L24" s="191">
        <f t="shared" si="3"/>
        <v>816.77700000000004</v>
      </c>
      <c r="M24" s="195" t="s">
        <v>2577</v>
      </c>
      <c r="N24" s="195">
        <f>SUM(L23:L37)</f>
        <v>1286.9770000000001</v>
      </c>
      <c r="O24" s="57" t="s">
        <v>2597</v>
      </c>
      <c r="P24" s="57" t="s">
        <v>2598</v>
      </c>
    </row>
    <row r="25" spans="1:16" ht="13.5" customHeight="1" x14ac:dyDescent="0.25">
      <c r="A25" s="31">
        <f t="shared" si="0"/>
        <v>44203.309027777788</v>
      </c>
      <c r="B25" s="37">
        <f t="shared" si="1"/>
        <v>44203.309027777788</v>
      </c>
      <c r="C25" s="55">
        <v>6.25E-2</v>
      </c>
      <c r="D25" s="327">
        <v>8.3333333333333329E-2</v>
      </c>
      <c r="E25" s="56">
        <f t="shared" si="2"/>
        <v>44203.371527777788</v>
      </c>
      <c r="F25" s="54" t="s">
        <v>516</v>
      </c>
      <c r="G25" s="190"/>
      <c r="H25" s="190"/>
      <c r="I25" s="191"/>
      <c r="J25" s="191"/>
      <c r="K25" s="191"/>
      <c r="L25" s="191"/>
      <c r="M25" s="192"/>
      <c r="N25" s="192"/>
      <c r="O25" s="58" t="s">
        <v>2599</v>
      </c>
      <c r="P25" s="58" t="s">
        <v>2600</v>
      </c>
    </row>
    <row r="26" spans="1:16" ht="13.5" customHeight="1" x14ac:dyDescent="0.25">
      <c r="A26" s="31">
        <f t="shared" si="0"/>
        <v>44203.392361111124</v>
      </c>
      <c r="B26" s="37">
        <f t="shared" si="1"/>
        <v>44203.392361111124</v>
      </c>
      <c r="C26" s="55">
        <v>8.3333333333333329E-2</v>
      </c>
      <c r="D26" s="327"/>
      <c r="E26" s="56">
        <f t="shared" si="2"/>
        <v>44203.47569444446</v>
      </c>
      <c r="F26" s="54" t="s">
        <v>517</v>
      </c>
      <c r="G26" s="190"/>
      <c r="H26" s="190"/>
      <c r="I26" s="191"/>
      <c r="J26" s="191"/>
      <c r="K26" s="191"/>
      <c r="L26" s="191"/>
      <c r="M26" s="192"/>
      <c r="N26" s="192"/>
      <c r="O26" s="57" t="s">
        <v>2601</v>
      </c>
      <c r="P26" s="57" t="s">
        <v>2602</v>
      </c>
    </row>
    <row r="27" spans="1:16" ht="13.5" customHeight="1" x14ac:dyDescent="0.25">
      <c r="A27" s="31">
        <f t="shared" si="0"/>
        <v>44203.47569444446</v>
      </c>
      <c r="B27" s="37">
        <f t="shared" si="1"/>
        <v>44203.47569444446</v>
      </c>
      <c r="C27" s="55">
        <v>1.0416666666666666E-2</v>
      </c>
      <c r="D27" s="327">
        <v>2.0833333333333332E-2</v>
      </c>
      <c r="E27" s="56">
        <f t="shared" si="2"/>
        <v>44203.486111111124</v>
      </c>
      <c r="F27" s="657" t="s">
        <v>2603</v>
      </c>
      <c r="G27" s="190"/>
      <c r="H27" s="190"/>
      <c r="I27" s="191"/>
      <c r="J27" s="191"/>
      <c r="K27" s="191">
        <v>100.2</v>
      </c>
      <c r="L27" s="191">
        <f t="shared" si="3"/>
        <v>100.2</v>
      </c>
      <c r="M27" s="192"/>
      <c r="N27" s="192"/>
      <c r="O27" s="57"/>
      <c r="P27" s="57"/>
    </row>
    <row r="28" spans="1:16" ht="13.5" customHeight="1" x14ac:dyDescent="0.25">
      <c r="A28" s="31">
        <f t="shared" si="0"/>
        <v>44203.496527777796</v>
      </c>
      <c r="B28" s="37">
        <f t="shared" si="1"/>
        <v>44203.496527777796</v>
      </c>
      <c r="C28" s="55">
        <v>0.125</v>
      </c>
      <c r="D28" s="327"/>
      <c r="E28" s="56">
        <f t="shared" si="2"/>
        <v>44203.621527777796</v>
      </c>
      <c r="F28" s="657" t="s">
        <v>2604</v>
      </c>
      <c r="G28" s="190"/>
      <c r="H28" s="190"/>
      <c r="I28" s="191"/>
      <c r="J28" s="191"/>
      <c r="K28" s="191"/>
      <c r="L28" s="191"/>
      <c r="M28" s="192"/>
      <c r="N28" s="192"/>
      <c r="O28" s="57"/>
      <c r="P28" s="57"/>
    </row>
    <row r="29" spans="1:16" ht="13.5" customHeight="1" x14ac:dyDescent="0.25">
      <c r="A29" s="31">
        <f t="shared" si="0"/>
        <v>44203.621527777796</v>
      </c>
      <c r="B29" s="37">
        <f t="shared" si="1"/>
        <v>44203.621527777796</v>
      </c>
      <c r="C29" s="55">
        <v>0.125</v>
      </c>
      <c r="D29" s="327"/>
      <c r="E29" s="56">
        <f t="shared" si="2"/>
        <v>44203.746527777796</v>
      </c>
      <c r="F29" s="657" t="s">
        <v>2605</v>
      </c>
      <c r="G29" s="190"/>
      <c r="H29" s="190"/>
      <c r="I29" s="191"/>
      <c r="J29" s="191"/>
      <c r="K29" s="191"/>
      <c r="L29" s="191"/>
      <c r="M29" s="192"/>
      <c r="N29" s="192"/>
      <c r="O29" s="57"/>
      <c r="P29" s="57"/>
    </row>
    <row r="30" spans="1:16" ht="13.5" customHeight="1" x14ac:dyDescent="0.25">
      <c r="A30" s="31">
        <f t="shared" si="0"/>
        <v>44203.746527777796</v>
      </c>
      <c r="B30" s="37">
        <f t="shared" si="1"/>
        <v>44203.746527777796</v>
      </c>
      <c r="C30" s="55">
        <v>0.125</v>
      </c>
      <c r="D30" s="327"/>
      <c r="E30" s="56">
        <f t="shared" si="2"/>
        <v>44203.871527777796</v>
      </c>
      <c r="F30" s="657" t="s">
        <v>2606</v>
      </c>
      <c r="G30" s="190"/>
      <c r="H30" s="190"/>
      <c r="I30" s="191"/>
      <c r="J30" s="191"/>
      <c r="K30" s="191"/>
      <c r="L30" s="191"/>
      <c r="M30" s="192"/>
      <c r="N30" s="192"/>
      <c r="O30" s="57"/>
      <c r="P30" s="57"/>
    </row>
    <row r="31" spans="1:16" ht="13.5" customHeight="1" x14ac:dyDescent="0.25">
      <c r="A31" s="31">
        <f t="shared" si="0"/>
        <v>44203.871527777796</v>
      </c>
      <c r="B31" s="37">
        <f t="shared" si="1"/>
        <v>44203.871527777796</v>
      </c>
      <c r="C31" s="55">
        <v>0.125</v>
      </c>
      <c r="D31" s="327"/>
      <c r="E31" s="56">
        <f t="shared" si="2"/>
        <v>44203.996527777796</v>
      </c>
      <c r="F31" s="657" t="s">
        <v>2607</v>
      </c>
      <c r="G31" s="190"/>
      <c r="H31" s="190"/>
      <c r="I31" s="191"/>
      <c r="J31" s="191"/>
      <c r="K31" s="191"/>
      <c r="L31" s="191"/>
      <c r="M31" s="192"/>
      <c r="N31" s="192"/>
      <c r="O31" s="57"/>
      <c r="P31" s="57"/>
    </row>
    <row r="32" spans="1:16" ht="13.5" customHeight="1" x14ac:dyDescent="0.25">
      <c r="A32" s="31">
        <f t="shared" si="0"/>
        <v>44203.996527777796</v>
      </c>
      <c r="B32" s="37">
        <f t="shared" si="1"/>
        <v>44203.996527777796</v>
      </c>
      <c r="C32" s="55">
        <v>1.0416666666666666E-2</v>
      </c>
      <c r="D32" s="327"/>
      <c r="E32" s="56">
        <f t="shared" si="2"/>
        <v>44204.00694444446</v>
      </c>
      <c r="F32" s="657" t="s">
        <v>2608</v>
      </c>
      <c r="G32" s="190"/>
      <c r="H32" s="190"/>
      <c r="I32" s="191"/>
      <c r="J32" s="191"/>
      <c r="K32" s="191"/>
      <c r="L32" s="191"/>
      <c r="M32" s="192"/>
      <c r="N32" s="192"/>
      <c r="O32" s="57"/>
      <c r="P32" s="57"/>
    </row>
    <row r="33" spans="1:16" ht="13.5" customHeight="1" x14ac:dyDescent="0.25">
      <c r="A33" s="31">
        <f t="shared" si="0"/>
        <v>44204.00694444446</v>
      </c>
      <c r="B33" s="37">
        <f t="shared" si="1"/>
        <v>44204.00694444446</v>
      </c>
      <c r="C33" s="55">
        <v>0</v>
      </c>
      <c r="D33" s="327"/>
      <c r="E33" s="56">
        <f t="shared" si="2"/>
        <v>44204.00694444446</v>
      </c>
      <c r="F33" s="658" t="s">
        <v>2609</v>
      </c>
      <c r="G33" s="190"/>
      <c r="H33" s="190"/>
      <c r="I33" s="191"/>
      <c r="J33" s="191"/>
      <c r="K33" s="191"/>
      <c r="L33" s="191"/>
      <c r="M33" s="192"/>
      <c r="N33" s="192"/>
      <c r="O33" s="57"/>
      <c r="P33" s="57"/>
    </row>
    <row r="34" spans="1:16" ht="13.5" customHeight="1" x14ac:dyDescent="0.25">
      <c r="A34" s="31">
        <f t="shared" si="0"/>
        <v>44204.00694444446</v>
      </c>
      <c r="B34" s="37">
        <f t="shared" si="1"/>
        <v>44204.00694444446</v>
      </c>
      <c r="C34" s="55">
        <v>6.25E-2</v>
      </c>
      <c r="D34" s="327"/>
      <c r="E34" s="56">
        <f t="shared" si="2"/>
        <v>44204.06944444446</v>
      </c>
      <c r="F34" s="657" t="s">
        <v>2610</v>
      </c>
      <c r="G34" s="190"/>
      <c r="H34" s="190"/>
      <c r="I34" s="191"/>
      <c r="J34" s="191"/>
      <c r="K34" s="191"/>
      <c r="L34" s="191"/>
      <c r="M34" s="192"/>
      <c r="N34" s="192"/>
      <c r="O34" s="57"/>
      <c r="P34" s="57"/>
    </row>
    <row r="35" spans="1:16" ht="13.5" customHeight="1" x14ac:dyDescent="0.25">
      <c r="A35" s="31">
        <f t="shared" si="0"/>
        <v>44204.06944444446</v>
      </c>
      <c r="B35" s="37">
        <f t="shared" si="1"/>
        <v>44204.06944444446</v>
      </c>
      <c r="C35" s="55">
        <v>2.0833333333333332E-2</v>
      </c>
      <c r="D35" s="327"/>
      <c r="E35" s="56">
        <f t="shared" si="2"/>
        <v>44204.090277777796</v>
      </c>
      <c r="F35" s="659" t="s">
        <v>2611</v>
      </c>
      <c r="G35" s="190"/>
      <c r="H35" s="190"/>
      <c r="I35" s="191"/>
      <c r="J35" s="191"/>
      <c r="K35" s="191"/>
      <c r="L35" s="191"/>
      <c r="M35" s="192"/>
      <c r="N35" s="192"/>
      <c r="O35" s="57"/>
      <c r="P35" s="57"/>
    </row>
    <row r="36" spans="1:16" ht="13.5" customHeight="1" x14ac:dyDescent="0.25">
      <c r="A36" s="31">
        <f>IF(D35 = "",A35+C35,A35+D35)</f>
        <v>44204.090277777796</v>
      </c>
      <c r="B36" s="37">
        <f>IF(D35 = "",B35+C35,B35+D35)</f>
        <v>44204.090277777796</v>
      </c>
      <c r="C36" s="55">
        <v>2.0833333333333332E-2</v>
      </c>
      <c r="D36" s="327"/>
      <c r="E36" s="56">
        <f t="shared" si="2"/>
        <v>44204.111111111131</v>
      </c>
      <c r="F36" s="659" t="s">
        <v>2612</v>
      </c>
      <c r="G36" s="190"/>
      <c r="H36" s="190"/>
      <c r="I36" s="191"/>
      <c r="J36" s="191"/>
      <c r="K36" s="191"/>
      <c r="L36" s="191"/>
      <c r="M36" s="192"/>
      <c r="N36" s="192"/>
      <c r="O36" s="57"/>
      <c r="P36" s="57"/>
    </row>
    <row r="37" spans="1:16" x14ac:dyDescent="0.25">
      <c r="A37" s="189" t="s">
        <v>640</v>
      </c>
      <c r="B37" s="189"/>
      <c r="C37" s="189"/>
      <c r="D37" s="189"/>
      <c r="E37" s="189"/>
      <c r="F37" s="189"/>
      <c r="G37" s="197"/>
      <c r="H37" s="197"/>
      <c r="I37" s="197"/>
      <c r="J37" s="197"/>
      <c r="K37" s="197"/>
      <c r="L37" s="197"/>
    </row>
    <row r="38" spans="1:16" ht="13.5" customHeight="1" x14ac:dyDescent="0.35">
      <c r="A38" s="660">
        <f>IF(D36 = "",A36+C36,A36+D36)</f>
        <v>44204.111111111131</v>
      </c>
      <c r="B38" s="37">
        <f>IF(D36 = "",B36+C36,B36+D36)</f>
        <v>44204.111111111131</v>
      </c>
      <c r="C38" s="55">
        <v>0</v>
      </c>
      <c r="D38" s="327"/>
      <c r="E38" s="56">
        <f>B38+C38</f>
        <v>44204.111111111131</v>
      </c>
      <c r="F38" s="659" t="s">
        <v>2611</v>
      </c>
      <c r="G38" s="191"/>
      <c r="H38" s="191"/>
      <c r="I38" s="191"/>
      <c r="J38" s="191"/>
      <c r="K38" s="191"/>
      <c r="L38" s="191"/>
      <c r="M38" s="192"/>
      <c r="N38" s="192"/>
      <c r="O38" s="661"/>
      <c r="P38" s="661"/>
    </row>
    <row r="39" spans="1:16" ht="13.5" customHeight="1" x14ac:dyDescent="0.35">
      <c r="A39" s="660">
        <f>IF(D38 = "",A38+C38,A38+D38)</f>
        <v>44204.111111111131</v>
      </c>
      <c r="B39" s="37">
        <f>IF(D38 = "",B38+C38,B38+D38)</f>
        <v>44204.111111111131</v>
      </c>
      <c r="C39" s="55">
        <v>0</v>
      </c>
      <c r="D39" s="327"/>
      <c r="E39" s="56">
        <f t="shared" ref="E39:E52" si="4">B39+C39</f>
        <v>44204.111111111131</v>
      </c>
      <c r="F39" s="659" t="s">
        <v>2612</v>
      </c>
      <c r="G39" s="191"/>
      <c r="H39" s="191"/>
      <c r="I39" s="191"/>
      <c r="J39" s="191"/>
      <c r="K39" s="191"/>
      <c r="L39" s="191"/>
      <c r="O39" s="661"/>
      <c r="P39" s="661"/>
    </row>
    <row r="40" spans="1:16" ht="13.5" customHeight="1" x14ac:dyDescent="0.35">
      <c r="A40" s="660">
        <f t="shared" ref="A40:A51" si="5">IF(D39 = "",A39+C39,A39+D39)</f>
        <v>44204.111111111131</v>
      </c>
      <c r="B40" s="37">
        <f t="shared" ref="B40:B51" si="6">IF(D39 = "",B39+C39,B39+D39)</f>
        <v>44204.111111111131</v>
      </c>
      <c r="C40" s="55">
        <v>6.25E-2</v>
      </c>
      <c r="D40" s="327"/>
      <c r="E40" s="56">
        <f t="shared" si="4"/>
        <v>44204.173611111131</v>
      </c>
      <c r="F40" s="54" t="s">
        <v>523</v>
      </c>
      <c r="G40" s="190"/>
      <c r="H40" s="190"/>
      <c r="I40" s="191"/>
      <c r="J40" s="191"/>
      <c r="K40" s="191">
        <v>1621.69</v>
      </c>
      <c r="L40" s="191">
        <f t="shared" ref="L40:L50" si="7">SUM(I40:K40)</f>
        <v>1621.69</v>
      </c>
      <c r="M40" s="195" t="s">
        <v>2613</v>
      </c>
      <c r="N40" s="195">
        <f>SUM(K40:K51)</f>
        <v>2976.5854166666668</v>
      </c>
      <c r="O40" s="662" t="s">
        <v>592</v>
      </c>
      <c r="P40" s="662" t="s">
        <v>2614</v>
      </c>
    </row>
    <row r="41" spans="1:16" ht="13.5" customHeight="1" x14ac:dyDescent="0.35">
      <c r="A41" s="660">
        <f t="shared" si="5"/>
        <v>44204.173611111131</v>
      </c>
      <c r="B41" s="37">
        <f t="shared" si="6"/>
        <v>44204.173611111131</v>
      </c>
      <c r="C41" s="55">
        <v>0.14583333333333334</v>
      </c>
      <c r="D41" s="327"/>
      <c r="E41" s="56">
        <f t="shared" si="4"/>
        <v>44204.319444444467</v>
      </c>
      <c r="F41" s="663" t="s">
        <v>2615</v>
      </c>
      <c r="G41" s="190"/>
      <c r="H41" s="190"/>
      <c r="I41" s="191"/>
      <c r="J41" s="191"/>
      <c r="K41" s="191">
        <v>260</v>
      </c>
      <c r="L41" s="191">
        <f t="shared" si="7"/>
        <v>260</v>
      </c>
      <c r="M41" s="195" t="s">
        <v>2577</v>
      </c>
      <c r="N41" s="195">
        <f>SUM(L40:L51)</f>
        <v>2976.5854166666668</v>
      </c>
      <c r="O41" s="662" t="s">
        <v>593</v>
      </c>
      <c r="P41" s="662" t="s">
        <v>2616</v>
      </c>
    </row>
    <row r="42" spans="1:16" ht="13.5" customHeight="1" x14ac:dyDescent="0.35">
      <c r="A42" s="660">
        <f t="shared" si="5"/>
        <v>44204.319444444467</v>
      </c>
      <c r="B42" s="37">
        <f t="shared" si="6"/>
        <v>44204.319444444467</v>
      </c>
      <c r="C42" s="55">
        <v>0.14583333333333334</v>
      </c>
      <c r="D42" s="327"/>
      <c r="E42" s="56">
        <f t="shared" si="4"/>
        <v>44204.465277777803</v>
      </c>
      <c r="F42" s="663" t="s">
        <v>2617</v>
      </c>
      <c r="G42" s="190"/>
      <c r="H42" s="190"/>
      <c r="I42" s="191"/>
      <c r="J42" s="191"/>
      <c r="K42" s="191">
        <v>260</v>
      </c>
      <c r="L42" s="191">
        <f t="shared" si="7"/>
        <v>260</v>
      </c>
      <c r="M42" s="192"/>
      <c r="N42" s="192"/>
      <c r="O42" s="662" t="s">
        <v>594</v>
      </c>
      <c r="P42" s="662" t="s">
        <v>2618</v>
      </c>
    </row>
    <row r="43" spans="1:16" ht="13.5" customHeight="1" x14ac:dyDescent="0.35">
      <c r="A43" s="660">
        <f t="shared" si="5"/>
        <v>44204.465277777803</v>
      </c>
      <c r="B43" s="37">
        <f t="shared" si="6"/>
        <v>44204.465277777803</v>
      </c>
      <c r="C43" s="55">
        <v>0.14583333333333334</v>
      </c>
      <c r="D43" s="327"/>
      <c r="E43" s="56">
        <f t="shared" si="4"/>
        <v>44204.611111111139</v>
      </c>
      <c r="F43" s="663" t="s">
        <v>2619</v>
      </c>
      <c r="G43" s="190"/>
      <c r="H43" s="190"/>
      <c r="I43" s="191"/>
      <c r="J43" s="191"/>
      <c r="K43" s="191">
        <v>260</v>
      </c>
      <c r="L43" s="191">
        <f t="shared" si="7"/>
        <v>260</v>
      </c>
      <c r="M43" s="192"/>
      <c r="N43" s="192"/>
      <c r="O43" s="662"/>
      <c r="P43" s="662"/>
    </row>
    <row r="44" spans="1:16" ht="13.5" customHeight="1" x14ac:dyDescent="0.35">
      <c r="A44" s="660">
        <f t="shared" si="5"/>
        <v>44204.611111111139</v>
      </c>
      <c r="B44" s="37">
        <f t="shared" si="6"/>
        <v>44204.611111111139</v>
      </c>
      <c r="C44" s="55">
        <v>0.125</v>
      </c>
      <c r="D44" s="327"/>
      <c r="E44" s="56">
        <f t="shared" si="4"/>
        <v>44204.736111111139</v>
      </c>
      <c r="F44" s="54" t="s">
        <v>516</v>
      </c>
      <c r="G44" s="190"/>
      <c r="H44" s="190"/>
      <c r="I44" s="191"/>
      <c r="J44" s="191"/>
      <c r="K44" s="191"/>
      <c r="L44" s="191"/>
      <c r="M44" s="192"/>
      <c r="N44" s="192"/>
      <c r="O44" s="662" t="s">
        <v>595</v>
      </c>
      <c r="P44" s="662" t="s">
        <v>2620</v>
      </c>
    </row>
    <row r="45" spans="1:16" ht="13.5" customHeight="1" x14ac:dyDescent="0.35">
      <c r="A45" s="660">
        <f t="shared" si="5"/>
        <v>44204.736111111139</v>
      </c>
      <c r="B45" s="37">
        <f t="shared" si="6"/>
        <v>44204.736111111139</v>
      </c>
      <c r="C45" s="55">
        <v>0.10416666666666667</v>
      </c>
      <c r="D45" s="327"/>
      <c r="E45" s="56">
        <f t="shared" si="4"/>
        <v>44204.840277777803</v>
      </c>
      <c r="F45" s="54" t="s">
        <v>527</v>
      </c>
      <c r="G45" s="190"/>
      <c r="H45" s="190"/>
      <c r="I45" s="191"/>
      <c r="J45" s="191"/>
      <c r="K45" s="191"/>
      <c r="L45" s="191"/>
      <c r="M45" s="192"/>
      <c r="N45" s="192"/>
      <c r="O45" s="662" t="s">
        <v>2621</v>
      </c>
      <c r="P45" s="662" t="s">
        <v>2622</v>
      </c>
    </row>
    <row r="46" spans="1:16" ht="13.5" customHeight="1" x14ac:dyDescent="0.35">
      <c r="A46" s="660">
        <f t="shared" si="5"/>
        <v>44204.840277777803</v>
      </c>
      <c r="B46" s="37">
        <f t="shared" si="6"/>
        <v>44204.840277777803</v>
      </c>
      <c r="C46" s="55">
        <v>3.125E-2</v>
      </c>
      <c r="D46" s="327"/>
      <c r="E46" s="56">
        <f t="shared" si="4"/>
        <v>44204.871527777803</v>
      </c>
      <c r="F46" s="54" t="s">
        <v>528</v>
      </c>
      <c r="G46" s="190"/>
      <c r="H46" s="190"/>
      <c r="I46" s="191"/>
      <c r="J46" s="191"/>
      <c r="K46" s="191">
        <v>537.97472222222211</v>
      </c>
      <c r="L46" s="191">
        <f t="shared" si="7"/>
        <v>537.97472222222211</v>
      </c>
      <c r="M46" s="192"/>
      <c r="N46" s="192"/>
      <c r="O46" s="662" t="s">
        <v>589</v>
      </c>
      <c r="P46" s="662" t="s">
        <v>2623</v>
      </c>
    </row>
    <row r="47" spans="1:16" ht="13.5" customHeight="1" x14ac:dyDescent="0.35">
      <c r="A47" s="660">
        <f t="shared" si="5"/>
        <v>44204.871527777803</v>
      </c>
      <c r="B47" s="37">
        <f t="shared" si="6"/>
        <v>44204.871527777803</v>
      </c>
      <c r="C47" s="55">
        <v>0.10416666666666667</v>
      </c>
      <c r="D47" s="327"/>
      <c r="E47" s="56">
        <f t="shared" si="4"/>
        <v>44204.975694444467</v>
      </c>
      <c r="F47" s="54" t="s">
        <v>516</v>
      </c>
      <c r="G47" s="190"/>
      <c r="H47" s="190"/>
      <c r="I47" s="191"/>
      <c r="J47" s="191"/>
      <c r="K47" s="191"/>
      <c r="L47" s="191"/>
      <c r="O47" s="662" t="s">
        <v>597</v>
      </c>
      <c r="P47" s="662" t="s">
        <v>2624</v>
      </c>
    </row>
    <row r="48" spans="1:16" ht="13.5" hidden="1" customHeight="1" x14ac:dyDescent="0.35">
      <c r="A48" s="665">
        <f t="shared" si="5"/>
        <v>44204.975694444467</v>
      </c>
      <c r="B48" s="564">
        <f t="shared" si="6"/>
        <v>44204.975694444467</v>
      </c>
      <c r="C48" s="664">
        <v>0</v>
      </c>
      <c r="D48" s="562"/>
      <c r="E48" s="666">
        <f t="shared" si="4"/>
        <v>44204.975694444467</v>
      </c>
      <c r="F48" s="667" t="s">
        <v>693</v>
      </c>
      <c r="G48" s="668"/>
      <c r="H48" s="668"/>
      <c r="I48" s="669"/>
      <c r="J48" s="669"/>
      <c r="K48" s="669"/>
      <c r="L48" s="669"/>
      <c r="O48" s="662"/>
      <c r="P48" s="662"/>
    </row>
    <row r="49" spans="1:16" ht="13.5" customHeight="1" x14ac:dyDescent="0.35">
      <c r="A49" s="660">
        <f t="shared" si="5"/>
        <v>44204.975694444467</v>
      </c>
      <c r="B49" s="37">
        <f t="shared" si="6"/>
        <v>44204.975694444467</v>
      </c>
      <c r="C49" s="55">
        <v>4.1666666666666664E-2</v>
      </c>
      <c r="D49" s="327"/>
      <c r="E49" s="56">
        <f t="shared" si="4"/>
        <v>44205.017361111131</v>
      </c>
      <c r="F49" s="54" t="s">
        <v>529</v>
      </c>
      <c r="G49" s="190"/>
      <c r="H49" s="190"/>
      <c r="I49" s="191"/>
      <c r="J49" s="191"/>
      <c r="K49" s="191"/>
      <c r="L49" s="191"/>
      <c r="O49" s="662" t="s">
        <v>593</v>
      </c>
      <c r="P49" s="662" t="s">
        <v>2625</v>
      </c>
    </row>
    <row r="50" spans="1:16" ht="13.5" customHeight="1" x14ac:dyDescent="0.35">
      <c r="A50" s="660">
        <f>IF(D49 = "",A49+C49,A49+D49)</f>
        <v>44205.017361111131</v>
      </c>
      <c r="B50" s="37">
        <f>IF(D49 = "",B49+C49,B49+D49)</f>
        <v>44205.017361111131</v>
      </c>
      <c r="C50" s="55">
        <v>2.0833333333333332E-2</v>
      </c>
      <c r="D50" s="327"/>
      <c r="E50" s="56">
        <f t="shared" si="4"/>
        <v>44205.038194444467</v>
      </c>
      <c r="F50" s="54" t="s">
        <v>530</v>
      </c>
      <c r="G50" s="190"/>
      <c r="H50" s="190"/>
      <c r="I50" s="191"/>
      <c r="J50" s="191"/>
      <c r="K50" s="191">
        <v>36.920694444444443</v>
      </c>
      <c r="L50" s="191">
        <f t="shared" si="7"/>
        <v>36.920694444444443</v>
      </c>
      <c r="M50" s="195" t="s">
        <v>2626</v>
      </c>
      <c r="N50" s="195">
        <f>SUM(K50:K54)</f>
        <v>36.920694444444443</v>
      </c>
      <c r="O50" s="662"/>
      <c r="P50" s="662"/>
    </row>
    <row r="51" spans="1:16" ht="13.5" customHeight="1" x14ac:dyDescent="0.35">
      <c r="A51" s="660">
        <f t="shared" si="5"/>
        <v>44205.038194444467</v>
      </c>
      <c r="B51" s="37">
        <f t="shared" si="6"/>
        <v>44205.038194444467</v>
      </c>
      <c r="C51" s="55">
        <v>0</v>
      </c>
      <c r="D51" s="327"/>
      <c r="E51" s="56">
        <f t="shared" si="4"/>
        <v>44205.038194444467</v>
      </c>
      <c r="F51" s="682" t="s">
        <v>2627</v>
      </c>
      <c r="G51" s="190"/>
      <c r="H51" s="190"/>
      <c r="I51" s="191"/>
      <c r="J51" s="191"/>
      <c r="K51" s="191"/>
      <c r="L51" s="191"/>
      <c r="M51" s="201" t="s">
        <v>2577</v>
      </c>
      <c r="N51" s="201">
        <f>SUM(L50:L54)</f>
        <v>36.920694444444443</v>
      </c>
      <c r="O51" s="662" t="s">
        <v>589</v>
      </c>
      <c r="P51" s="662" t="s">
        <v>2628</v>
      </c>
    </row>
    <row r="52" spans="1:16" ht="13.5" customHeight="1" x14ac:dyDescent="0.35">
      <c r="A52" s="660">
        <f>IF(D51 = "",A51+C51,A51+D51)</f>
        <v>44205.038194444467</v>
      </c>
      <c r="B52" s="37">
        <f>IF(D51 = "",B51+C51,B51+D51)</f>
        <v>44205.038194444467</v>
      </c>
      <c r="C52" s="55">
        <v>0.10416666666666667</v>
      </c>
      <c r="D52" s="327"/>
      <c r="E52" s="56">
        <f t="shared" si="4"/>
        <v>44205.142361111131</v>
      </c>
      <c r="F52" s="54" t="s">
        <v>520</v>
      </c>
      <c r="G52" s="190"/>
      <c r="H52" s="190"/>
      <c r="I52" s="191"/>
      <c r="J52" s="191"/>
      <c r="K52" s="191"/>
      <c r="L52" s="191"/>
      <c r="O52" s="662" t="s">
        <v>590</v>
      </c>
      <c r="P52" s="662" t="s">
        <v>2629</v>
      </c>
    </row>
    <row r="53" spans="1:16" ht="14.5" x14ac:dyDescent="0.25">
      <c r="A53" s="189" t="s">
        <v>2630</v>
      </c>
      <c r="B53" s="189"/>
      <c r="C53" s="189"/>
      <c r="D53" s="189"/>
      <c r="E53" s="189"/>
      <c r="F53" s="189"/>
      <c r="G53" s="197"/>
      <c r="H53" s="197"/>
      <c r="I53" s="197"/>
      <c r="J53" s="197"/>
      <c r="K53" s="197"/>
      <c r="L53" s="197"/>
      <c r="O53" s="200"/>
      <c r="P53" s="200"/>
    </row>
    <row r="54" spans="1:16" ht="13.5" customHeight="1" x14ac:dyDescent="0.25">
      <c r="A54" s="31">
        <v>44207.354166666664</v>
      </c>
      <c r="B54" s="37">
        <f>A54</f>
        <v>44207.354166666664</v>
      </c>
      <c r="C54" s="174">
        <v>6.25E-2</v>
      </c>
      <c r="D54" s="327" t="str">
        <f t="shared" ref="D54" si="8">IF(_xlfn.ISFORMULA(E54)=TRUE,"",E54-B54)</f>
        <v/>
      </c>
      <c r="E54" s="169">
        <f>B54+C54</f>
        <v>44207.416666666664</v>
      </c>
      <c r="F54" s="569" t="s">
        <v>533</v>
      </c>
      <c r="G54" s="171"/>
      <c r="H54" s="171"/>
      <c r="I54" s="171">
        <v>85</v>
      </c>
      <c r="J54" s="171"/>
      <c r="K54" s="171"/>
      <c r="L54" s="171"/>
      <c r="O54" s="177"/>
      <c r="P54" s="176"/>
    </row>
    <row r="55" spans="1:16" ht="21" x14ac:dyDescent="0.55000000000000004">
      <c r="A55" s="53"/>
      <c r="B55" s="52" t="s">
        <v>534</v>
      </c>
      <c r="D55" s="51">
        <f>SUM(D13:D36,D40:D52)</f>
        <v>0.43749999999999994</v>
      </c>
      <c r="G55" s="198" t="s">
        <v>535</v>
      </c>
      <c r="H55" s="199">
        <f>SUM(H13:H36,H40:H52)</f>
        <v>65</v>
      </c>
      <c r="I55" s="199">
        <f>SUM(I13:I36,I40:I54)</f>
        <v>242.39168514412415</v>
      </c>
      <c r="J55" s="199">
        <f>SUM(J13:J36,J40:J52)</f>
        <v>33.241492346938777</v>
      </c>
      <c r="K55" s="199">
        <f>SUM(K13:K36,K40:K52)</f>
        <v>5859.4072702020203</v>
      </c>
      <c r="L55" s="199">
        <f>SUM(L13:L36,L40:L52)</f>
        <v>6050.0404476930826</v>
      </c>
    </row>
    <row r="56" spans="1:16" x14ac:dyDescent="0.25">
      <c r="B56" s="50" t="s">
        <v>536</v>
      </c>
      <c r="D56" s="49">
        <f>D55/24</f>
        <v>1.8229166666666664E-2</v>
      </c>
      <c r="G56" s="47"/>
      <c r="H56" s="47"/>
      <c r="I56" s="242" t="s">
        <v>537</v>
      </c>
      <c r="J56" s="47"/>
      <c r="K56" s="47"/>
      <c r="L56" s="47"/>
    </row>
    <row r="57" spans="1:16" x14ac:dyDescent="0.25">
      <c r="G57" s="47"/>
      <c r="H57" s="47"/>
      <c r="I57" s="47"/>
      <c r="J57" s="47"/>
      <c r="K57" s="47"/>
      <c r="L57" s="47"/>
    </row>
    <row r="58" spans="1:16" x14ac:dyDescent="0.25">
      <c r="G58" s="47"/>
      <c r="H58" s="47"/>
      <c r="I58" s="47"/>
      <c r="J58" s="47"/>
      <c r="K58" s="47"/>
      <c r="L58" s="47"/>
    </row>
    <row r="59" spans="1:16" x14ac:dyDescent="0.25">
      <c r="G59" s="47"/>
      <c r="H59" s="47"/>
      <c r="I59" s="47"/>
      <c r="J59" s="47"/>
      <c r="K59" s="47"/>
      <c r="L59" s="47"/>
    </row>
    <row r="60" spans="1:16" x14ac:dyDescent="0.25">
      <c r="D60" s="48"/>
      <c r="G60" s="47"/>
      <c r="H60" s="47"/>
      <c r="I60" s="47"/>
      <c r="J60" s="47"/>
      <c r="K60" s="47"/>
      <c r="L60" s="47"/>
    </row>
    <row r="61" spans="1:16" x14ac:dyDescent="0.25">
      <c r="G61" s="47"/>
      <c r="H61" s="47"/>
      <c r="I61" s="47"/>
      <c r="J61" s="47"/>
      <c r="K61" s="47"/>
      <c r="L61" s="47"/>
    </row>
    <row r="62" spans="1:16" x14ac:dyDescent="0.25">
      <c r="G62" s="47"/>
      <c r="H62" s="47"/>
      <c r="I62" s="47"/>
      <c r="J62" s="47"/>
      <c r="K62" s="47"/>
      <c r="L62" s="47"/>
    </row>
    <row r="63" spans="1:16" x14ac:dyDescent="0.25">
      <c r="G63" s="47"/>
      <c r="H63" s="47"/>
      <c r="I63" s="47"/>
      <c r="J63" s="47"/>
      <c r="K63" s="47"/>
      <c r="L63" s="47"/>
    </row>
    <row r="64" spans="1:16" x14ac:dyDescent="0.25">
      <c r="G64" s="47"/>
      <c r="H64" s="47"/>
      <c r="I64" s="47"/>
      <c r="J64" s="47"/>
      <c r="K64" s="47"/>
      <c r="L64" s="47"/>
    </row>
    <row r="65" spans="6:12" x14ac:dyDescent="0.25">
      <c r="G65" s="47"/>
      <c r="H65" s="47"/>
      <c r="I65" s="47"/>
      <c r="J65" s="47"/>
      <c r="K65" s="47"/>
      <c r="L65" s="47"/>
    </row>
    <row r="66" spans="6:12" x14ac:dyDescent="0.25">
      <c r="G66" s="47"/>
      <c r="H66" s="47"/>
      <c r="I66" s="47"/>
      <c r="J66" s="47"/>
      <c r="K66" s="47"/>
      <c r="L66" s="47"/>
    </row>
    <row r="67" spans="6:12" x14ac:dyDescent="0.25">
      <c r="G67" s="47"/>
      <c r="H67" s="47"/>
      <c r="I67" s="47"/>
      <c r="J67" s="47"/>
      <c r="K67" s="47"/>
      <c r="L67" s="47"/>
    </row>
    <row r="68" spans="6:12" x14ac:dyDescent="0.25">
      <c r="G68" s="47"/>
      <c r="H68" s="47"/>
      <c r="I68" s="47"/>
      <c r="J68" s="47"/>
      <c r="K68" s="47"/>
      <c r="L68" s="47"/>
    </row>
    <row r="69" spans="6:12" x14ac:dyDescent="0.25">
      <c r="G69" s="47"/>
      <c r="H69" s="47"/>
      <c r="I69" s="47"/>
      <c r="J69" s="47"/>
      <c r="K69" s="47"/>
      <c r="L69" s="47"/>
    </row>
    <row r="70" spans="6:12" x14ac:dyDescent="0.25">
      <c r="G70" s="47"/>
      <c r="H70" s="47"/>
      <c r="I70" s="47"/>
      <c r="J70" s="47"/>
      <c r="K70" s="47"/>
      <c r="L70" s="47"/>
    </row>
    <row r="71" spans="6:12" x14ac:dyDescent="0.25">
      <c r="G71" s="47"/>
      <c r="H71" s="47"/>
      <c r="I71" s="47"/>
      <c r="J71" s="47"/>
      <c r="K71" s="47"/>
      <c r="L71" s="47"/>
    </row>
    <row r="72" spans="6:12" x14ac:dyDescent="0.25">
      <c r="G72" s="47"/>
      <c r="H72" s="47"/>
      <c r="I72" s="47"/>
      <c r="J72" s="47"/>
      <c r="K72" s="47"/>
      <c r="L72" s="47"/>
    </row>
    <row r="73" spans="6:12" x14ac:dyDescent="0.25">
      <c r="G73" s="47"/>
      <c r="H73" s="47"/>
      <c r="I73" s="47"/>
      <c r="J73" s="47"/>
      <c r="K73" s="47"/>
      <c r="L73" s="47"/>
    </row>
    <row r="74" spans="6:12" x14ac:dyDescent="0.25">
      <c r="G74" s="47"/>
      <c r="H74" s="47"/>
      <c r="I74" s="47"/>
      <c r="J74" s="47"/>
      <c r="K74" s="47"/>
      <c r="L74" s="47"/>
    </row>
    <row r="75" spans="6:12" x14ac:dyDescent="0.25">
      <c r="G75" s="47"/>
      <c r="H75" s="47"/>
      <c r="I75" s="47"/>
      <c r="J75" s="47"/>
      <c r="K75" s="47"/>
      <c r="L75" s="47"/>
    </row>
    <row r="76" spans="6:12" x14ac:dyDescent="0.25">
      <c r="G76" s="47"/>
      <c r="H76" s="47"/>
      <c r="I76" s="47"/>
      <c r="J76" s="47"/>
      <c r="K76" s="47"/>
      <c r="L76" s="47"/>
    </row>
    <row r="77" spans="6:12" x14ac:dyDescent="0.25">
      <c r="F77" s="47"/>
    </row>
    <row r="78" spans="6:12" x14ac:dyDescent="0.25">
      <c r="F78" s="47"/>
    </row>
  </sheetData>
  <mergeCells count="2">
    <mergeCell ref="A1:B1"/>
    <mergeCell ref="A5:D5"/>
  </mergeCells>
  <pageMargins left="0.75" right="0.75" top="1" bottom="1" header="0.5" footer="0.5"/>
  <pageSetup orientation="portrait" r:id="rId1"/>
  <headerFooter alignWithMargins="0">
    <oddFooter>&amp;R&amp;"Arial,Regular"&amp;08&amp;K7F7F7FAmgen Proprietary - Confidential   &amp;C&amp;"Calibri"&amp;11&amp;K000000&amp;"Calibri"&amp;11&amp;K000000&amp;"Arial,Regular"&amp;08&amp;K7F7F7FAmgen Proprietary - For Internal Use Only_x000D_&amp;1#&amp;"Calibri"&amp;10&amp;K000000 Non-Amgen</oddFooter>
    <evenFooter>&amp;R&amp;"Arial,Regular"&amp;08&amp;K7F7F7FAmgen Proprietary - Confidential   &amp;C&amp;"Arial,Regular"&amp;08&amp;K7F7F7FAmgen Proprietary - For Internal Use Only</evenFooter>
    <firstFooter>&amp;R&amp;"Arial,Regular"&amp;08&amp;K7F7F7FAmgen Proprietary - Confidential   &amp;C&amp;"Arial,Regular"&amp;08&amp;K7F7F7FAmgen Proprietary - For Internal Use Only</firstFooter>
  </headerFooter>
</worksheet>
</file>

<file path=xl/worksheets/sheet7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6F6814-1736-4C21-A7DF-2E90EEC4A290}">
  <sheetPr codeName="Sheet103">
    <pageSetUpPr autoPageBreaks="0"/>
  </sheetPr>
  <dimension ref="A1:O95"/>
  <sheetViews>
    <sheetView topLeftCell="B16" zoomScale="80" zoomScaleNormal="80" workbookViewId="0">
      <selection activeCell="F36" sqref="F36"/>
    </sheetView>
  </sheetViews>
  <sheetFormatPr defaultColWidth="23.453125" defaultRowHeight="15" customHeight="1" x14ac:dyDescent="0.25"/>
  <cols>
    <col min="1" max="1" width="58.453125" style="25" customWidth="1"/>
    <col min="2" max="2" width="29.453125" style="25" customWidth="1"/>
    <col min="3" max="3" width="23.453125" style="25"/>
    <col min="4" max="4" width="23.453125" style="25" customWidth="1"/>
    <col min="5" max="5" width="23.453125" style="25"/>
    <col min="6" max="6" width="79.54296875" style="25" bestFit="1" customWidth="1"/>
    <col min="7" max="7" width="40.54296875" style="25" customWidth="1"/>
    <col min="8" max="11" width="10.54296875" style="25" customWidth="1"/>
    <col min="12" max="12" width="12.54296875" style="25" bestFit="1" customWidth="1"/>
    <col min="13" max="13" width="15" style="25" customWidth="1"/>
    <col min="14" max="16384" width="23.453125" style="25"/>
  </cols>
  <sheetData>
    <row r="1" spans="1:15" ht="15" customHeight="1" thickBot="1" x14ac:dyDescent="0.3">
      <c r="A1" s="1064" t="s">
        <v>479</v>
      </c>
      <c r="B1" s="1065"/>
    </row>
    <row r="2" spans="1:15" ht="15" customHeight="1" x14ac:dyDescent="0.25">
      <c r="A2" s="43" t="s">
        <v>480</v>
      </c>
      <c r="B2" s="289">
        <v>44546.201388888891</v>
      </c>
    </row>
    <row r="3" spans="1:15" ht="15" customHeight="1" thickBot="1" x14ac:dyDescent="0.3">
      <c r="A3" s="42" t="s">
        <v>482</v>
      </c>
      <c r="B3" s="290">
        <f>B2</f>
        <v>44546.201388888891</v>
      </c>
    </row>
    <row r="5" spans="1:15" ht="15" customHeight="1" x14ac:dyDescent="0.25">
      <c r="A5" s="328" t="s">
        <v>484</v>
      </c>
      <c r="B5" s="328"/>
      <c r="C5" s="328"/>
      <c r="D5" s="328"/>
    </row>
    <row r="6" spans="1:15" ht="15" customHeight="1" x14ac:dyDescent="0.25">
      <c r="A6" s="781" t="s">
        <v>485</v>
      </c>
      <c r="B6" s="781" t="s">
        <v>486</v>
      </c>
      <c r="C6" s="781" t="s">
        <v>487</v>
      </c>
      <c r="D6" s="781" t="s">
        <v>488</v>
      </c>
    </row>
    <row r="7" spans="1:15" ht="15" customHeight="1" x14ac:dyDescent="0.25">
      <c r="A7" s="41" t="str">
        <f>F30</f>
        <v xml:space="preserve">   Reactor 2 Sample for drug substance analysis (PR_171 in Methanol)</v>
      </c>
      <c r="B7" s="325">
        <f>INDEX($A$15:$A$71,MATCH(A7,$F$15:$F$71,0))</f>
        <v>44547.204861111124</v>
      </c>
      <c r="C7" s="37">
        <f>INDEX($B$15:$B$71,MATCH(A7,$F$15:$F$71,0))</f>
        <v>44547.204861111124</v>
      </c>
      <c r="D7" s="297" t="s">
        <v>2658</v>
      </c>
    </row>
    <row r="8" spans="1:15" ht="15" customHeight="1" x14ac:dyDescent="0.25">
      <c r="A8" s="41" t="str">
        <f>F51</f>
        <v xml:space="preserve">   Reactor 1 Sample for drug substance analysis (PR-171 in Methanol)</v>
      </c>
      <c r="B8" s="325">
        <f>INDEX($A$15:$A$71,MATCH(A8,$F$15:$F$71,0))</f>
        <v>44550.621527777803</v>
      </c>
      <c r="C8" s="37">
        <f>INDEX($B$15:$B$71,MATCH(A8,$F$15:$F$71,0))</f>
        <v>44550.621527777803</v>
      </c>
      <c r="D8" s="297" t="s">
        <v>2658</v>
      </c>
      <c r="E8" s="719"/>
    </row>
    <row r="9" spans="1:15" ht="15" customHeight="1" x14ac:dyDescent="0.25">
      <c r="A9" s="41" t="str">
        <f>F67</f>
        <v xml:space="preserve">   Filter Dryer Sample for drug substance analysis (PR-171 in Methanol)</v>
      </c>
      <c r="B9" s="325">
        <f>INDEX($A$15:$A$71,MATCH(A9,$F$15:$F$71,0))</f>
        <v>44551.812500000044</v>
      </c>
      <c r="C9" s="37">
        <f>INDEX($B$15:$B$71,MATCH(A9,$F$15:$F$71,0))</f>
        <v>44551.812500000044</v>
      </c>
      <c r="D9" s="297"/>
      <c r="E9" s="719"/>
    </row>
    <row r="10" spans="1:15" ht="15" customHeight="1" x14ac:dyDescent="0.25">
      <c r="A10" s="41" t="str">
        <f>F70</f>
        <v xml:space="preserve">  [Parallel] Chemical Canister Residual Solvent Sample (Acetone in EA)</v>
      </c>
      <c r="B10" s="325">
        <f>INDEX($A$15:$A$71,MATCH(A10,$F$15:$F$71,0))</f>
        <v>44551.774305555591</v>
      </c>
      <c r="C10" s="37">
        <f>E70</f>
        <v>44551.774305555591</v>
      </c>
      <c r="D10" s="297"/>
    </row>
    <row r="11" spans="1:15" ht="15" customHeight="1" x14ac:dyDescent="0.25">
      <c r="A11" s="578" t="s">
        <v>2667</v>
      </c>
      <c r="B11" s="325">
        <f>B71</f>
        <v>44551.774305555591</v>
      </c>
      <c r="C11" s="718">
        <f>E71</f>
        <v>44551.920138888927</v>
      </c>
      <c r="D11" s="297"/>
    </row>
    <row r="13" spans="1:15" ht="23" x14ac:dyDescent="0.25">
      <c r="A13" s="749" t="s">
        <v>492</v>
      </c>
      <c r="B13" s="749" t="s">
        <v>576</v>
      </c>
      <c r="C13" s="749" t="s">
        <v>2484</v>
      </c>
      <c r="D13" s="749" t="s">
        <v>2668</v>
      </c>
      <c r="E13" s="749" t="s">
        <v>560</v>
      </c>
      <c r="F13" s="749" t="s">
        <v>541</v>
      </c>
      <c r="G13" s="749" t="s">
        <v>498</v>
      </c>
      <c r="H13" s="372" t="s">
        <v>500</v>
      </c>
      <c r="I13" s="372" t="s">
        <v>677</v>
      </c>
      <c r="J13" s="372" t="s">
        <v>92</v>
      </c>
      <c r="K13" s="372" t="s">
        <v>96</v>
      </c>
      <c r="L13" s="373" t="s">
        <v>501</v>
      </c>
      <c r="M13" s="386" t="s">
        <v>114</v>
      </c>
    </row>
    <row r="14" spans="1:15" ht="15" customHeight="1" x14ac:dyDescent="0.25">
      <c r="A14" s="279" t="s">
        <v>2519</v>
      </c>
      <c r="B14" s="279"/>
      <c r="C14" s="279"/>
      <c r="D14" s="279"/>
      <c r="E14" s="279"/>
      <c r="F14" s="279"/>
      <c r="G14" s="279"/>
      <c r="H14" s="374"/>
      <c r="I14" s="374"/>
      <c r="J14" s="374"/>
      <c r="K14" s="374"/>
      <c r="L14" s="375"/>
      <c r="M14" s="387"/>
    </row>
    <row r="15" spans="1:15" ht="15" customHeight="1" x14ac:dyDescent="0.25">
      <c r="A15" s="31">
        <f>B2</f>
        <v>44546.201388888891</v>
      </c>
      <c r="B15" s="332">
        <f>B3</f>
        <v>44546.201388888891</v>
      </c>
      <c r="C15" s="398">
        <v>2.0833333333333332E-2</v>
      </c>
      <c r="D15" s="420" t="str">
        <f t="shared" ref="D15" si="0">IF(_xlfn.ISFORMULA(E15)=TRUE,"",E15-B15)</f>
        <v/>
      </c>
      <c r="E15" s="421">
        <f t="shared" ref="E15:E29" si="1">B15+C15</f>
        <v>44546.222222222226</v>
      </c>
      <c r="F15" s="422" t="s">
        <v>2669</v>
      </c>
      <c r="G15" s="277"/>
      <c r="H15" s="376">
        <v>132.11957070707069</v>
      </c>
      <c r="I15" s="377"/>
      <c r="J15" s="377"/>
      <c r="K15" s="378"/>
      <c r="L15" s="388">
        <f t="shared" ref="L15" si="2">SUM(H15:I15,K15)</f>
        <v>132.11957070707069</v>
      </c>
      <c r="M15" s="378"/>
      <c r="N15" s="1067" t="s">
        <v>652</v>
      </c>
      <c r="O15" s="1067"/>
    </row>
    <row r="16" spans="1:15" ht="15" customHeight="1" x14ac:dyDescent="0.25">
      <c r="A16" s="31">
        <f>IF(D15 = "",A15+C15,A15+D15)</f>
        <v>44546.222222222226</v>
      </c>
      <c r="B16" s="421">
        <f>IF(D15 = "",B15+C15,B15+D15)</f>
        <v>44546.222222222226</v>
      </c>
      <c r="C16" s="398">
        <v>1.3888888888888888E-2</v>
      </c>
      <c r="D16" s="420" t="str">
        <f t="shared" ref="D16:D28" si="3">IF(_xlfn.ISFORMULA(E16)=TRUE,"",E16-B16)</f>
        <v/>
      </c>
      <c r="E16" s="421">
        <f t="shared" si="1"/>
        <v>44546.236111111117</v>
      </c>
      <c r="F16" s="422" t="s">
        <v>2671</v>
      </c>
      <c r="G16" s="275"/>
      <c r="H16" s="343"/>
      <c r="I16" s="343"/>
      <c r="J16" s="343"/>
      <c r="K16" s="343">
        <v>205.46709183673468</v>
      </c>
      <c r="L16" s="388">
        <f>SUM(H16:I16,K16)</f>
        <v>205.46709183673468</v>
      </c>
      <c r="M16" s="378"/>
      <c r="N16" s="390" t="s">
        <v>2651</v>
      </c>
      <c r="O16" s="343">
        <f>SUM(H15:H24)</f>
        <v>1713.4689393939393</v>
      </c>
    </row>
    <row r="17" spans="1:15" ht="15" customHeight="1" x14ac:dyDescent="0.25">
      <c r="A17" s="31">
        <f>IF(D16 = "",A16+C16,A16+D16)</f>
        <v>44546.236111111117</v>
      </c>
      <c r="B17" s="421">
        <f>IF(D16 = "",B16+C16,B16+D16)</f>
        <v>44546.236111111117</v>
      </c>
      <c r="C17" s="398">
        <v>1.3888888888888888E-2</v>
      </c>
      <c r="D17" s="420" t="str">
        <f t="shared" si="3"/>
        <v/>
      </c>
      <c r="E17" s="421">
        <f t="shared" si="1"/>
        <v>44546.250000000007</v>
      </c>
      <c r="F17" s="422" t="s">
        <v>2672</v>
      </c>
      <c r="G17" s="275"/>
      <c r="H17" s="343"/>
      <c r="I17" s="343">
        <v>213.24035476718404</v>
      </c>
      <c r="J17" s="343"/>
      <c r="K17" s="343"/>
      <c r="L17" s="388">
        <f>SUM(H17:I17,K17)</f>
        <v>213.24035476718404</v>
      </c>
      <c r="M17" s="378"/>
      <c r="N17" s="390" t="s">
        <v>2647</v>
      </c>
      <c r="O17" s="343">
        <f>SUM(I15:I24)</f>
        <v>598.07239467849229</v>
      </c>
    </row>
    <row r="18" spans="1:15" ht="15" customHeight="1" x14ac:dyDescent="0.25">
      <c r="A18" s="31">
        <f t="shared" ref="A18:A19" si="4">IF(D17 = "",A17+C17,A17+D17)</f>
        <v>44546.250000000007</v>
      </c>
      <c r="B18" s="421">
        <f t="shared" ref="B18:B19" si="5">IF(D17 = "",B17+C17,B17+D17)</f>
        <v>44546.250000000007</v>
      </c>
      <c r="C18" s="398">
        <v>6.9444444444444441E-3</v>
      </c>
      <c r="D18" s="420" t="str">
        <f t="shared" si="3"/>
        <v/>
      </c>
      <c r="E18" s="421">
        <f t="shared" si="1"/>
        <v>44546.256944444453</v>
      </c>
      <c r="F18" s="422" t="s">
        <v>2673</v>
      </c>
      <c r="G18" s="275"/>
      <c r="H18" s="343"/>
      <c r="I18" s="343">
        <v>125.73203991130821</v>
      </c>
      <c r="J18" s="343"/>
      <c r="K18" s="343"/>
      <c r="L18" s="388">
        <f>SUM(H18:I18,K18)</f>
        <v>125.73203991130821</v>
      </c>
      <c r="M18" s="378"/>
      <c r="N18" s="390" t="s">
        <v>682</v>
      </c>
      <c r="O18" s="343">
        <f>SUM(L15:L24)</f>
        <v>2517.0084259091664</v>
      </c>
    </row>
    <row r="19" spans="1:15" ht="15" customHeight="1" x14ac:dyDescent="0.25">
      <c r="A19" s="31">
        <f t="shared" si="4"/>
        <v>44546.256944444453</v>
      </c>
      <c r="B19" s="421">
        <f t="shared" si="5"/>
        <v>44546.256944444453</v>
      </c>
      <c r="C19" s="423">
        <v>1.3888888888888888E-2</v>
      </c>
      <c r="D19" s="420" t="str">
        <f t="shared" si="3"/>
        <v/>
      </c>
      <c r="E19" s="421">
        <f t="shared" si="1"/>
        <v>44546.270833333343</v>
      </c>
      <c r="F19" s="422" t="s">
        <v>2454</v>
      </c>
      <c r="G19" s="275"/>
      <c r="H19" s="343"/>
      <c r="I19" s="343"/>
      <c r="J19" s="343">
        <v>250</v>
      </c>
      <c r="K19" s="343"/>
      <c r="L19" s="388"/>
      <c r="M19" s="378">
        <v>250</v>
      </c>
    </row>
    <row r="20" spans="1:15" ht="15" customHeight="1" x14ac:dyDescent="0.25">
      <c r="A20" s="31">
        <f>IF(D19 = "",A19+C19,A19+D19)</f>
        <v>44546.270833333343</v>
      </c>
      <c r="B20" s="421">
        <f>IF(D19 = "",B19+C19,B19+D19)</f>
        <v>44546.270833333343</v>
      </c>
      <c r="C20" s="423">
        <v>4.1666666666666664E-2</v>
      </c>
      <c r="D20" s="420" t="str">
        <f t="shared" si="3"/>
        <v/>
      </c>
      <c r="E20" s="421">
        <f t="shared" si="1"/>
        <v>44546.312500000007</v>
      </c>
      <c r="F20" s="422" t="s">
        <v>2455</v>
      </c>
      <c r="G20" s="275"/>
      <c r="H20" s="343"/>
      <c r="I20" s="343">
        <v>259.10000000000002</v>
      </c>
      <c r="J20" s="343"/>
      <c r="K20" s="343"/>
      <c r="L20" s="388">
        <f t="shared" ref="L20:L25" si="6">SUM(H20:I20,K20)</f>
        <v>259.10000000000002</v>
      </c>
      <c r="M20" s="378"/>
    </row>
    <row r="21" spans="1:15" ht="15" customHeight="1" x14ac:dyDescent="0.25">
      <c r="A21" s="31">
        <f>IF(D20 = "",A20+C20,A20+D20)</f>
        <v>44546.312500000007</v>
      </c>
      <c r="B21" s="421">
        <f>IF(D20 = "",B20+C20,B20+D20)</f>
        <v>44546.312500000007</v>
      </c>
      <c r="C21" s="423">
        <v>2.0833333333333332E-2</v>
      </c>
      <c r="D21" s="420" t="str">
        <f t="shared" si="3"/>
        <v/>
      </c>
      <c r="E21" s="421">
        <f t="shared" si="1"/>
        <v>44546.333333333343</v>
      </c>
      <c r="F21" s="422" t="s">
        <v>619</v>
      </c>
      <c r="G21" s="275"/>
      <c r="H21" s="343">
        <v>51.172853535353532</v>
      </c>
      <c r="I21" s="343"/>
      <c r="J21" s="343"/>
      <c r="K21" s="343"/>
      <c r="L21" s="388">
        <f t="shared" si="6"/>
        <v>51.172853535353532</v>
      </c>
      <c r="M21" s="378"/>
    </row>
    <row r="22" spans="1:15" ht="15" customHeight="1" x14ac:dyDescent="0.25">
      <c r="A22" s="31">
        <f>IF(D21 = "",A21+C21,A21+D21)</f>
        <v>44546.333333333343</v>
      </c>
      <c r="B22" s="421">
        <f>IF(D21 = "",B21+C21,B21+D21)</f>
        <v>44546.333333333343</v>
      </c>
      <c r="C22" s="423">
        <v>3.125E-2</v>
      </c>
      <c r="D22" s="420" t="str">
        <f t="shared" si="3"/>
        <v/>
      </c>
      <c r="E22" s="421">
        <f t="shared" si="1"/>
        <v>44546.364583333343</v>
      </c>
      <c r="F22" s="422" t="s">
        <v>2674</v>
      </c>
      <c r="G22" s="275"/>
      <c r="H22" s="343">
        <v>610.1765151515151</v>
      </c>
      <c r="I22" s="343"/>
      <c r="J22" s="343"/>
      <c r="K22" s="343"/>
      <c r="L22" s="388">
        <f t="shared" si="6"/>
        <v>610.1765151515151</v>
      </c>
      <c r="M22" s="378"/>
    </row>
    <row r="23" spans="1:15" ht="15" customHeight="1" x14ac:dyDescent="0.25">
      <c r="A23" s="31">
        <f>IF(D22 = "",A22+C22,A22+D22)</f>
        <v>44546.364583333343</v>
      </c>
      <c r="B23" s="421">
        <f>IF(D22 = "",B22+C22,B22+D22)</f>
        <v>44546.364583333343</v>
      </c>
      <c r="C23" s="398">
        <v>0.3125</v>
      </c>
      <c r="D23" s="420" t="str">
        <f t="shared" si="3"/>
        <v/>
      </c>
      <c r="E23" s="421">
        <f t="shared" si="1"/>
        <v>44546.677083333343</v>
      </c>
      <c r="F23" s="422" t="s">
        <v>2456</v>
      </c>
      <c r="G23" s="275"/>
      <c r="H23" s="343">
        <v>550</v>
      </c>
      <c r="I23" s="343"/>
      <c r="J23" s="343"/>
      <c r="K23" s="343"/>
      <c r="L23" s="388">
        <f t="shared" si="6"/>
        <v>550</v>
      </c>
      <c r="M23" s="378"/>
    </row>
    <row r="24" spans="1:15" ht="15" customHeight="1" x14ac:dyDescent="0.25">
      <c r="A24" s="31">
        <f>IF(D23 = "",A23+C23,A23+D23)</f>
        <v>44546.677083333343</v>
      </c>
      <c r="B24" s="421">
        <f>IF(D23 = "",B23+C23,B23+D23)</f>
        <v>44546.677083333343</v>
      </c>
      <c r="C24" s="398">
        <v>0.3125</v>
      </c>
      <c r="D24" s="420" t="str">
        <f t="shared" si="3"/>
        <v/>
      </c>
      <c r="E24" s="421">
        <f t="shared" si="1"/>
        <v>44546.989583333343</v>
      </c>
      <c r="F24" s="424" t="s">
        <v>2459</v>
      </c>
      <c r="G24" s="413"/>
      <c r="H24" s="384">
        <v>370</v>
      </c>
      <c r="I24" s="384"/>
      <c r="J24" s="384"/>
      <c r="K24" s="384"/>
      <c r="L24" s="412">
        <f t="shared" si="6"/>
        <v>370</v>
      </c>
      <c r="M24" s="411"/>
    </row>
    <row r="25" spans="1:15" ht="15" customHeight="1" x14ac:dyDescent="0.25">
      <c r="A25" s="31">
        <f>IF(D26 = "",A26+C26,A26+D26)</f>
        <v>44546.989583333343</v>
      </c>
      <c r="B25" s="421">
        <f>IF(D26 = "",B26+C26,B26+D26)</f>
        <v>44546.989583333343</v>
      </c>
      <c r="C25" s="425">
        <v>7.6388888888888895E-2</v>
      </c>
      <c r="D25" s="426" t="str">
        <f t="shared" si="3"/>
        <v/>
      </c>
      <c r="E25" s="421">
        <f t="shared" si="1"/>
        <v>44547.065972222234</v>
      </c>
      <c r="F25" s="422" t="s">
        <v>2461</v>
      </c>
      <c r="G25" s="414"/>
      <c r="H25" s="343">
        <v>816.77665404040408</v>
      </c>
      <c r="I25" s="343"/>
      <c r="J25" s="343"/>
      <c r="K25" s="343"/>
      <c r="L25" s="378">
        <f t="shared" si="6"/>
        <v>816.77665404040408</v>
      </c>
      <c r="M25" s="378"/>
    </row>
    <row r="26" spans="1:15" ht="15" hidden="1" customHeight="1" thickBot="1" x14ac:dyDescent="0.3">
      <c r="A26" s="31">
        <f>IF(D24 = "",A24+C24,A24+D24)</f>
        <v>44546.989583333343</v>
      </c>
      <c r="B26" s="421">
        <f>IF(D24 = "",B24+C24,B24+D24)</f>
        <v>44546.989583333343</v>
      </c>
      <c r="C26" s="435">
        <v>0</v>
      </c>
      <c r="D26" s="436" t="str">
        <f t="shared" si="3"/>
        <v/>
      </c>
      <c r="E26" s="434">
        <f t="shared" si="1"/>
        <v>44546.989583333343</v>
      </c>
      <c r="F26" s="415" t="s">
        <v>2675</v>
      </c>
      <c r="G26" s="416"/>
      <c r="H26" s="417"/>
      <c r="I26" s="417"/>
      <c r="J26" s="417"/>
      <c r="K26" s="417"/>
      <c r="L26" s="418"/>
      <c r="M26" s="419"/>
    </row>
    <row r="27" spans="1:15" ht="15" customHeight="1" x14ac:dyDescent="0.25">
      <c r="A27" s="31">
        <f>IF(D25 = "",A25+C25,A25+D25)</f>
        <v>44547.065972222234</v>
      </c>
      <c r="B27" s="421">
        <f>IF(D25 = "",B25+C25,B25+D25)</f>
        <v>44547.065972222234</v>
      </c>
      <c r="C27" s="398">
        <v>6.25E-2</v>
      </c>
      <c r="D27" s="420" t="str">
        <f t="shared" si="3"/>
        <v/>
      </c>
      <c r="E27" s="421">
        <f t="shared" si="1"/>
        <v>44547.128472222234</v>
      </c>
      <c r="F27" s="422" t="s">
        <v>647</v>
      </c>
      <c r="G27" s="275"/>
      <c r="H27" s="343"/>
      <c r="I27" s="343"/>
      <c r="J27" s="343"/>
      <c r="K27" s="343"/>
      <c r="L27" s="388"/>
      <c r="M27" s="378"/>
      <c r="N27" s="1066" t="s">
        <v>609</v>
      </c>
      <c r="O27" s="1067"/>
    </row>
    <row r="28" spans="1:15" ht="15" customHeight="1" x14ac:dyDescent="0.25">
      <c r="A28" s="31">
        <f>IF(D27 = "",A27+C27,A27+D27)</f>
        <v>44547.128472222234</v>
      </c>
      <c r="B28" s="421">
        <f t="shared" ref="B28:B33" si="7">IF(D27 = "",B27+C27,B27+D27)</f>
        <v>44547.128472222234</v>
      </c>
      <c r="C28" s="398">
        <v>6.25E-2</v>
      </c>
      <c r="D28" s="420" t="str">
        <f t="shared" si="3"/>
        <v/>
      </c>
      <c r="E28" s="421">
        <f t="shared" si="1"/>
        <v>44547.190972222234</v>
      </c>
      <c r="F28" s="422" t="s">
        <v>648</v>
      </c>
      <c r="G28" s="275"/>
      <c r="H28" s="343"/>
      <c r="I28" s="343"/>
      <c r="J28" s="343"/>
      <c r="K28" s="343"/>
      <c r="L28" s="388"/>
      <c r="M28" s="378"/>
      <c r="N28" s="390" t="s">
        <v>2651</v>
      </c>
      <c r="O28" s="343">
        <f>SUM(H25:H35)</f>
        <v>943.03665404040407</v>
      </c>
    </row>
    <row r="29" spans="1:15" ht="15" customHeight="1" x14ac:dyDescent="0.25">
      <c r="A29" s="31">
        <f>IF(D28 = "",A28+C28,A28+D28)</f>
        <v>44547.190972222234</v>
      </c>
      <c r="B29" s="421">
        <f t="shared" si="7"/>
        <v>44547.190972222234</v>
      </c>
      <c r="C29" s="398">
        <v>1.3888888888888888E-2</v>
      </c>
      <c r="D29" s="420"/>
      <c r="E29" s="421">
        <f t="shared" si="1"/>
        <v>44547.204861111124</v>
      </c>
      <c r="F29" s="288" t="s">
        <v>2463</v>
      </c>
      <c r="G29" s="275"/>
      <c r="H29" s="343"/>
      <c r="I29" s="343"/>
      <c r="J29" s="343"/>
      <c r="K29" s="343"/>
      <c r="L29" s="388"/>
      <c r="M29" s="378"/>
      <c r="N29" s="390" t="s">
        <v>2647</v>
      </c>
      <c r="O29" s="343">
        <f>SUM(I25:I35)</f>
        <v>0</v>
      </c>
    </row>
    <row r="30" spans="1:15" ht="15" customHeight="1" x14ac:dyDescent="0.25">
      <c r="A30" s="31">
        <f>IF(D29 = "",A29+C29,A29+D29)</f>
        <v>44547.204861111124</v>
      </c>
      <c r="B30" s="421">
        <f t="shared" si="7"/>
        <v>44547.204861111124</v>
      </c>
      <c r="C30" s="398">
        <v>0</v>
      </c>
      <c r="D30" s="420"/>
      <c r="E30" s="421" t="s">
        <v>99</v>
      </c>
      <c r="F30" s="427" t="s">
        <v>2676</v>
      </c>
      <c r="G30" s="275"/>
      <c r="H30" s="343"/>
      <c r="I30" s="343"/>
      <c r="J30" s="343"/>
      <c r="K30" s="343"/>
      <c r="L30" s="388"/>
      <c r="M30" s="378"/>
      <c r="N30" s="390"/>
      <c r="O30" s="343"/>
    </row>
    <row r="31" spans="1:15" ht="15" customHeight="1" x14ac:dyDescent="0.25">
      <c r="A31" s="31">
        <f>IF(D30 = "",A30+C30,A30+D30)</f>
        <v>44547.204861111124</v>
      </c>
      <c r="B31" s="421">
        <f t="shared" si="7"/>
        <v>44547.204861111124</v>
      </c>
      <c r="C31" s="398">
        <v>0.10416666666666667</v>
      </c>
      <c r="D31" s="420" t="str">
        <f>IF(_xlfn.ISFORMULA(E31)=TRUE,"",E31-B31)</f>
        <v/>
      </c>
      <c r="E31" s="421">
        <f>B31+C31</f>
        <v>44547.309027777788</v>
      </c>
      <c r="F31" s="422" t="s">
        <v>647</v>
      </c>
      <c r="G31" s="275"/>
      <c r="H31" s="343"/>
      <c r="I31" s="343"/>
      <c r="J31" s="343"/>
      <c r="K31" s="343"/>
      <c r="L31" s="388"/>
      <c r="M31" s="378"/>
      <c r="N31" s="390" t="s">
        <v>682</v>
      </c>
      <c r="O31" s="343">
        <f>SUM(L25:L35)</f>
        <v>943.03665404040407</v>
      </c>
    </row>
    <row r="32" spans="1:15" ht="15" customHeight="1" x14ac:dyDescent="0.25">
      <c r="A32" s="31">
        <f t="shared" ref="A32:A33" si="8">IF(D31 = "",A31+C31,A31+D31)</f>
        <v>44547.309027777788</v>
      </c>
      <c r="B32" s="421">
        <f t="shared" si="7"/>
        <v>44547.309027777788</v>
      </c>
      <c r="C32" s="398">
        <v>2.0833333333333332E-2</v>
      </c>
      <c r="D32" s="420" t="str">
        <f>IF(_xlfn.ISFORMULA(E32)=TRUE,"",E32-B32)</f>
        <v/>
      </c>
      <c r="E32" s="421">
        <f>B32+C32</f>
        <v>44547.329861111124</v>
      </c>
      <c r="F32" s="429" t="s">
        <v>600</v>
      </c>
      <c r="G32" s="275"/>
      <c r="H32" s="343"/>
      <c r="I32" s="343"/>
      <c r="J32" s="343"/>
      <c r="K32" s="343"/>
      <c r="L32" s="388"/>
      <c r="M32" s="378"/>
    </row>
    <row r="33" spans="1:15" ht="15" customHeight="1" x14ac:dyDescent="0.25">
      <c r="A33" s="31">
        <f t="shared" si="8"/>
        <v>44547.329861111124</v>
      </c>
      <c r="B33" s="421">
        <f t="shared" si="7"/>
        <v>44547.329861111124</v>
      </c>
      <c r="C33" s="398">
        <v>1.3888888888888888E-2</v>
      </c>
      <c r="D33" s="420" t="str">
        <f>IF(_xlfn.ISFORMULA(E33)=TRUE,"",E33-B33)</f>
        <v/>
      </c>
      <c r="E33" s="421">
        <f>B33+C33</f>
        <v>44547.343750000015</v>
      </c>
      <c r="F33" s="429" t="s">
        <v>2677</v>
      </c>
      <c r="G33" s="275"/>
      <c r="H33" s="379">
        <v>126.26</v>
      </c>
      <c r="I33" s="380"/>
      <c r="J33" s="343"/>
      <c r="K33" s="343"/>
      <c r="L33" s="388">
        <f>SUM(H33:I33,K33)</f>
        <v>126.26</v>
      </c>
      <c r="M33" s="378"/>
    </row>
    <row r="34" spans="1:15" ht="15" customHeight="1" x14ac:dyDescent="0.25">
      <c r="A34" s="280" t="s">
        <v>664</v>
      </c>
      <c r="B34" s="280"/>
      <c r="C34" s="280"/>
      <c r="D34" s="280"/>
      <c r="E34" s="280"/>
      <c r="F34" s="280"/>
      <c r="G34" s="280"/>
      <c r="H34" s="381"/>
      <c r="I34" s="381"/>
      <c r="J34" s="381"/>
      <c r="K34" s="381"/>
      <c r="L34" s="391"/>
      <c r="M34" s="391"/>
    </row>
    <row r="35" spans="1:15" ht="15" customHeight="1" x14ac:dyDescent="0.25">
      <c r="A35" s="31">
        <f>IF(D33 = "",A33+C33,A33+D33)</f>
        <v>44547.343750000015</v>
      </c>
      <c r="B35" s="421">
        <f>IF(D33 = "",B33+C33,B33+D33)</f>
        <v>44547.343750000015</v>
      </c>
      <c r="C35" s="398">
        <v>0</v>
      </c>
      <c r="D35" s="420"/>
      <c r="E35" s="421">
        <f>B35+C35</f>
        <v>44547.343750000015</v>
      </c>
      <c r="F35" s="429" t="s">
        <v>2677</v>
      </c>
      <c r="G35" s="275"/>
      <c r="H35" s="343"/>
      <c r="I35" s="343"/>
      <c r="J35" s="343"/>
      <c r="K35" s="343"/>
      <c r="L35" s="388"/>
      <c r="M35" s="378"/>
    </row>
    <row r="36" spans="1:15" ht="15" customHeight="1" x14ac:dyDescent="0.25">
      <c r="A36" s="31">
        <f>IF(D35 = "",A35+C35,A35+D35)</f>
        <v>44547.343750000015</v>
      </c>
      <c r="B36" s="421">
        <f>IF(D35 = "",B35+C35,B35+D35)</f>
        <v>44547.343750000015</v>
      </c>
      <c r="C36" s="398">
        <v>7.6388888888888895E-2</v>
      </c>
      <c r="D36" s="420" t="str">
        <f>IF(_xlfn.ISFORMULA(E36)=TRUE,"",E36-B36)</f>
        <v/>
      </c>
      <c r="E36" s="421">
        <f>B36+C36</f>
        <v>44547.420138888905</v>
      </c>
      <c r="F36" s="288" t="s">
        <v>2453</v>
      </c>
      <c r="G36" s="275"/>
      <c r="H36" s="343"/>
      <c r="I36" s="343">
        <v>149.55654101995566</v>
      </c>
      <c r="J36" s="343"/>
      <c r="K36" s="343"/>
      <c r="L36" s="388">
        <f>SUM(H36:I36,K36)</f>
        <v>149.55654101995566</v>
      </c>
      <c r="M36" s="378"/>
    </row>
    <row r="37" spans="1:15" ht="15" customHeight="1" x14ac:dyDescent="0.25">
      <c r="A37" s="31">
        <f>IF(D36 = "",A36+C36,A36+D36)</f>
        <v>44547.420138888905</v>
      </c>
      <c r="B37" s="421">
        <f>IF(D36 = "",B36+C36,B36+D36)</f>
        <v>44547.420138888905</v>
      </c>
      <c r="C37" s="423">
        <v>2.7777777777777776E-2</v>
      </c>
      <c r="D37" s="420" t="str">
        <f>IF(_xlfn.ISFORMULA(E37)=TRUE,"",E37-B37)</f>
        <v/>
      </c>
      <c r="E37" s="421">
        <f>B37+C37</f>
        <v>44547.447916666686</v>
      </c>
      <c r="F37" s="288" t="s">
        <v>2679</v>
      </c>
      <c r="G37" s="275"/>
      <c r="H37" s="343"/>
      <c r="I37" s="343"/>
      <c r="J37" s="343">
        <v>30.886520000000001</v>
      </c>
      <c r="K37" s="343"/>
      <c r="L37" s="388"/>
      <c r="M37" s="378">
        <f>J37</f>
        <v>30.886520000000001</v>
      </c>
      <c r="N37" s="1066" t="s">
        <v>624</v>
      </c>
      <c r="O37" s="1067"/>
    </row>
    <row r="38" spans="1:15" ht="15" customHeight="1" x14ac:dyDescent="0.25">
      <c r="A38" s="31">
        <f>IF(D37 = "",A37+C37,A37+D37)</f>
        <v>44547.447916666686</v>
      </c>
      <c r="B38" s="421">
        <f>IF(D37 = "",B37+C37,B37+D37)</f>
        <v>44547.447916666686</v>
      </c>
      <c r="C38" s="423">
        <v>2.7777777777777776E-2</v>
      </c>
      <c r="D38" s="420" t="str">
        <f t="shared" ref="D38:D45" si="9">IF(_xlfn.ISFORMULA(E38)=TRUE,"",E38-B38)</f>
        <v/>
      </c>
      <c r="E38" s="421">
        <f t="shared" ref="E38:E50" si="10">B38+C38</f>
        <v>44547.475694444467</v>
      </c>
      <c r="F38" s="288" t="s">
        <v>2680</v>
      </c>
      <c r="G38" s="275"/>
      <c r="H38" s="343"/>
      <c r="I38" s="343"/>
      <c r="J38" s="343"/>
      <c r="K38" s="343">
        <v>33.241492346938777</v>
      </c>
      <c r="L38" s="388">
        <f t="shared" ref="L38:L44" si="11">SUM(H38:I38,K38)</f>
        <v>33.241492346938777</v>
      </c>
      <c r="M38" s="378"/>
      <c r="N38" s="390" t="s">
        <v>681</v>
      </c>
      <c r="O38" s="343">
        <f>SUM(M36:M56)</f>
        <v>30.886520000000001</v>
      </c>
    </row>
    <row r="39" spans="1:15" ht="15" customHeight="1" x14ac:dyDescent="0.25">
      <c r="A39" s="31">
        <f t="shared" ref="A39:A51" si="12">IF(D38 = "",A38+C38,A38+D38)</f>
        <v>44547.475694444467</v>
      </c>
      <c r="B39" s="421">
        <f t="shared" ref="B39:B51" si="13">IF(D38 = "",B38+C38,B38+D38)</f>
        <v>44547.475694444467</v>
      </c>
      <c r="C39" s="423">
        <v>5.5555555555555552E-2</v>
      </c>
      <c r="D39" s="420" t="str">
        <f t="shared" si="9"/>
        <v/>
      </c>
      <c r="E39" s="421">
        <f t="shared" si="10"/>
        <v>44547.531250000022</v>
      </c>
      <c r="F39" s="288" t="s">
        <v>2681</v>
      </c>
      <c r="G39" s="275"/>
      <c r="H39" s="343"/>
      <c r="I39" s="343">
        <v>31.659944567627491</v>
      </c>
      <c r="J39" s="343"/>
      <c r="K39" s="343"/>
      <c r="L39" s="388">
        <f t="shared" si="11"/>
        <v>31.659944567627491</v>
      </c>
      <c r="M39" s="378"/>
      <c r="N39" s="390" t="s">
        <v>2647</v>
      </c>
      <c r="O39" s="343">
        <f>SUM(I36:I56)</f>
        <v>307.52158536585364</v>
      </c>
    </row>
    <row r="40" spans="1:15" ht="15" customHeight="1" x14ac:dyDescent="0.25">
      <c r="A40" s="31">
        <f t="shared" si="12"/>
        <v>44547.531250000022</v>
      </c>
      <c r="B40" s="421">
        <f t="shared" si="13"/>
        <v>44547.531250000022</v>
      </c>
      <c r="C40" s="398">
        <v>1.3888888888888888E-2</v>
      </c>
      <c r="D40" s="420" t="str">
        <f t="shared" si="9"/>
        <v/>
      </c>
      <c r="E40" s="421">
        <f t="shared" si="10"/>
        <v>44547.545138888912</v>
      </c>
      <c r="F40" s="288" t="s">
        <v>2467</v>
      </c>
      <c r="G40" s="275"/>
      <c r="H40" s="343"/>
      <c r="I40" s="343">
        <v>126.3050997782705</v>
      </c>
      <c r="J40" s="343"/>
      <c r="K40" s="343"/>
      <c r="L40" s="388">
        <f t="shared" si="11"/>
        <v>126.3050997782705</v>
      </c>
      <c r="M40" s="378"/>
      <c r="N40" s="390" t="s">
        <v>2651</v>
      </c>
      <c r="O40" s="343">
        <f>SUM(H36:H56)</f>
        <v>2451.8039424242425</v>
      </c>
    </row>
    <row r="41" spans="1:15" ht="15" customHeight="1" x14ac:dyDescent="0.25">
      <c r="A41" s="31">
        <f t="shared" si="12"/>
        <v>44547.545138888912</v>
      </c>
      <c r="B41" s="421">
        <f t="shared" si="13"/>
        <v>44547.545138888912</v>
      </c>
      <c r="C41" s="423">
        <v>2.0833333333333332E-2</v>
      </c>
      <c r="D41" s="420" t="str">
        <f t="shared" si="9"/>
        <v/>
      </c>
      <c r="E41" s="421">
        <f t="shared" si="10"/>
        <v>44547.565972222248</v>
      </c>
      <c r="F41" s="288" t="s">
        <v>619</v>
      </c>
      <c r="G41" s="275"/>
      <c r="H41" s="343">
        <v>46.870950000000001</v>
      </c>
      <c r="I41" s="343"/>
      <c r="J41" s="343"/>
      <c r="K41" s="343"/>
      <c r="L41" s="388">
        <f t="shared" si="11"/>
        <v>46.870950000000001</v>
      </c>
      <c r="M41" s="378"/>
      <c r="N41" s="390" t="s">
        <v>682</v>
      </c>
      <c r="O41" s="343">
        <f>SUM(L36:L56)</f>
        <v>2792.5670201370349</v>
      </c>
    </row>
    <row r="42" spans="1:15" s="267" customFormat="1" ht="15" customHeight="1" x14ac:dyDescent="0.25">
      <c r="A42" s="31">
        <f t="shared" si="12"/>
        <v>44547.565972222248</v>
      </c>
      <c r="B42" s="421">
        <f t="shared" si="13"/>
        <v>44547.565972222248</v>
      </c>
      <c r="C42" s="423">
        <v>2.7777777777777776E-2</v>
      </c>
      <c r="D42" s="420" t="str">
        <f t="shared" si="9"/>
        <v/>
      </c>
      <c r="E42" s="421">
        <f t="shared" si="10"/>
        <v>44547.593750000029</v>
      </c>
      <c r="F42" s="288" t="s">
        <v>2489</v>
      </c>
      <c r="G42" s="275"/>
      <c r="H42" s="343">
        <v>539.29006313131322</v>
      </c>
      <c r="I42" s="343"/>
      <c r="J42" s="343"/>
      <c r="K42" s="343"/>
      <c r="L42" s="388">
        <f t="shared" si="11"/>
        <v>539.29006313131322</v>
      </c>
      <c r="M42" s="378"/>
    </row>
    <row r="43" spans="1:15" ht="15" customHeight="1" x14ac:dyDescent="0.25">
      <c r="A43" s="31">
        <f t="shared" si="12"/>
        <v>44547.593750000029</v>
      </c>
      <c r="B43" s="421">
        <f t="shared" si="13"/>
        <v>44547.593750000029</v>
      </c>
      <c r="C43" s="423">
        <v>0.29166666666666669</v>
      </c>
      <c r="D43" s="420" t="str">
        <f t="shared" si="9"/>
        <v/>
      </c>
      <c r="E43" s="421">
        <f t="shared" si="10"/>
        <v>44547.885416666693</v>
      </c>
      <c r="F43" s="288" t="s">
        <v>2456</v>
      </c>
      <c r="G43" s="275"/>
      <c r="H43" s="343">
        <v>450</v>
      </c>
      <c r="I43" s="343"/>
      <c r="J43" s="343"/>
      <c r="K43" s="343"/>
      <c r="L43" s="388">
        <f t="shared" si="11"/>
        <v>450</v>
      </c>
      <c r="M43" s="378"/>
    </row>
    <row r="44" spans="1:15" ht="15" customHeight="1" x14ac:dyDescent="0.25">
      <c r="A44" s="31">
        <f t="shared" si="12"/>
        <v>44547.885416666693</v>
      </c>
      <c r="B44" s="421">
        <f t="shared" si="13"/>
        <v>44547.885416666693</v>
      </c>
      <c r="C44" s="398">
        <v>0.29166666666666669</v>
      </c>
      <c r="D44" s="420" t="str">
        <f t="shared" si="9"/>
        <v/>
      </c>
      <c r="E44" s="421">
        <f t="shared" si="10"/>
        <v>44548.177083333358</v>
      </c>
      <c r="F44" s="288" t="s">
        <v>2459</v>
      </c>
      <c r="G44" s="275"/>
      <c r="H44" s="382">
        <v>450</v>
      </c>
      <c r="I44" s="343"/>
      <c r="J44" s="343"/>
      <c r="K44" s="343"/>
      <c r="L44" s="388">
        <f t="shared" si="11"/>
        <v>450</v>
      </c>
      <c r="M44" s="378"/>
    </row>
    <row r="45" spans="1:15" ht="15" customHeight="1" x14ac:dyDescent="0.25">
      <c r="A45" s="31">
        <f t="shared" si="12"/>
        <v>44548.177083333358</v>
      </c>
      <c r="B45" s="421">
        <f t="shared" si="13"/>
        <v>44548.177083333358</v>
      </c>
      <c r="C45" s="398">
        <v>7.6388888888888895E-2</v>
      </c>
      <c r="D45" s="420" t="str">
        <f t="shared" si="9"/>
        <v/>
      </c>
      <c r="E45" s="421">
        <f t="shared" si="10"/>
        <v>44548.253472222248</v>
      </c>
      <c r="F45" s="288" t="s">
        <v>647</v>
      </c>
      <c r="G45" s="275"/>
      <c r="H45" s="382"/>
      <c r="I45" s="343"/>
      <c r="J45" s="343"/>
      <c r="K45" s="343"/>
      <c r="L45" s="388"/>
      <c r="M45" s="378"/>
    </row>
    <row r="46" spans="1:15" ht="15" customHeight="1" x14ac:dyDescent="0.25">
      <c r="A46" s="31">
        <f t="shared" ref="A46" si="14">IF(D45 = "",A45+C45,A45+D45)</f>
        <v>44548.253472222248</v>
      </c>
      <c r="B46" s="421">
        <f t="shared" ref="B46" si="15">IF(D45 = "",B45+C45,B45+D45)</f>
        <v>44548.253472222248</v>
      </c>
      <c r="C46" s="609">
        <v>2.0833333333333335</v>
      </c>
      <c r="D46" s="420" t="str">
        <f t="shared" ref="D46" si="16">IF(_xlfn.ISFORMULA(E46)=TRUE,"",E46-B46)</f>
        <v/>
      </c>
      <c r="E46" s="421">
        <f t="shared" ref="E46" si="17">B46+C46</f>
        <v>44550.336805555584</v>
      </c>
      <c r="F46" s="724" t="s">
        <v>2675</v>
      </c>
      <c r="G46" s="275"/>
      <c r="H46" s="382"/>
      <c r="I46" s="343"/>
      <c r="J46" s="343"/>
      <c r="K46" s="343"/>
      <c r="L46" s="388"/>
      <c r="M46" s="378"/>
    </row>
    <row r="47" spans="1:15" ht="15" customHeight="1" x14ac:dyDescent="0.25">
      <c r="A47" s="31">
        <f>IF(D46 = "",A46+C46,A46+D46)</f>
        <v>44550.336805555584</v>
      </c>
      <c r="B47" s="421">
        <f>IF(D45 = "",B46+C46,B46+D46)</f>
        <v>44550.336805555584</v>
      </c>
      <c r="C47" s="398">
        <v>7.6388888888888895E-2</v>
      </c>
      <c r="D47" s="420">
        <v>0.1111111111111111</v>
      </c>
      <c r="E47" s="421">
        <f t="shared" si="10"/>
        <v>44550.413194444474</v>
      </c>
      <c r="F47" s="288" t="s">
        <v>642</v>
      </c>
      <c r="G47" s="275"/>
      <c r="H47" s="343">
        <v>783.30669191919196</v>
      </c>
      <c r="I47" s="343"/>
      <c r="J47" s="343"/>
      <c r="K47" s="343"/>
      <c r="L47" s="388">
        <f>SUM(H47:I47,K47)</f>
        <v>783.30669191919196</v>
      </c>
      <c r="M47" s="378"/>
    </row>
    <row r="48" spans="1:15" ht="15" customHeight="1" x14ac:dyDescent="0.25">
      <c r="A48" s="31">
        <f t="shared" si="12"/>
        <v>44550.447916666693</v>
      </c>
      <c r="B48" s="421">
        <f t="shared" si="13"/>
        <v>44550.447916666693</v>
      </c>
      <c r="C48" s="398">
        <v>7.6388888888888895E-2</v>
      </c>
      <c r="D48" s="420" t="str">
        <f>IF(_xlfn.ISFORMULA(E48)=TRUE,"",E48-B48)</f>
        <v/>
      </c>
      <c r="E48" s="421">
        <f t="shared" si="10"/>
        <v>44550.524305555584</v>
      </c>
      <c r="F48" s="288" t="s">
        <v>647</v>
      </c>
      <c r="G48" s="275"/>
      <c r="H48" s="343"/>
      <c r="I48" s="343"/>
      <c r="J48" s="343"/>
      <c r="K48" s="343"/>
      <c r="L48" s="388"/>
      <c r="M48" s="378"/>
    </row>
    <row r="49" spans="1:15" ht="15" customHeight="1" x14ac:dyDescent="0.25">
      <c r="A49" s="31">
        <f t="shared" si="12"/>
        <v>44550.524305555584</v>
      </c>
      <c r="B49" s="421">
        <f t="shared" si="13"/>
        <v>44550.524305555584</v>
      </c>
      <c r="C49" s="398">
        <v>6.25E-2</v>
      </c>
      <c r="D49" s="420"/>
      <c r="E49" s="421">
        <f t="shared" si="10"/>
        <v>44550.586805555584</v>
      </c>
      <c r="F49" s="288" t="s">
        <v>648</v>
      </c>
      <c r="G49" s="275"/>
      <c r="H49" s="343"/>
      <c r="I49" s="343"/>
      <c r="J49" s="343"/>
      <c r="K49" s="343"/>
      <c r="L49" s="388"/>
      <c r="M49" s="378"/>
    </row>
    <row r="50" spans="1:15" ht="15" customHeight="1" x14ac:dyDescent="0.25">
      <c r="A50" s="31">
        <f t="shared" si="12"/>
        <v>44550.586805555584</v>
      </c>
      <c r="B50" s="421">
        <f>IF(D49 = "",B49+C49,B49+D49)</f>
        <v>44550.586805555584</v>
      </c>
      <c r="C50" s="398">
        <v>3.4722222222222224E-2</v>
      </c>
      <c r="D50" s="420" t="str">
        <f>IF(_xlfn.ISFORMULA(E50)=TRUE,"",E50-B50)</f>
        <v/>
      </c>
      <c r="E50" s="421">
        <f t="shared" si="10"/>
        <v>44550.621527777803</v>
      </c>
      <c r="F50" s="288" t="s">
        <v>2463</v>
      </c>
      <c r="G50" s="275"/>
      <c r="H50" s="343">
        <v>48.729924242424239</v>
      </c>
      <c r="I50" s="343"/>
      <c r="J50" s="343"/>
      <c r="K50" s="343"/>
      <c r="L50" s="343">
        <v>48.729924242424239</v>
      </c>
      <c r="M50" s="378"/>
    </row>
    <row r="51" spans="1:15" ht="15" customHeight="1" x14ac:dyDescent="0.25">
      <c r="A51" s="31">
        <f t="shared" si="12"/>
        <v>44550.621527777803</v>
      </c>
      <c r="B51" s="421">
        <f t="shared" si="13"/>
        <v>44550.621527777803</v>
      </c>
      <c r="C51" s="398">
        <v>0</v>
      </c>
      <c r="D51" s="420"/>
      <c r="E51" s="421" t="s">
        <v>99</v>
      </c>
      <c r="F51" s="334" t="s">
        <v>2683</v>
      </c>
      <c r="G51" s="275"/>
      <c r="H51" s="343"/>
      <c r="I51" s="343"/>
      <c r="J51" s="343"/>
      <c r="K51" s="343"/>
      <c r="L51" s="343"/>
      <c r="M51" s="378"/>
    </row>
    <row r="52" spans="1:15" ht="15" customHeight="1" x14ac:dyDescent="0.25">
      <c r="A52" s="31">
        <f>IF(D51 = "",A51+C51,A51+D51)</f>
        <v>44550.621527777803</v>
      </c>
      <c r="B52" s="421">
        <f>IF(D51 = "",B51+C51,B51+D51)</f>
        <v>44550.621527777803</v>
      </c>
      <c r="C52" s="398">
        <v>0.11805555555555557</v>
      </c>
      <c r="D52" s="420"/>
      <c r="E52" s="421">
        <f t="shared" ref="E52" si="18">B52+C52</f>
        <v>44550.739583333358</v>
      </c>
      <c r="F52" s="288" t="s">
        <v>647</v>
      </c>
      <c r="G52" s="275"/>
      <c r="H52" s="343"/>
      <c r="I52" s="343"/>
      <c r="J52" s="343"/>
      <c r="K52" s="343"/>
      <c r="L52" s="388"/>
      <c r="M52" s="378"/>
    </row>
    <row r="53" spans="1:15" ht="15" customHeight="1" x14ac:dyDescent="0.25">
      <c r="A53" s="31">
        <f t="shared" ref="A53:A54" si="19">IF(D52 = "",A52+C52,A52+D52)</f>
        <v>44550.739583333358</v>
      </c>
      <c r="B53" s="421">
        <f t="shared" ref="B53:B54" si="20">IF(D52 = "",B52+C52,B52+D52)</f>
        <v>44550.739583333358</v>
      </c>
      <c r="C53" s="423">
        <v>2.0833333333333332E-2</v>
      </c>
      <c r="D53" s="420" t="str">
        <f>IF(_xlfn.ISFORMULA(E53)=TRUE,"",E53-B53)</f>
        <v/>
      </c>
      <c r="E53" s="421">
        <f>B53+C53</f>
        <v>44550.760416666693</v>
      </c>
      <c r="F53" s="273" t="s">
        <v>2693</v>
      </c>
      <c r="G53" s="853"/>
      <c r="H53" s="854"/>
      <c r="I53" s="854"/>
      <c r="J53" s="854"/>
      <c r="K53" s="854"/>
      <c r="L53" s="388"/>
      <c r="M53" s="378"/>
    </row>
    <row r="54" spans="1:15" ht="15" customHeight="1" x14ac:dyDescent="0.25">
      <c r="A54" s="31">
        <f t="shared" si="19"/>
        <v>44550.760416666693</v>
      </c>
      <c r="B54" s="421">
        <f t="shared" si="20"/>
        <v>44550.760416666693</v>
      </c>
      <c r="C54" s="423">
        <v>1.3888888888888888E-2</v>
      </c>
      <c r="D54" s="420" t="str">
        <f t="shared" ref="D54" si="21">IF(_xlfn.ISFORMULA(E54)=TRUE,"",E54-B54)</f>
        <v/>
      </c>
      <c r="E54" s="421">
        <f>B54+C54</f>
        <v>44550.774305555584</v>
      </c>
      <c r="F54" s="288" t="s">
        <v>2472</v>
      </c>
      <c r="G54" s="275"/>
      <c r="H54" s="343">
        <v>133.60631313131313</v>
      </c>
      <c r="I54" s="343"/>
      <c r="J54" s="343"/>
      <c r="K54" s="343"/>
      <c r="L54" s="388">
        <f>SUM(H54:I54,K54)</f>
        <v>133.60631313131313</v>
      </c>
      <c r="M54" s="378"/>
    </row>
    <row r="55" spans="1:15" ht="15" customHeight="1" x14ac:dyDescent="0.25">
      <c r="A55" s="1071" t="s">
        <v>640</v>
      </c>
      <c r="B55" s="1106"/>
      <c r="C55" s="1106"/>
      <c r="D55" s="1106"/>
      <c r="E55" s="1106"/>
      <c r="F55" s="1106"/>
      <c r="G55" s="1107"/>
      <c r="H55" s="383"/>
      <c r="I55" s="383"/>
      <c r="J55" s="383"/>
      <c r="K55" s="383"/>
      <c r="L55" s="389"/>
      <c r="M55" s="383"/>
    </row>
    <row r="56" spans="1:15" ht="15" customHeight="1" x14ac:dyDescent="0.25">
      <c r="A56" s="31">
        <f>IF(D54 = "",A54+C54,A54+D54)</f>
        <v>44550.774305555584</v>
      </c>
      <c r="B56" s="421">
        <f>IF(D54 = "",B54+C54,B54+D54)</f>
        <v>44550.774305555584</v>
      </c>
      <c r="C56" s="431">
        <v>0</v>
      </c>
      <c r="D56" s="420"/>
      <c r="E56" s="421">
        <f>B56+C56</f>
        <v>44550.774305555584</v>
      </c>
      <c r="F56" s="288" t="s">
        <v>2472</v>
      </c>
      <c r="G56" s="275"/>
      <c r="H56" s="343"/>
      <c r="I56" s="343"/>
      <c r="J56" s="343"/>
      <c r="K56" s="343"/>
      <c r="L56" s="388"/>
      <c r="M56" s="378"/>
    </row>
    <row r="57" spans="1:15" ht="15" customHeight="1" x14ac:dyDescent="0.25">
      <c r="A57" s="31">
        <f>IF(D56 = "",A56+C56,A56+D56)</f>
        <v>44550.774305555584</v>
      </c>
      <c r="B57" s="421">
        <f>IF(D56 = "",B56+C56,B56+D56)</f>
        <v>44550.774305555584</v>
      </c>
      <c r="C57" s="431">
        <v>6.25E-2</v>
      </c>
      <c r="D57" s="420" t="str">
        <f>IF(_xlfn.ISFORMULA(E57)=TRUE,"",E57-B57)</f>
        <v/>
      </c>
      <c r="E57" s="421">
        <f>B57+C57</f>
        <v>44550.836805555584</v>
      </c>
      <c r="F57" s="260" t="s">
        <v>2685</v>
      </c>
      <c r="G57" s="275"/>
      <c r="H57" s="343">
        <v>1284.3779299999999</v>
      </c>
      <c r="I57" s="343"/>
      <c r="J57" s="343"/>
      <c r="K57" s="343"/>
      <c r="L57" s="388">
        <f>SUM(H57:I57,K57)</f>
        <v>1284.3779299999999</v>
      </c>
      <c r="M57" s="378"/>
      <c r="N57" s="1067" t="s">
        <v>630</v>
      </c>
      <c r="O57" s="1067"/>
    </row>
    <row r="58" spans="1:15" ht="15" customHeight="1" x14ac:dyDescent="0.25">
      <c r="A58" s="31">
        <f>IF(D57 = "",A57+C57,A57+D57)</f>
        <v>44550.836805555584</v>
      </c>
      <c r="B58" s="421">
        <f>IF(D57 = "",B57+C57,B57+D57)</f>
        <v>44550.836805555584</v>
      </c>
      <c r="C58" s="432">
        <v>0.14583333333333334</v>
      </c>
      <c r="D58" s="420" t="str">
        <f>IF(_xlfn.ISFORMULA(E58)=TRUE,"",E58-B58)</f>
        <v/>
      </c>
      <c r="E58" s="421">
        <f>B58+C58</f>
        <v>44550.98263888892</v>
      </c>
      <c r="F58" s="260" t="s">
        <v>2475</v>
      </c>
      <c r="G58" s="275"/>
      <c r="H58" s="343">
        <v>205.92000000000002</v>
      </c>
      <c r="I58" s="343"/>
      <c r="J58" s="343"/>
      <c r="K58" s="343"/>
      <c r="L58" s="388">
        <f>SUM(H58:I58,K58)</f>
        <v>205.92000000000002</v>
      </c>
      <c r="M58" s="378"/>
      <c r="N58" s="390" t="s">
        <v>2651</v>
      </c>
      <c r="O58" s="343">
        <f>SUM(H57:H68)</f>
        <v>2887.2784200000001</v>
      </c>
    </row>
    <row r="59" spans="1:15" ht="15" customHeight="1" x14ac:dyDescent="0.25">
      <c r="A59" s="31">
        <f>IF(D58 = "",A58+C58,A58+D58)</f>
        <v>44550.98263888892</v>
      </c>
      <c r="B59" s="421">
        <f>IF(D58 = "",B58+C58,B58+D58)</f>
        <v>44550.98263888892</v>
      </c>
      <c r="C59" s="432">
        <v>0.14583333333333334</v>
      </c>
      <c r="D59" s="420" t="str">
        <f>IF(_xlfn.ISFORMULA(E59)=TRUE,"",E59-B59)</f>
        <v/>
      </c>
      <c r="E59" s="421">
        <f>B59+C59</f>
        <v>44551.128472222255</v>
      </c>
      <c r="F59" s="260" t="s">
        <v>2476</v>
      </c>
      <c r="G59" s="275"/>
      <c r="H59" s="343">
        <v>205.92000000000002</v>
      </c>
      <c r="I59" s="343"/>
      <c r="J59" s="343"/>
      <c r="K59" s="343"/>
      <c r="L59" s="388">
        <f>SUM(H59:I59,K59)</f>
        <v>205.92000000000002</v>
      </c>
      <c r="M59" s="378"/>
      <c r="N59" s="390" t="s">
        <v>2682</v>
      </c>
      <c r="O59" s="343">
        <f>SUM(I57:I68)</f>
        <v>0</v>
      </c>
    </row>
    <row r="60" spans="1:15" ht="15" customHeight="1" x14ac:dyDescent="0.25">
      <c r="A60" s="31">
        <f t="shared" ref="A60:A67" si="22">IF(D59 = "",A59+C59,A59+D59)</f>
        <v>44551.128472222255</v>
      </c>
      <c r="B60" s="421">
        <f t="shared" ref="B60:B67" si="23">IF(D59 = "",B59+C59,B59+D59)</f>
        <v>44551.128472222255</v>
      </c>
      <c r="C60" s="432">
        <v>0.14583333333333334</v>
      </c>
      <c r="D60" s="420" t="str">
        <f t="shared" ref="D60:D66" si="24">IF(_xlfn.ISFORMULA(E60)=TRUE,"",E60-B60)</f>
        <v/>
      </c>
      <c r="E60" s="421">
        <f t="shared" ref="E60:E66" si="25">B60+C60</f>
        <v>44551.274305555591</v>
      </c>
      <c r="F60" s="260" t="s">
        <v>2477</v>
      </c>
      <c r="G60" s="275"/>
      <c r="H60" s="343">
        <v>205.92000000000002</v>
      </c>
      <c r="I60" s="343"/>
      <c r="J60" s="343"/>
      <c r="K60" s="343"/>
      <c r="L60" s="388">
        <f>SUM(H60:I60,K60)</f>
        <v>205.92000000000002</v>
      </c>
      <c r="M60" s="378"/>
      <c r="N60" s="390" t="s">
        <v>682</v>
      </c>
      <c r="O60" s="343">
        <f>SUM(L57:L68)</f>
        <v>2887.2784200000001</v>
      </c>
    </row>
    <row r="61" spans="1:15" ht="15" customHeight="1" x14ac:dyDescent="0.25">
      <c r="A61" s="31">
        <f t="shared" si="22"/>
        <v>44551.274305555591</v>
      </c>
      <c r="B61" s="421">
        <f t="shared" si="23"/>
        <v>44551.274305555591</v>
      </c>
      <c r="C61" s="432">
        <v>0.125</v>
      </c>
      <c r="D61" s="420" t="str">
        <f t="shared" si="24"/>
        <v/>
      </c>
      <c r="E61" s="421">
        <f t="shared" si="25"/>
        <v>44551.399305555591</v>
      </c>
      <c r="F61" s="260" t="s">
        <v>647</v>
      </c>
      <c r="G61" s="414"/>
      <c r="H61" s="343"/>
      <c r="I61" s="343"/>
      <c r="J61" s="343"/>
      <c r="K61" s="343"/>
      <c r="L61" s="378"/>
      <c r="M61" s="378"/>
      <c r="N61" s="441"/>
      <c r="O61" s="442"/>
    </row>
    <row r="62" spans="1:15" ht="15" customHeight="1" x14ac:dyDescent="0.25">
      <c r="A62" s="31">
        <f t="shared" si="22"/>
        <v>44551.399305555591</v>
      </c>
      <c r="B62" s="421">
        <f t="shared" si="23"/>
        <v>44551.399305555591</v>
      </c>
      <c r="C62" s="431">
        <v>0.18055555555555555</v>
      </c>
      <c r="D62" s="420" t="str">
        <f t="shared" si="24"/>
        <v/>
      </c>
      <c r="E62" s="421">
        <f t="shared" si="25"/>
        <v>44551.579861111146</v>
      </c>
      <c r="F62" s="260" t="s">
        <v>597</v>
      </c>
      <c r="G62" s="414"/>
      <c r="H62" s="343">
        <v>955.89929999999993</v>
      </c>
      <c r="I62" s="343"/>
      <c r="J62" s="343"/>
      <c r="K62" s="343"/>
      <c r="L62" s="378">
        <f>SUM(H62:I62,K62)</f>
        <v>955.89929999999993</v>
      </c>
      <c r="M62" s="378"/>
    </row>
    <row r="63" spans="1:15" ht="15" customHeight="1" x14ac:dyDescent="0.25">
      <c r="A63" s="31">
        <f t="shared" si="22"/>
        <v>44551.579861111146</v>
      </c>
      <c r="B63" s="421">
        <f t="shared" si="23"/>
        <v>44551.579861111146</v>
      </c>
      <c r="C63" s="431">
        <v>2.7777777777777776E-2</v>
      </c>
      <c r="D63" s="420" t="str">
        <f t="shared" si="24"/>
        <v/>
      </c>
      <c r="E63" s="421">
        <f t="shared" si="25"/>
        <v>44551.607638888927</v>
      </c>
      <c r="F63" s="260" t="s">
        <v>2461</v>
      </c>
      <c r="G63" s="414"/>
      <c r="H63" s="343"/>
      <c r="I63" s="343"/>
      <c r="J63" s="343"/>
      <c r="K63" s="343"/>
      <c r="L63" s="378"/>
      <c r="M63" s="378"/>
    </row>
    <row r="64" spans="1:15" ht="15" customHeight="1" x14ac:dyDescent="0.25">
      <c r="A64" s="31">
        <f t="shared" si="22"/>
        <v>44551.607638888927</v>
      </c>
      <c r="B64" s="421">
        <f t="shared" si="23"/>
        <v>44551.607638888927</v>
      </c>
      <c r="C64" s="432">
        <v>8.3333333333333329E-2</v>
      </c>
      <c r="D64" s="420" t="str">
        <f t="shared" si="24"/>
        <v/>
      </c>
      <c r="E64" s="421">
        <f t="shared" si="25"/>
        <v>44551.690972222263</v>
      </c>
      <c r="F64" s="260" t="s">
        <v>647</v>
      </c>
      <c r="G64" s="414"/>
      <c r="H64" s="343">
        <v>29.24119</v>
      </c>
      <c r="I64" s="343"/>
      <c r="J64" s="343"/>
      <c r="K64" s="343"/>
      <c r="L64" s="378">
        <f>SUM(H64:I64,K64)</f>
        <v>29.24119</v>
      </c>
      <c r="M64" s="378"/>
    </row>
    <row r="65" spans="1:15" ht="15" customHeight="1" x14ac:dyDescent="0.25">
      <c r="A65" s="31">
        <f t="shared" si="22"/>
        <v>44551.690972222263</v>
      </c>
      <c r="B65" s="421">
        <f t="shared" si="23"/>
        <v>44551.690972222263</v>
      </c>
      <c r="C65" s="431">
        <v>0.10069444444444443</v>
      </c>
      <c r="D65" s="420" t="str">
        <f t="shared" si="24"/>
        <v/>
      </c>
      <c r="E65" s="421">
        <f t="shared" si="25"/>
        <v>44551.791666666708</v>
      </c>
      <c r="F65" s="260" t="s">
        <v>648</v>
      </c>
      <c r="G65" s="414"/>
      <c r="H65" s="343"/>
      <c r="I65" s="343"/>
      <c r="J65" s="343"/>
      <c r="K65" s="343"/>
      <c r="L65" s="378"/>
      <c r="M65" s="378"/>
    </row>
    <row r="66" spans="1:15" ht="15" customHeight="1" x14ac:dyDescent="0.25">
      <c r="A66" s="31">
        <f t="shared" si="22"/>
        <v>44551.791666666708</v>
      </c>
      <c r="B66" s="421">
        <f t="shared" si="23"/>
        <v>44551.791666666708</v>
      </c>
      <c r="C66" s="431">
        <v>2.0833333333333332E-2</v>
      </c>
      <c r="D66" s="420" t="str">
        <f t="shared" si="24"/>
        <v/>
      </c>
      <c r="E66" s="421">
        <f t="shared" si="25"/>
        <v>44551.812500000044</v>
      </c>
      <c r="F66" s="260" t="s">
        <v>598</v>
      </c>
      <c r="G66" s="438"/>
      <c r="H66" s="343"/>
      <c r="I66" s="343"/>
      <c r="J66" s="343"/>
      <c r="K66" s="343"/>
      <c r="L66" s="378"/>
      <c r="M66" s="378"/>
    </row>
    <row r="67" spans="1:15" ht="15" customHeight="1" x14ac:dyDescent="0.25">
      <c r="A67" s="31">
        <f t="shared" si="22"/>
        <v>44551.812500000044</v>
      </c>
      <c r="B67" s="421">
        <f t="shared" si="23"/>
        <v>44551.812500000044</v>
      </c>
      <c r="C67" s="437">
        <v>0</v>
      </c>
      <c r="D67" s="420"/>
      <c r="E67" s="421" t="s">
        <v>99</v>
      </c>
      <c r="F67" s="335" t="s">
        <v>2640</v>
      </c>
      <c r="G67" s="438"/>
      <c r="H67" s="343"/>
      <c r="I67" s="343"/>
      <c r="J67" s="343"/>
      <c r="K67" s="343"/>
      <c r="L67" s="378"/>
      <c r="M67" s="378"/>
    </row>
    <row r="68" spans="1:15" ht="15" customHeight="1" x14ac:dyDescent="0.25">
      <c r="A68" s="31">
        <f>IF(D67 = "",A67+C67,A67+D67)</f>
        <v>44551.812500000044</v>
      </c>
      <c r="B68" s="421">
        <f>IF(D67 = "",B67+C67,B67+D67)</f>
        <v>44551.812500000044</v>
      </c>
      <c r="C68" s="437">
        <v>0.10416666666666667</v>
      </c>
      <c r="D68" s="420" t="str">
        <f t="shared" ref="D68" si="26">IF(_xlfn.ISFORMULA(E68)=TRUE,"",E68-B68)</f>
        <v/>
      </c>
      <c r="E68" s="421">
        <f>B68+C68</f>
        <v>44551.916666666708</v>
      </c>
      <c r="F68" s="333" t="s">
        <v>656</v>
      </c>
      <c r="G68" s="725"/>
      <c r="H68" s="725"/>
      <c r="I68" s="725"/>
      <c r="J68" s="725"/>
      <c r="K68" s="725"/>
      <c r="L68" s="725"/>
      <c r="M68" s="725"/>
    </row>
    <row r="69" spans="1:15" ht="15" customHeight="1" x14ac:dyDescent="0.25">
      <c r="A69" s="280" t="s">
        <v>2687</v>
      </c>
      <c r="B69" s="280"/>
      <c r="C69" s="280"/>
      <c r="D69" s="280"/>
      <c r="E69" s="280"/>
      <c r="F69" s="280"/>
      <c r="G69" s="288"/>
      <c r="H69" s="385"/>
      <c r="I69" s="385"/>
      <c r="J69" s="385">
        <v>300</v>
      </c>
      <c r="K69" s="385"/>
      <c r="L69" s="388"/>
      <c r="M69" s="385"/>
      <c r="N69" s="1066" t="s">
        <v>644</v>
      </c>
      <c r="O69" s="1067"/>
    </row>
    <row r="70" spans="1:15" ht="15" customHeight="1" x14ac:dyDescent="0.25">
      <c r="A70" s="31">
        <f>E70</f>
        <v>44551.774305555591</v>
      </c>
      <c r="B70" s="421">
        <f>B64 + "1:00"</f>
        <v>44551.649305555591</v>
      </c>
      <c r="C70" s="423">
        <v>0.125</v>
      </c>
      <c r="D70" s="420" t="str">
        <f t="shared" ref="D70" si="27">IF(_xlfn.ISFORMULA(E70)=TRUE,"",E70-B70)</f>
        <v/>
      </c>
      <c r="E70" s="421">
        <f>B70+C70</f>
        <v>44551.774305555591</v>
      </c>
      <c r="F70" s="439" t="s">
        <v>2688</v>
      </c>
      <c r="G70" s="288"/>
      <c r="H70" s="385"/>
      <c r="I70" s="385"/>
      <c r="J70" s="385"/>
      <c r="K70" s="385">
        <v>85</v>
      </c>
      <c r="L70" s="388">
        <f>K70</f>
        <v>85</v>
      </c>
      <c r="M70" s="385"/>
      <c r="N70" s="390" t="s">
        <v>2651</v>
      </c>
      <c r="O70" s="343">
        <f>SUM(H69:H71)</f>
        <v>7995.5879558585866</v>
      </c>
    </row>
    <row r="71" spans="1:15" ht="15" customHeight="1" x14ac:dyDescent="0.25">
      <c r="A71" s="31">
        <f>IF(D70 = "",A70+C70,A70+D70)</f>
        <v>44551.899305555591</v>
      </c>
      <c r="B71" s="421">
        <f>IF(D70 = "",B70+C70,B70+D70)</f>
        <v>44551.774305555591</v>
      </c>
      <c r="C71" s="423">
        <v>0.14583333333333334</v>
      </c>
      <c r="D71" s="420" t="str">
        <f>IF(_xlfn.ISFORMULA(E71)=TRUE,"",E71-B71)</f>
        <v/>
      </c>
      <c r="E71" s="421">
        <f t="shared" ref="E71" si="28">B71+C71</f>
        <v>44551.920138888927</v>
      </c>
      <c r="F71" s="439" t="s">
        <v>2689</v>
      </c>
      <c r="G71" s="274" t="s">
        <v>607</v>
      </c>
      <c r="H71" s="287">
        <f>SUM(H41:H54,H15:H33,H57:H70)</f>
        <v>7995.5879558585866</v>
      </c>
      <c r="I71" s="287">
        <f>SUM(I36:I40,I15:I33,I57:I70)</f>
        <v>905.59398004434593</v>
      </c>
      <c r="J71" s="287">
        <f>SUM(J37:J38,J15:J33,J57:J70)</f>
        <v>580.88652000000002</v>
      </c>
      <c r="K71" s="287">
        <f>SUM(K38:K54,K15:K33,K57:K70)</f>
        <v>323.70858418367345</v>
      </c>
      <c r="L71" s="287">
        <f>SUM(L36:L54,L15:L33,L57:L70)</f>
        <v>9224.8905200866066</v>
      </c>
      <c r="M71" s="287"/>
      <c r="N71" s="390" t="s">
        <v>2647</v>
      </c>
      <c r="O71" s="343">
        <f>SUM(I69:I71)</f>
        <v>905.59398004434593</v>
      </c>
    </row>
    <row r="72" spans="1:15" ht="15" customHeight="1" x14ac:dyDescent="0.55000000000000004">
      <c r="A72" s="34"/>
      <c r="B72" s="33" t="s">
        <v>534</v>
      </c>
      <c r="C72" s="32">
        <f>SUM(C56:C68,C15:C33,C35:C54,C70:C71)</f>
        <v>5.9513888888888884</v>
      </c>
      <c r="D72" s="32" t="e">
        <f>SUM(#REF!,D15:D37,D44:D71,#REF!)</f>
        <v>#REF!</v>
      </c>
      <c r="G72" s="26"/>
      <c r="H72" s="26"/>
      <c r="I72" s="26"/>
      <c r="J72" s="26"/>
      <c r="N72" s="390" t="s">
        <v>682</v>
      </c>
      <c r="O72" s="343">
        <f>SUM(L69:L71)</f>
        <v>9309.8905200866066</v>
      </c>
    </row>
    <row r="73" spans="1:15" ht="15" customHeight="1" x14ac:dyDescent="0.25">
      <c r="B73" s="31" t="s">
        <v>536</v>
      </c>
      <c r="C73" s="112">
        <f>(C72/24)</f>
        <v>0.24797453703703701</v>
      </c>
      <c r="D73" s="112" t="e">
        <f>(D72/24)</f>
        <v>#REF!</v>
      </c>
      <c r="G73" s="26"/>
      <c r="H73" s="26"/>
      <c r="I73" s="26"/>
      <c r="J73" s="26"/>
    </row>
    <row r="74" spans="1:15" ht="15" customHeight="1" x14ac:dyDescent="0.25">
      <c r="C74" s="262"/>
      <c r="D74" s="262"/>
      <c r="G74" s="26"/>
      <c r="H74" s="26"/>
      <c r="I74" s="26"/>
      <c r="J74" s="26"/>
    </row>
    <row r="75" spans="1:15" ht="15" customHeight="1" x14ac:dyDescent="0.25">
      <c r="G75" s="26"/>
      <c r="H75" s="26"/>
      <c r="I75" s="26"/>
      <c r="J75" s="26"/>
    </row>
    <row r="76" spans="1:15" ht="15" customHeight="1" x14ac:dyDescent="0.25">
      <c r="G76" s="26"/>
      <c r="H76" s="26"/>
      <c r="I76" s="26"/>
      <c r="J76" s="26"/>
    </row>
    <row r="77" spans="1:15" ht="15" customHeight="1" x14ac:dyDescent="0.25">
      <c r="G77" s="26"/>
      <c r="H77" s="26"/>
      <c r="I77" s="26"/>
      <c r="J77" s="26"/>
    </row>
    <row r="78" spans="1:15" ht="15" customHeight="1" x14ac:dyDescent="0.25">
      <c r="G78" s="26"/>
      <c r="H78" s="26"/>
      <c r="I78" s="26"/>
      <c r="J78" s="26"/>
    </row>
    <row r="79" spans="1:15" ht="15" customHeight="1" x14ac:dyDescent="0.25">
      <c r="G79" s="26"/>
      <c r="H79" s="26"/>
      <c r="I79" s="26"/>
      <c r="J79" s="26"/>
    </row>
    <row r="80" spans="1:15" ht="15" customHeight="1" x14ac:dyDescent="0.25">
      <c r="G80" s="26"/>
      <c r="H80" s="26"/>
      <c r="I80" s="26"/>
      <c r="J80" s="26"/>
    </row>
    <row r="81" spans="1:15" ht="15" customHeight="1" x14ac:dyDescent="0.25">
      <c r="G81" s="26"/>
      <c r="H81" s="26"/>
      <c r="I81" s="26"/>
      <c r="J81" s="26"/>
    </row>
    <row r="82" spans="1:15" ht="15" customHeight="1" x14ac:dyDescent="0.25">
      <c r="G82" s="26"/>
      <c r="H82" s="26"/>
      <c r="I82" s="26"/>
      <c r="J82" s="26"/>
    </row>
    <row r="83" spans="1:15" ht="15" customHeight="1" x14ac:dyDescent="0.25">
      <c r="G83" s="26"/>
      <c r="H83" s="26"/>
      <c r="I83" s="26"/>
      <c r="J83" s="26"/>
    </row>
    <row r="84" spans="1:15" ht="15" customHeight="1" x14ac:dyDescent="0.25">
      <c r="G84" s="26"/>
      <c r="H84" s="26"/>
      <c r="I84" s="26"/>
      <c r="J84" s="26"/>
    </row>
    <row r="85" spans="1:15" ht="15" customHeight="1" x14ac:dyDescent="0.25">
      <c r="G85" s="26"/>
      <c r="H85" s="26"/>
      <c r="I85" s="26"/>
      <c r="J85" s="26"/>
    </row>
    <row r="86" spans="1:15" ht="15" customHeight="1" x14ac:dyDescent="0.25">
      <c r="G86" s="26"/>
      <c r="H86" s="26"/>
      <c r="I86" s="26"/>
      <c r="J86" s="26"/>
      <c r="N86" s="1066" t="s">
        <v>652</v>
      </c>
      <c r="O86" s="1067"/>
    </row>
    <row r="87" spans="1:15" ht="15" customHeight="1" x14ac:dyDescent="0.25">
      <c r="G87" s="26"/>
      <c r="H87" s="26"/>
      <c r="I87" s="26"/>
      <c r="J87" s="26"/>
      <c r="N87" s="390" t="s">
        <v>2651</v>
      </c>
      <c r="O87" s="343" t="e">
        <f>SUM(#REF!)</f>
        <v>#REF!</v>
      </c>
    </row>
    <row r="88" spans="1:15" ht="15" customHeight="1" x14ac:dyDescent="0.25">
      <c r="G88" s="26"/>
      <c r="H88" s="26"/>
      <c r="I88" s="26"/>
      <c r="J88" s="26"/>
      <c r="N88" s="390" t="s">
        <v>681</v>
      </c>
      <c r="O88" s="343" t="e">
        <f>SUM(#REF!)</f>
        <v>#REF!</v>
      </c>
    </row>
    <row r="89" spans="1:15" ht="15" customHeight="1" x14ac:dyDescent="0.25">
      <c r="G89" s="26"/>
      <c r="H89" s="26"/>
      <c r="I89" s="26"/>
      <c r="J89" s="26"/>
      <c r="N89" s="390" t="s">
        <v>682</v>
      </c>
      <c r="O89" s="343" t="e">
        <f>SUM(#REF!)</f>
        <v>#REF!</v>
      </c>
    </row>
    <row r="90" spans="1:15" s="267" customFormat="1" ht="15" customHeight="1" x14ac:dyDescent="0.25">
      <c r="A90" s="25"/>
      <c r="B90" s="25"/>
      <c r="C90" s="25"/>
      <c r="D90" s="25"/>
      <c r="E90" s="25"/>
      <c r="F90" s="25"/>
      <c r="G90" s="26"/>
      <c r="H90" s="26"/>
      <c r="I90" s="26"/>
      <c r="J90" s="26"/>
      <c r="K90" s="25"/>
      <c r="L90" s="25"/>
      <c r="M90" s="25"/>
    </row>
    <row r="91" spans="1:15" s="267" customFormat="1" ht="15" customHeight="1" x14ac:dyDescent="0.25">
      <c r="A91" s="25"/>
      <c r="B91" s="25"/>
      <c r="C91" s="25"/>
      <c r="D91" s="25"/>
      <c r="E91" s="25"/>
      <c r="F91" s="25"/>
      <c r="G91" s="26"/>
      <c r="H91" s="26"/>
      <c r="I91" s="26"/>
      <c r="J91" s="26"/>
      <c r="K91" s="25"/>
      <c r="L91" s="25"/>
      <c r="M91" s="25"/>
    </row>
    <row r="92" spans="1:15" s="267" customFormat="1" ht="15" customHeight="1" x14ac:dyDescent="0.25">
      <c r="A92" s="25"/>
      <c r="B92" s="25"/>
      <c r="C92" s="25"/>
      <c r="D92" s="25"/>
      <c r="E92" s="25"/>
      <c r="F92" s="25"/>
      <c r="G92" s="26"/>
      <c r="H92" s="26"/>
      <c r="I92" s="26"/>
      <c r="J92" s="26"/>
      <c r="K92" s="25"/>
      <c r="L92" s="25"/>
      <c r="M92" s="25"/>
      <c r="O92" s="409"/>
    </row>
    <row r="93" spans="1:15" s="267" customFormat="1" ht="15" customHeight="1" x14ac:dyDescent="0.25">
      <c r="A93" s="25"/>
      <c r="B93" s="25"/>
      <c r="C93" s="25"/>
      <c r="D93" s="25"/>
      <c r="E93" s="25"/>
      <c r="F93" s="25"/>
      <c r="G93" s="25"/>
      <c r="H93" s="25"/>
      <c r="I93" s="25"/>
      <c r="J93" s="25"/>
      <c r="K93" s="25"/>
      <c r="L93" s="25"/>
      <c r="M93" s="25"/>
      <c r="N93" s="25"/>
      <c r="O93" s="25"/>
    </row>
    <row r="94" spans="1:15" s="267" customFormat="1" ht="15" customHeight="1" x14ac:dyDescent="0.25">
      <c r="A94" s="25"/>
      <c r="B94" s="25"/>
      <c r="C94" s="25"/>
      <c r="D94" s="25"/>
      <c r="E94" s="25"/>
      <c r="F94" s="26"/>
      <c r="G94" s="25"/>
      <c r="H94" s="25"/>
      <c r="I94" s="25"/>
      <c r="J94" s="25"/>
      <c r="K94" s="25"/>
      <c r="L94" s="25"/>
      <c r="M94" s="25"/>
    </row>
    <row r="95" spans="1:15" ht="15" customHeight="1" x14ac:dyDescent="0.25">
      <c r="F95" s="26"/>
      <c r="N95" s="409">
        <f>SUM(L66:L71)</f>
        <v>9309.8905200866066</v>
      </c>
    </row>
  </sheetData>
  <mergeCells count="8">
    <mergeCell ref="N86:O86"/>
    <mergeCell ref="A55:G55"/>
    <mergeCell ref="A1:B1"/>
    <mergeCell ref="N15:O15"/>
    <mergeCell ref="N27:O27"/>
    <mergeCell ref="N37:O37"/>
    <mergeCell ref="N57:O57"/>
    <mergeCell ref="N69:O69"/>
  </mergeCells>
  <pageMargins left="0.75" right="0.75" top="1" bottom="1" header="0.5" footer="0.5"/>
  <pageSetup orientation="portrait" r:id="rId1"/>
  <headerFooter alignWithMargins="0">
    <oddFooter>&amp;R&amp;"Arial,Regular"&amp;08&amp;K7F7F7FAmgen Proprietary - Confidential   &amp;C&amp;"Arial,Regular"&amp;08&amp;K7F7F7FAmgen Proprietary - For Internal Use Only</oddFooter>
    <evenFooter>&amp;R&amp;"Arial,Regular"&amp;08&amp;K7F7F7FAmgen Proprietary - Confidential   &amp;C&amp;"Arial,Regular"&amp;08&amp;K7F7F7FAmgen Proprietary - For Internal Use Only</evenFooter>
    <firstFooter>&amp;R&amp;"Arial,Regular"&amp;08&amp;K7F7F7FAmgen Proprietary - Confidential   &amp;C&amp;"Arial,Regular"&amp;08&amp;K7F7F7FAmgen Proprietary - For Internal Use Only</firstFooter>
  </headerFooter>
  <legacyDrawing r:id="rId2"/>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B2FF0A-0695-4EFA-A5A7-06E63F73F152}">
  <sheetPr codeName="Sheet104">
    <pageSetUpPr autoPageBreaks="0"/>
  </sheetPr>
  <dimension ref="A1:J51"/>
  <sheetViews>
    <sheetView zoomScaleNormal="100" workbookViewId="0">
      <selection activeCell="B12" sqref="B12"/>
    </sheetView>
  </sheetViews>
  <sheetFormatPr defaultColWidth="23.453125" defaultRowHeight="11.5" x14ac:dyDescent="0.25"/>
  <cols>
    <col min="1" max="1" width="29" style="25" customWidth="1"/>
    <col min="2" max="2" width="25.453125" style="25" bestFit="1" customWidth="1"/>
    <col min="3" max="3" width="23.453125" style="25"/>
    <col min="4" max="4" width="17.453125" style="25" customWidth="1"/>
    <col min="5" max="5" width="23.453125" style="25"/>
    <col min="6" max="6" width="76.54296875" style="25" bestFit="1" customWidth="1"/>
    <col min="7" max="7" width="27.453125" style="25" customWidth="1"/>
    <col min="8" max="8" width="9" style="25" bestFit="1" customWidth="1"/>
    <col min="9" max="9" width="9.54296875" style="25" bestFit="1" customWidth="1"/>
    <col min="10" max="10" width="9.54296875" style="25" customWidth="1"/>
    <col min="11" max="16384" width="23.453125" style="25"/>
  </cols>
  <sheetData>
    <row r="1" spans="1:10" ht="12" thickBot="1" x14ac:dyDescent="0.3">
      <c r="A1" s="1047" t="s">
        <v>479</v>
      </c>
      <c r="B1" s="1048"/>
    </row>
    <row r="2" spans="1:10" x14ac:dyDescent="0.25">
      <c r="A2" s="43" t="s">
        <v>480</v>
      </c>
      <c r="B2" s="319">
        <f>A12</f>
        <v>44558.354166666664</v>
      </c>
    </row>
    <row r="3" spans="1:10" ht="12" thickBot="1" x14ac:dyDescent="0.3">
      <c r="A3" s="42" t="s">
        <v>482</v>
      </c>
      <c r="B3" s="406">
        <f>B12</f>
        <v>44558.354166666664</v>
      </c>
    </row>
    <row r="5" spans="1:10" x14ac:dyDescent="0.25">
      <c r="A5" s="1049" t="s">
        <v>484</v>
      </c>
      <c r="B5" s="1050"/>
      <c r="C5" s="1050"/>
      <c r="D5" s="1051"/>
    </row>
    <row r="6" spans="1:10" x14ac:dyDescent="0.25">
      <c r="A6" s="781" t="s">
        <v>485</v>
      </c>
      <c r="B6" s="781" t="s">
        <v>486</v>
      </c>
      <c r="C6" s="781" t="s">
        <v>487</v>
      </c>
      <c r="D6" s="781" t="s">
        <v>488</v>
      </c>
    </row>
    <row r="7" spans="1:10" x14ac:dyDescent="0.25">
      <c r="A7" s="41" t="str">
        <f>F15</f>
        <v>IPC1.0: Reaction Conversion</v>
      </c>
      <c r="B7" s="40">
        <f>INDEX($A$12:$A$63,MATCH(A7,$F$12:$F$46,0))</f>
        <v>44558.75</v>
      </c>
      <c r="C7" s="37">
        <f>INDEX($B$12:$B$63,MATCH(A7,$F$12:$F$46,0))</f>
        <v>44558.75</v>
      </c>
      <c r="D7" s="297"/>
    </row>
    <row r="8" spans="1:10" x14ac:dyDescent="0.25">
      <c r="A8" s="41" t="str">
        <f>F24</f>
        <v>IPC2.0: Purity, LOD</v>
      </c>
      <c r="B8" s="40">
        <f>INDEX($A$12:$A$63,MATCH(A8,$F$12:$F$46,0))</f>
        <v>44560.21875</v>
      </c>
      <c r="C8" s="37">
        <f>INDEX($B$12:$B$63,MATCH(A8,$F$12:$F$46,0))</f>
        <v>44560.21875</v>
      </c>
      <c r="D8" s="297"/>
      <c r="E8" s="298"/>
    </row>
    <row r="9" spans="1:10" x14ac:dyDescent="0.25">
      <c r="A9" s="41" t="str">
        <f>F34</f>
        <v>IPC2.1: Purity, LOD</v>
      </c>
      <c r="B9" s="40">
        <f>INDEX($A$12:$A$63,MATCH(A9,$F$12:$F$46,0))</f>
        <v>44564.052083333328</v>
      </c>
      <c r="C9" s="37">
        <f>INDEX($B$12:$B$63,MATCH(A9,$F$12:$F$46,0))</f>
        <v>44562.277916666666</v>
      </c>
      <c r="D9" s="297"/>
      <c r="E9" s="298"/>
    </row>
    <row r="11" spans="1:10" ht="23" x14ac:dyDescent="0.25">
      <c r="A11" s="781" t="s">
        <v>492</v>
      </c>
      <c r="B11" s="781" t="s">
        <v>493</v>
      </c>
      <c r="C11" s="781" t="s">
        <v>494</v>
      </c>
      <c r="D11" s="500" t="s">
        <v>495</v>
      </c>
      <c r="E11" s="781" t="s">
        <v>540</v>
      </c>
      <c r="F11" s="781" t="s">
        <v>541</v>
      </c>
      <c r="G11" s="781" t="s">
        <v>498</v>
      </c>
      <c r="H11" s="501" t="s">
        <v>112</v>
      </c>
      <c r="I11" s="781" t="s">
        <v>542</v>
      </c>
      <c r="J11" s="781" t="s">
        <v>2429</v>
      </c>
    </row>
    <row r="12" spans="1:10" x14ac:dyDescent="0.25">
      <c r="A12" s="31">
        <v>44558.354166666664</v>
      </c>
      <c r="B12" s="37">
        <f>A12</f>
        <v>44558.354166666664</v>
      </c>
      <c r="C12" s="170">
        <v>0.10416666666666667</v>
      </c>
      <c r="D12" s="327"/>
      <c r="E12" s="37">
        <f t="shared" ref="E12:E35" si="0">B12+C12</f>
        <v>44558.458333333328</v>
      </c>
      <c r="F12" s="264" t="s">
        <v>543</v>
      </c>
      <c r="G12" s="78"/>
      <c r="H12" s="78"/>
      <c r="I12" s="78"/>
      <c r="J12" s="78"/>
    </row>
    <row r="13" spans="1:10" ht="12.75" customHeight="1" x14ac:dyDescent="0.25">
      <c r="A13" s="31">
        <f t="shared" ref="A13:A35" si="1">IF(D12 = "",A12+C12,A12+D12)</f>
        <v>44558.458333333328</v>
      </c>
      <c r="B13" s="37">
        <f t="shared" ref="B13:B35" si="2">IF(D12 = "",B12+C12,B12+D12)</f>
        <v>44558.458333333328</v>
      </c>
      <c r="C13" s="170">
        <v>8.3333333333333329E-2</v>
      </c>
      <c r="D13" s="327" t="str">
        <f t="shared" ref="D13:D35" si="3">IF(_xlfn.ISFORMULA(E13)=TRUE,"",E13-B13)</f>
        <v/>
      </c>
      <c r="E13" s="37">
        <f t="shared" si="0"/>
        <v>44558.541666666664</v>
      </c>
      <c r="F13" s="264" t="s">
        <v>544</v>
      </c>
      <c r="G13" s="35"/>
      <c r="H13" s="35"/>
      <c r="I13" s="35"/>
      <c r="J13" s="35"/>
    </row>
    <row r="14" spans="1:10" ht="12.75" customHeight="1" x14ac:dyDescent="0.25">
      <c r="A14" s="31">
        <f t="shared" si="1"/>
        <v>44558.541666666664</v>
      </c>
      <c r="B14" s="37">
        <f t="shared" si="2"/>
        <v>44558.541666666664</v>
      </c>
      <c r="C14" s="170">
        <v>0.20833333333333334</v>
      </c>
      <c r="D14" s="327" t="str">
        <f t="shared" si="3"/>
        <v/>
      </c>
      <c r="E14" s="37">
        <f t="shared" si="0"/>
        <v>44558.75</v>
      </c>
      <c r="F14" s="264" t="s">
        <v>545</v>
      </c>
      <c r="G14" s="39"/>
      <c r="H14" s="39"/>
      <c r="I14" s="39"/>
      <c r="J14" s="39"/>
    </row>
    <row r="15" spans="1:10" ht="13.5" customHeight="1" x14ac:dyDescent="0.25">
      <c r="A15" s="31">
        <f t="shared" si="1"/>
        <v>44558.75</v>
      </c>
      <c r="B15" s="37">
        <f t="shared" si="2"/>
        <v>44558.75</v>
      </c>
      <c r="C15" s="170">
        <v>0.10416666666666667</v>
      </c>
      <c r="D15" s="327"/>
      <c r="E15" s="37">
        <f t="shared" si="0"/>
        <v>44558.854166666664</v>
      </c>
      <c r="F15" s="320" t="s">
        <v>546</v>
      </c>
      <c r="G15" s="35"/>
      <c r="H15" s="35"/>
      <c r="I15" s="35"/>
      <c r="J15" s="35"/>
    </row>
    <row r="16" spans="1:10" x14ac:dyDescent="0.25">
      <c r="A16" s="31">
        <f t="shared" si="1"/>
        <v>44558.854166666664</v>
      </c>
      <c r="B16" s="37">
        <f t="shared" si="2"/>
        <v>44558.854166666664</v>
      </c>
      <c r="C16" s="172">
        <v>0.57638888888888895</v>
      </c>
      <c r="D16" s="327">
        <v>0.52083333333333337</v>
      </c>
      <c r="E16" s="37">
        <f t="shared" si="0"/>
        <v>44559.430555555555</v>
      </c>
      <c r="F16" s="264" t="s">
        <v>547</v>
      </c>
      <c r="G16" s="35"/>
      <c r="H16" s="497">
        <v>384</v>
      </c>
      <c r="I16" s="497">
        <v>384</v>
      </c>
      <c r="J16" s="235"/>
    </row>
    <row r="17" spans="1:10" x14ac:dyDescent="0.25">
      <c r="A17" s="503">
        <f>A18</f>
        <v>44559.375</v>
      </c>
      <c r="B17" s="504">
        <f>E16 + B51</f>
        <v>44559.472222222219</v>
      </c>
      <c r="C17" s="509">
        <v>0.50694444444444442</v>
      </c>
      <c r="D17" s="505" t="str">
        <f t="shared" si="3"/>
        <v/>
      </c>
      <c r="E17" s="504">
        <f t="shared" si="0"/>
        <v>44559.979166666664</v>
      </c>
      <c r="F17" s="506" t="s">
        <v>2431</v>
      </c>
      <c r="G17" s="492"/>
      <c r="H17" s="495"/>
      <c r="I17" s="495"/>
      <c r="J17" s="495">
        <v>200</v>
      </c>
    </row>
    <row r="18" spans="1:10" ht="13.5" customHeight="1" x14ac:dyDescent="0.25">
      <c r="A18" s="31">
        <f>IF(D16 = "",A16+C16,A16+D16)</f>
        <v>44559.375</v>
      </c>
      <c r="B18" s="37">
        <f>IF(D16 = "",B16+C16,B16+D16)</f>
        <v>44559.375</v>
      </c>
      <c r="C18" s="172">
        <v>0.2638888888888889</v>
      </c>
      <c r="D18" s="327" t="str">
        <f t="shared" si="3"/>
        <v/>
      </c>
      <c r="E18" s="37">
        <f t="shared" si="0"/>
        <v>44559.638888888891</v>
      </c>
      <c r="F18" s="264" t="s">
        <v>548</v>
      </c>
      <c r="G18" s="35"/>
      <c r="H18" s="497"/>
      <c r="I18" s="497"/>
      <c r="J18" s="497"/>
    </row>
    <row r="19" spans="1:10" ht="13.5" hidden="1" customHeight="1" x14ac:dyDescent="0.25">
      <c r="A19" s="503">
        <f>A18</f>
        <v>44559.375</v>
      </c>
      <c r="B19" s="504">
        <f>E17</f>
        <v>44559.979166666664</v>
      </c>
      <c r="C19" s="172">
        <v>0.20833333333333334</v>
      </c>
      <c r="D19" s="505" t="str">
        <f t="shared" si="3"/>
        <v/>
      </c>
      <c r="E19" s="504">
        <f>B19+C19</f>
        <v>44560.1875</v>
      </c>
      <c r="F19" s="506" t="s">
        <v>2432</v>
      </c>
      <c r="G19" s="507"/>
      <c r="H19" s="495">
        <v>384</v>
      </c>
      <c r="I19" s="495">
        <v>384</v>
      </c>
      <c r="J19" s="495"/>
    </row>
    <row r="20" spans="1:10" ht="12" customHeight="1" x14ac:dyDescent="0.25">
      <c r="A20" s="31">
        <f>IF(D18 = "",A18+C18,A18+D18)</f>
        <v>44559.638888888891</v>
      </c>
      <c r="B20" s="37">
        <f>IF(D18 = "",B18+C18,B18+D18)</f>
        <v>44559.638888888891</v>
      </c>
      <c r="C20" s="172">
        <v>4.8611111111111112E-2</v>
      </c>
      <c r="D20" s="327" t="str">
        <f t="shared" si="3"/>
        <v/>
      </c>
      <c r="E20" s="37">
        <f t="shared" si="0"/>
        <v>44559.6875</v>
      </c>
      <c r="F20" s="264" t="s">
        <v>549</v>
      </c>
      <c r="G20" s="39"/>
      <c r="H20" s="1052">
        <v>677.74</v>
      </c>
      <c r="I20" s="1052">
        <f>SUM(H20)</f>
        <v>677.74</v>
      </c>
      <c r="J20" s="1052"/>
    </row>
    <row r="21" spans="1:10" ht="12.75" customHeight="1" x14ac:dyDescent="0.25">
      <c r="A21" s="31">
        <f t="shared" si="1"/>
        <v>44559.6875</v>
      </c>
      <c r="B21" s="37">
        <f t="shared" si="2"/>
        <v>44559.6875</v>
      </c>
      <c r="C21" s="172">
        <v>6.25E-2</v>
      </c>
      <c r="D21" s="327"/>
      <c r="E21" s="37">
        <f t="shared" si="0"/>
        <v>44559.75</v>
      </c>
      <c r="F21" s="264" t="s">
        <v>550</v>
      </c>
      <c r="G21" s="35"/>
      <c r="H21" s="1052"/>
      <c r="I21" s="1052"/>
      <c r="J21" s="1052"/>
    </row>
    <row r="22" spans="1:10" x14ac:dyDescent="0.25">
      <c r="A22" s="31">
        <f t="shared" si="1"/>
        <v>44559.75</v>
      </c>
      <c r="B22" s="37">
        <f t="shared" si="2"/>
        <v>44559.75</v>
      </c>
      <c r="C22" s="170">
        <v>0.42708333333333331</v>
      </c>
      <c r="D22" s="327" t="str">
        <f t="shared" si="3"/>
        <v/>
      </c>
      <c r="E22" s="37">
        <f t="shared" si="0"/>
        <v>44560.177083333336</v>
      </c>
      <c r="F22" s="264" t="s">
        <v>551</v>
      </c>
      <c r="G22" s="35"/>
      <c r="H22" s="1052"/>
      <c r="I22" s="1052"/>
      <c r="J22" s="1052"/>
    </row>
    <row r="23" spans="1:10" x14ac:dyDescent="0.25">
      <c r="A23" s="31">
        <f t="shared" si="1"/>
        <v>44560.177083333336</v>
      </c>
      <c r="B23" s="37">
        <f t="shared" si="2"/>
        <v>44560.177083333336</v>
      </c>
      <c r="C23" s="170">
        <v>4.1666666666666664E-2</v>
      </c>
      <c r="D23" s="327" t="str">
        <f t="shared" si="3"/>
        <v/>
      </c>
      <c r="E23" s="37">
        <f t="shared" si="0"/>
        <v>44560.21875</v>
      </c>
      <c r="F23" s="240" t="s">
        <v>552</v>
      </c>
      <c r="G23" s="35"/>
      <c r="H23" s="773"/>
      <c r="I23" s="773"/>
      <c r="J23" s="773"/>
    </row>
    <row r="24" spans="1:10" ht="12" customHeight="1" x14ac:dyDescent="0.25">
      <c r="A24" s="31">
        <f t="shared" si="1"/>
        <v>44560.21875</v>
      </c>
      <c r="B24" s="37">
        <f t="shared" si="2"/>
        <v>44560.21875</v>
      </c>
      <c r="C24" s="170">
        <v>0.27083333333333331</v>
      </c>
      <c r="D24" s="327" t="str">
        <f t="shared" si="3"/>
        <v/>
      </c>
      <c r="E24" s="37">
        <f t="shared" si="0"/>
        <v>44560.489583333336</v>
      </c>
      <c r="F24" s="320" t="s">
        <v>553</v>
      </c>
      <c r="G24" s="35"/>
      <c r="H24" s="35"/>
      <c r="I24" s="35"/>
      <c r="J24" s="35"/>
    </row>
    <row r="25" spans="1:10" ht="12" customHeight="1" x14ac:dyDescent="0.25">
      <c r="A25" s="494">
        <f t="shared" si="1"/>
        <v>44560.489583333336</v>
      </c>
      <c r="B25" s="493">
        <f t="shared" si="2"/>
        <v>44560.489583333336</v>
      </c>
      <c r="C25" s="170">
        <v>0.10416666666666667</v>
      </c>
      <c r="D25" s="498" t="str">
        <f t="shared" si="3"/>
        <v/>
      </c>
      <c r="E25" s="493">
        <f t="shared" si="0"/>
        <v>44560.59375</v>
      </c>
      <c r="F25" s="492" t="s">
        <v>2433</v>
      </c>
      <c r="G25" s="492"/>
      <c r="H25" s="495">
        <v>500</v>
      </c>
      <c r="I25" s="495">
        <v>500</v>
      </c>
      <c r="J25" s="495"/>
    </row>
    <row r="26" spans="1:10" x14ac:dyDescent="0.25">
      <c r="A26" s="31">
        <f t="shared" si="1"/>
        <v>44560.59375</v>
      </c>
      <c r="B26" s="37">
        <f>B24+C24</f>
        <v>44560.489583333336</v>
      </c>
      <c r="C26" s="170">
        <v>0.27083333333333331</v>
      </c>
      <c r="D26" s="327" t="str">
        <f t="shared" si="3"/>
        <v/>
      </c>
      <c r="E26" s="37">
        <f t="shared" si="0"/>
        <v>44560.760416666672</v>
      </c>
      <c r="F26" s="35" t="s">
        <v>2434</v>
      </c>
      <c r="G26" s="35"/>
      <c r="H26" s="497">
        <v>708</v>
      </c>
      <c r="I26" s="511">
        <v>708</v>
      </c>
      <c r="J26" s="35"/>
    </row>
    <row r="27" spans="1:10" x14ac:dyDescent="0.25">
      <c r="A27" s="31">
        <f t="shared" si="1"/>
        <v>44560.864583333336</v>
      </c>
      <c r="B27" s="37">
        <f>B26+C26</f>
        <v>44560.760416666672</v>
      </c>
      <c r="C27" s="170">
        <v>0.29166666666666669</v>
      </c>
      <c r="D27" s="327" t="str">
        <f t="shared" si="3"/>
        <v/>
      </c>
      <c r="E27" s="37">
        <f t="shared" si="0"/>
        <v>44561.052083333336</v>
      </c>
      <c r="F27" s="35" t="s">
        <v>2435</v>
      </c>
      <c r="G27" s="35"/>
      <c r="H27" s="497">
        <v>720</v>
      </c>
      <c r="I27" s="511">
        <v>720</v>
      </c>
      <c r="J27" s="35"/>
    </row>
    <row r="28" spans="1:10" x14ac:dyDescent="0.25">
      <c r="A28" s="31">
        <f>IF(D27 = "",A27+C27,A27+D27)</f>
        <v>44561.15625</v>
      </c>
      <c r="B28" s="37">
        <f>IF(D27="",B27+C27+(7.92/24),B27+D27)</f>
        <v>44561.382083333338</v>
      </c>
      <c r="C28" s="170">
        <v>0.25</v>
      </c>
      <c r="D28" s="327" t="str">
        <f t="shared" si="3"/>
        <v/>
      </c>
      <c r="E28" s="37">
        <f t="shared" si="0"/>
        <v>44561.632083333338</v>
      </c>
      <c r="F28" s="35" t="s">
        <v>2436</v>
      </c>
      <c r="G28" s="739"/>
      <c r="H28" s="497"/>
      <c r="I28" s="511"/>
      <c r="J28" s="35"/>
    </row>
    <row r="29" spans="1:10" x14ac:dyDescent="0.25">
      <c r="A29" s="31">
        <f t="shared" si="1"/>
        <v>44561.40625</v>
      </c>
      <c r="B29" s="37">
        <f t="shared" si="2"/>
        <v>44561.632083333338</v>
      </c>
      <c r="C29" s="170">
        <v>4.1666666666666664E-2</v>
      </c>
      <c r="D29" s="327" t="str">
        <f t="shared" si="3"/>
        <v/>
      </c>
      <c r="E29" s="37">
        <f t="shared" si="0"/>
        <v>44561.673750000002</v>
      </c>
      <c r="F29" s="35" t="s">
        <v>549</v>
      </c>
      <c r="G29" s="35"/>
      <c r="H29" s="320"/>
      <c r="I29" s="181"/>
      <c r="J29" s="181"/>
    </row>
    <row r="30" spans="1:10" x14ac:dyDescent="0.25">
      <c r="A30" s="31">
        <f t="shared" si="1"/>
        <v>44561.447916666664</v>
      </c>
      <c r="B30" s="37">
        <f t="shared" si="2"/>
        <v>44561.673750000002</v>
      </c>
      <c r="C30" s="170">
        <v>8.3333333333333329E-2</v>
      </c>
      <c r="D30" s="327" t="str">
        <f t="shared" si="3"/>
        <v/>
      </c>
      <c r="E30" s="37">
        <f t="shared" si="0"/>
        <v>44561.757083333338</v>
      </c>
      <c r="F30" s="35" t="s">
        <v>672</v>
      </c>
      <c r="G30" s="35"/>
      <c r="H30" s="320"/>
      <c r="I30" s="181"/>
      <c r="J30" s="181"/>
    </row>
    <row r="31" spans="1:10" x14ac:dyDescent="0.25">
      <c r="A31" s="31">
        <f t="shared" si="1"/>
        <v>44561.53125</v>
      </c>
      <c r="B31" s="37">
        <f t="shared" si="2"/>
        <v>44561.757083333338</v>
      </c>
      <c r="C31" s="170">
        <v>0.47916666666666669</v>
      </c>
      <c r="D31" s="327" t="str">
        <f t="shared" si="3"/>
        <v/>
      </c>
      <c r="E31" s="37">
        <f t="shared" si="0"/>
        <v>44562.236250000002</v>
      </c>
      <c r="F31" s="35" t="s">
        <v>551</v>
      </c>
      <c r="G31" s="35"/>
      <c r="H31" s="497">
        <v>290.7</v>
      </c>
      <c r="I31" s="512">
        <v>290.7</v>
      </c>
      <c r="J31" s="497"/>
    </row>
    <row r="32" spans="1:10" x14ac:dyDescent="0.25">
      <c r="A32" s="31">
        <f t="shared" si="1"/>
        <v>44562.010416666664</v>
      </c>
      <c r="B32" s="37">
        <f t="shared" si="2"/>
        <v>44562.236250000002</v>
      </c>
      <c r="C32" s="170">
        <v>4.1666666666666664E-2</v>
      </c>
      <c r="D32" s="327" t="str">
        <f t="shared" si="3"/>
        <v/>
      </c>
      <c r="E32" s="37">
        <f t="shared" si="0"/>
        <v>44562.277916666666</v>
      </c>
      <c r="F32" s="35" t="s">
        <v>2437</v>
      </c>
      <c r="G32" s="35"/>
      <c r="H32" s="35"/>
      <c r="I32" s="35"/>
      <c r="J32" s="35"/>
    </row>
    <row r="33" spans="1:10" x14ac:dyDescent="0.25">
      <c r="A33" s="31">
        <f>A32+C32</f>
        <v>44562.052083333328</v>
      </c>
      <c r="B33" s="37">
        <f>B32+C32</f>
        <v>44562.277916666666</v>
      </c>
      <c r="C33" s="170">
        <v>2</v>
      </c>
      <c r="D33" s="327"/>
      <c r="E33" s="37">
        <f t="shared" si="0"/>
        <v>44564.277916666666</v>
      </c>
      <c r="F33" s="859" t="s">
        <v>693</v>
      </c>
      <c r="G33" s="35"/>
      <c r="H33" s="35"/>
      <c r="I33" s="35"/>
      <c r="J33" s="35"/>
    </row>
    <row r="34" spans="1:10" x14ac:dyDescent="0.25">
      <c r="A34" s="31">
        <f>IF(D33 = "",A33+C33,A33+D33)</f>
        <v>44564.052083333328</v>
      </c>
      <c r="B34" s="37">
        <f>IF(D32 = "",B32+C32,B32+D32)</f>
        <v>44562.277916666666</v>
      </c>
      <c r="C34" s="170">
        <v>0.22916666666666666</v>
      </c>
      <c r="D34" s="327" t="str">
        <f t="shared" si="3"/>
        <v/>
      </c>
      <c r="E34" s="37">
        <f t="shared" si="0"/>
        <v>44562.50708333333</v>
      </c>
      <c r="F34" s="320" t="s">
        <v>2428</v>
      </c>
      <c r="G34" s="35"/>
      <c r="H34" s="35"/>
      <c r="I34" s="35"/>
      <c r="J34" s="35"/>
    </row>
    <row r="35" spans="1:10" x14ac:dyDescent="0.25">
      <c r="A35" s="31">
        <f t="shared" si="1"/>
        <v>44564.281249999993</v>
      </c>
      <c r="B35" s="37">
        <f t="shared" si="2"/>
        <v>44562.50708333333</v>
      </c>
      <c r="C35" s="170">
        <v>0.10416666666666667</v>
      </c>
      <c r="D35" s="327" t="str">
        <f t="shared" si="3"/>
        <v/>
      </c>
      <c r="E35" s="37">
        <f t="shared" si="0"/>
        <v>44562.611249999994</v>
      </c>
      <c r="F35" s="35" t="s">
        <v>2438</v>
      </c>
      <c r="G35" s="35"/>
      <c r="H35" s="35"/>
      <c r="I35" s="35"/>
      <c r="J35" s="35"/>
    </row>
    <row r="36" spans="1:10" ht="21" x14ac:dyDescent="0.55000000000000004">
      <c r="A36" s="34"/>
      <c r="B36" s="33" t="s">
        <v>534</v>
      </c>
      <c r="C36" s="32">
        <f>SUM(C12:C35)</f>
        <v>6.8020833333333339</v>
      </c>
      <c r="D36" s="32">
        <f>SUM(D12:D25)</f>
        <v>0.52083333333333337</v>
      </c>
      <c r="G36" s="243" t="s">
        <v>535</v>
      </c>
      <c r="H36" s="496">
        <f>SUM(H12:H35)</f>
        <v>3664.4399999999996</v>
      </c>
      <c r="I36" s="499">
        <f>SUM(I12:I35)</f>
        <v>3664.4399999999996</v>
      </c>
      <c r="J36" s="183">
        <f>SUM(J12:J35)</f>
        <v>200</v>
      </c>
    </row>
    <row r="37" spans="1:10" x14ac:dyDescent="0.25">
      <c r="B37" s="31" t="s">
        <v>536</v>
      </c>
      <c r="C37" s="30">
        <f>(C36*60)/1440</f>
        <v>0.28342013888888895</v>
      </c>
      <c r="D37" s="30">
        <f>(D36*60)/1440</f>
        <v>2.1701388888888892E-2</v>
      </c>
      <c r="F37" s="26"/>
    </row>
    <row r="38" spans="1:10" x14ac:dyDescent="0.25">
      <c r="C38" s="774"/>
      <c r="F38" s="26"/>
    </row>
    <row r="47" spans="1:10" x14ac:dyDescent="0.25">
      <c r="C47" s="27"/>
      <c r="D47" s="27"/>
    </row>
    <row r="51" spans="2:2" x14ac:dyDescent="0.25">
      <c r="B51" s="502">
        <v>4.1666666666666664E-2</v>
      </c>
    </row>
  </sheetData>
  <mergeCells count="5">
    <mergeCell ref="A1:B1"/>
    <mergeCell ref="A5:D5"/>
    <mergeCell ref="H20:H22"/>
    <mergeCell ref="I20:I22"/>
    <mergeCell ref="J20:J22"/>
  </mergeCells>
  <pageMargins left="0.75" right="0.75" top="1" bottom="1" header="0.5" footer="0.5"/>
  <pageSetup orientation="portrait" r:id="rId1"/>
  <headerFooter alignWithMargins="0">
    <oddFooter>&amp;R&amp;"Arial,Regular"&amp;08&amp;K7F7F7FAmgen Proprietary - Confidential   &amp;C&amp;"Arial,Regular"&amp;08&amp;K7F7F7FAmgen Proprietary - For Internal Use Only</oddFooter>
    <evenFooter>&amp;R&amp;"Arial,Regular"&amp;08&amp;K7F7F7FAmgen Proprietary - Confidential   &amp;C&amp;"Arial,Regular"&amp;08&amp;K7F7F7FAmgen Proprietary - For Internal Use Only</evenFooter>
    <firstFooter>&amp;R&amp;"Arial,Regular"&amp;08&amp;K7F7F7FAmgen Proprietary - Confidential   &amp;C&amp;"Arial,Regular"&amp;08&amp;K7F7F7FAmgen Proprietary - For Internal Use Only</firstFooter>
  </headerFooter>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3AC3D9-C01D-4580-9075-8A3ADBD7A340}">
  <sheetPr codeName="Sheet105">
    <pageSetUpPr autoPageBreaks="0"/>
  </sheetPr>
  <dimension ref="A1:J50"/>
  <sheetViews>
    <sheetView topLeftCell="A9" zoomScaleNormal="100" workbookViewId="0">
      <selection activeCell="F28" sqref="F28"/>
    </sheetView>
  </sheetViews>
  <sheetFormatPr defaultColWidth="23.453125" defaultRowHeight="11.5" x14ac:dyDescent="0.25"/>
  <cols>
    <col min="1" max="1" width="28.453125" style="25" customWidth="1"/>
    <col min="2" max="2" width="25.453125" style="25" bestFit="1" customWidth="1"/>
    <col min="3" max="3" width="23.453125" style="25"/>
    <col min="4" max="4" width="17.453125" style="25" customWidth="1"/>
    <col min="5" max="5" width="23.453125" style="25"/>
    <col min="6" max="6" width="76.54296875" style="25" bestFit="1" customWidth="1"/>
    <col min="7" max="7" width="27.453125" style="25" customWidth="1"/>
    <col min="8" max="8" width="9" style="25" bestFit="1" customWidth="1"/>
    <col min="9" max="9" width="9.54296875" style="25" bestFit="1" customWidth="1"/>
    <col min="10" max="10" width="9.54296875" style="25" customWidth="1"/>
    <col min="11" max="16384" width="23.453125" style="25"/>
  </cols>
  <sheetData>
    <row r="1" spans="1:10" ht="12" thickBot="1" x14ac:dyDescent="0.3">
      <c r="A1" s="1047" t="s">
        <v>479</v>
      </c>
      <c r="B1" s="1048"/>
    </row>
    <row r="2" spans="1:10" x14ac:dyDescent="0.25">
      <c r="A2" s="43" t="s">
        <v>480</v>
      </c>
      <c r="B2" s="319">
        <f>A12</f>
        <v>44564</v>
      </c>
    </row>
    <row r="3" spans="1:10" ht="12" thickBot="1" x14ac:dyDescent="0.3">
      <c r="A3" s="42" t="s">
        <v>482</v>
      </c>
      <c r="B3" s="406">
        <f>B12</f>
        <v>0.97916666666666663</v>
      </c>
    </row>
    <row r="5" spans="1:10" x14ac:dyDescent="0.25">
      <c r="A5" s="1049" t="s">
        <v>484</v>
      </c>
      <c r="B5" s="1050"/>
      <c r="C5" s="1050"/>
      <c r="D5" s="1051"/>
    </row>
    <row r="6" spans="1:10" x14ac:dyDescent="0.25">
      <c r="A6" s="781" t="s">
        <v>485</v>
      </c>
      <c r="B6" s="781" t="s">
        <v>486</v>
      </c>
      <c r="C6" s="781" t="s">
        <v>487</v>
      </c>
      <c r="D6" s="781" t="s">
        <v>488</v>
      </c>
    </row>
    <row r="7" spans="1:10" x14ac:dyDescent="0.25">
      <c r="A7" s="41" t="str">
        <f>F15</f>
        <v>IPC1.0: Reaction Conversion</v>
      </c>
      <c r="B7" s="40">
        <f>INDEX($A$12:$A$62,MATCH(A7,$F$12:$F$45,0))</f>
        <v>44565.270833333336</v>
      </c>
      <c r="C7" s="37">
        <f>INDEX($B$12:$B$62,MATCH(A7,$F$12:$F$45,0))</f>
        <v>1.3124999999999998</v>
      </c>
      <c r="D7" s="297"/>
    </row>
    <row r="8" spans="1:10" x14ac:dyDescent="0.25">
      <c r="A8" s="41" t="str">
        <f>F24</f>
        <v>IPC2.0: Purity, LOD</v>
      </c>
      <c r="B8" s="40">
        <f>INDEX($A$12:$A$62,MATCH(A8,$F$12:$F$45,0))</f>
        <v>44566.84375</v>
      </c>
      <c r="C8" s="37">
        <f>INDEX($B$12:$B$62,MATCH(A8,$F$12:$F$45,0))</f>
        <v>2.8090277777777777</v>
      </c>
      <c r="D8" s="297"/>
      <c r="E8" s="298"/>
    </row>
    <row r="9" spans="1:10" x14ac:dyDescent="0.25">
      <c r="A9" s="41" t="s">
        <v>2482</v>
      </c>
      <c r="B9" s="40">
        <f>INDEX($A$12:$A$62,MATCH(A9,$F$12:$F$45,0))</f>
        <v>44568.895833333328</v>
      </c>
      <c r="C9" s="37">
        <f>B33</f>
        <v>4.7223611111111117</v>
      </c>
      <c r="D9" s="297"/>
      <c r="E9" s="298"/>
    </row>
    <row r="11" spans="1:10" ht="23" x14ac:dyDescent="0.25">
      <c r="A11" s="781" t="s">
        <v>492</v>
      </c>
      <c r="B11" s="781" t="s">
        <v>493</v>
      </c>
      <c r="C11" s="781" t="s">
        <v>494</v>
      </c>
      <c r="D11" s="500" t="s">
        <v>495</v>
      </c>
      <c r="E11" s="781" t="s">
        <v>540</v>
      </c>
      <c r="F11" s="781" t="s">
        <v>541</v>
      </c>
      <c r="G11" s="781" t="s">
        <v>498</v>
      </c>
      <c r="H11" s="501" t="s">
        <v>112</v>
      </c>
      <c r="I11" s="781" t="s">
        <v>542</v>
      </c>
      <c r="J11" s="781" t="s">
        <v>2429</v>
      </c>
    </row>
    <row r="12" spans="1:10" x14ac:dyDescent="0.25">
      <c r="A12" s="31">
        <v>44564</v>
      </c>
      <c r="B12" s="37">
        <v>0.97916666666666663</v>
      </c>
      <c r="C12" s="170">
        <v>0.10416666666666667</v>
      </c>
      <c r="D12" s="327">
        <v>6.25E-2</v>
      </c>
      <c r="E12" s="37">
        <f t="shared" ref="E12:E34" si="0">B12+C12</f>
        <v>1.0833333333333333</v>
      </c>
      <c r="F12" s="264" t="s">
        <v>543</v>
      </c>
      <c r="G12" s="78"/>
      <c r="H12" s="78"/>
      <c r="I12" s="78"/>
      <c r="J12" s="78"/>
    </row>
    <row r="13" spans="1:10" ht="12.75" customHeight="1" x14ac:dyDescent="0.25">
      <c r="A13" s="31">
        <v>44565</v>
      </c>
      <c r="B13" s="37">
        <f t="shared" ref="B13:B34" si="1">IF(D12 = "",B12+C12,B12+D12)</f>
        <v>1.0416666666666665</v>
      </c>
      <c r="C13" s="170">
        <v>8.3333333333333329E-2</v>
      </c>
      <c r="D13" s="327">
        <v>6.25E-2</v>
      </c>
      <c r="E13" s="37">
        <f t="shared" si="0"/>
        <v>1.1249999999999998</v>
      </c>
      <c r="F13" s="264" t="s">
        <v>544</v>
      </c>
      <c r="G13" s="35"/>
      <c r="H13" s="35"/>
      <c r="I13" s="35"/>
      <c r="J13" s="35"/>
    </row>
    <row r="14" spans="1:10" ht="12.75" customHeight="1" x14ac:dyDescent="0.25">
      <c r="A14" s="31">
        <f t="shared" ref="A14:A33" si="2">IF(D13 = "",A13+C13,A13+D13)</f>
        <v>44565.0625</v>
      </c>
      <c r="B14" s="37">
        <f t="shared" si="1"/>
        <v>1.1041666666666665</v>
      </c>
      <c r="C14" s="170">
        <v>0.20833333333333334</v>
      </c>
      <c r="D14" s="327" t="str">
        <f t="shared" ref="D14:D34" si="3">IF(_xlfn.ISFORMULA(E14)=TRUE,"",E14-B14)</f>
        <v/>
      </c>
      <c r="E14" s="37">
        <f t="shared" si="0"/>
        <v>1.3124999999999998</v>
      </c>
      <c r="F14" s="264" t="s">
        <v>545</v>
      </c>
      <c r="G14" s="39"/>
      <c r="H14" s="39"/>
      <c r="I14" s="39"/>
      <c r="J14" s="39"/>
    </row>
    <row r="15" spans="1:10" ht="13.5" customHeight="1" x14ac:dyDescent="0.25">
      <c r="A15" s="31">
        <f t="shared" si="2"/>
        <v>44565.270833333336</v>
      </c>
      <c r="B15" s="37">
        <f t="shared" si="1"/>
        <v>1.3124999999999998</v>
      </c>
      <c r="C15" s="170">
        <v>0.10416666666666667</v>
      </c>
      <c r="D15" s="327">
        <v>8.3333333333333329E-2</v>
      </c>
      <c r="E15" s="37">
        <f t="shared" si="0"/>
        <v>1.4166666666666665</v>
      </c>
      <c r="F15" s="320" t="s">
        <v>546</v>
      </c>
      <c r="G15" s="35"/>
      <c r="H15" s="35"/>
      <c r="I15" s="35"/>
      <c r="J15" s="35"/>
    </row>
    <row r="16" spans="1:10" x14ac:dyDescent="0.25">
      <c r="A16" s="31">
        <f t="shared" si="2"/>
        <v>44565.354166666672</v>
      </c>
      <c r="B16" s="37">
        <f t="shared" si="1"/>
        <v>1.395833333333333</v>
      </c>
      <c r="C16" s="172">
        <v>0.57638888888888895</v>
      </c>
      <c r="D16" s="327">
        <v>0.56944444444444442</v>
      </c>
      <c r="E16" s="37">
        <f t="shared" si="0"/>
        <v>1.9722222222222219</v>
      </c>
      <c r="F16" s="264" t="s">
        <v>547</v>
      </c>
      <c r="G16" s="35"/>
      <c r="H16" s="497">
        <v>384</v>
      </c>
      <c r="I16" s="497">
        <v>384</v>
      </c>
      <c r="J16" s="235"/>
    </row>
    <row r="17" spans="1:10" x14ac:dyDescent="0.25">
      <c r="A17" s="503">
        <f>A18</f>
        <v>44566</v>
      </c>
      <c r="B17" s="504">
        <f>E16 + B50</f>
        <v>2.0138888888888884</v>
      </c>
      <c r="C17" s="509">
        <v>0.50694444444444442</v>
      </c>
      <c r="D17" s="505" t="str">
        <f t="shared" si="3"/>
        <v/>
      </c>
      <c r="E17" s="504">
        <f t="shared" si="0"/>
        <v>2.520833333333333</v>
      </c>
      <c r="F17" s="506" t="s">
        <v>2431</v>
      </c>
      <c r="G17" s="492"/>
      <c r="H17" s="495"/>
      <c r="I17" s="495"/>
      <c r="J17" s="495">
        <v>200</v>
      </c>
    </row>
    <row r="18" spans="1:10" ht="13.5" customHeight="1" x14ac:dyDescent="0.25">
      <c r="A18" s="31">
        <v>44566</v>
      </c>
      <c r="B18" s="37">
        <f>IF(D16 = "",B16+C16,B16+D16)</f>
        <v>1.9652777777777775</v>
      </c>
      <c r="C18" s="172">
        <v>0.2638888888888889</v>
      </c>
      <c r="D18" s="327" t="str">
        <f t="shared" si="3"/>
        <v/>
      </c>
      <c r="E18" s="37">
        <f t="shared" si="0"/>
        <v>2.2291666666666665</v>
      </c>
      <c r="F18" s="264" t="s">
        <v>548</v>
      </c>
      <c r="G18" s="35"/>
      <c r="H18" s="497"/>
      <c r="I18" s="497"/>
      <c r="J18" s="497"/>
    </row>
    <row r="19" spans="1:10" ht="13.5" hidden="1" customHeight="1" x14ac:dyDescent="0.25">
      <c r="A19" s="503">
        <f>A18</f>
        <v>44566</v>
      </c>
      <c r="B19" s="504">
        <f>E17</f>
        <v>2.520833333333333</v>
      </c>
      <c r="C19" s="172">
        <v>0.20833333333333334</v>
      </c>
      <c r="D19" s="505" t="str">
        <f t="shared" si="3"/>
        <v/>
      </c>
      <c r="E19" s="504">
        <f>B19+C19</f>
        <v>2.7291666666666665</v>
      </c>
      <c r="F19" s="506" t="s">
        <v>2432</v>
      </c>
      <c r="G19" s="507"/>
      <c r="H19" s="495">
        <v>384</v>
      </c>
      <c r="I19" s="495">
        <v>384</v>
      </c>
      <c r="J19" s="495"/>
    </row>
    <row r="20" spans="1:10" ht="12" customHeight="1" x14ac:dyDescent="0.25">
      <c r="A20" s="31">
        <f>IF(D18 = "",A18+C18,A18+D18)</f>
        <v>44566.263888888891</v>
      </c>
      <c r="B20" s="37">
        <f>IF(D18 = "",B18+C18,B18+D18)</f>
        <v>2.2291666666666665</v>
      </c>
      <c r="C20" s="172">
        <v>4.8611111111111112E-2</v>
      </c>
      <c r="D20" s="327" t="str">
        <f t="shared" si="3"/>
        <v/>
      </c>
      <c r="E20" s="37">
        <f t="shared" si="0"/>
        <v>2.2777777777777777</v>
      </c>
      <c r="F20" s="264" t="s">
        <v>549</v>
      </c>
      <c r="G20" s="39"/>
      <c r="H20" s="1052">
        <v>677.74</v>
      </c>
      <c r="I20" s="1052">
        <f>SUM(H20)</f>
        <v>677.74</v>
      </c>
      <c r="J20" s="1052"/>
    </row>
    <row r="21" spans="1:10" ht="12.75" customHeight="1" x14ac:dyDescent="0.25">
      <c r="A21" s="31">
        <f t="shared" si="2"/>
        <v>44566.3125</v>
      </c>
      <c r="B21" s="37">
        <f t="shared" si="1"/>
        <v>2.2777777777777777</v>
      </c>
      <c r="C21" s="172">
        <v>6.25E-2</v>
      </c>
      <c r="D21" s="327"/>
      <c r="E21" s="37">
        <f t="shared" si="0"/>
        <v>2.3402777777777777</v>
      </c>
      <c r="F21" s="264" t="s">
        <v>550</v>
      </c>
      <c r="G21" s="35"/>
      <c r="H21" s="1052"/>
      <c r="I21" s="1052"/>
      <c r="J21" s="1052"/>
    </row>
    <row r="22" spans="1:10" x14ac:dyDescent="0.25">
      <c r="A22" s="31">
        <f t="shared" si="2"/>
        <v>44566.375</v>
      </c>
      <c r="B22" s="37">
        <f t="shared" si="1"/>
        <v>2.3402777777777777</v>
      </c>
      <c r="C22" s="170">
        <v>0.42708333333333331</v>
      </c>
      <c r="D22" s="327" t="str">
        <f t="shared" si="3"/>
        <v/>
      </c>
      <c r="E22" s="37">
        <f>B22+C22</f>
        <v>2.7673611111111112</v>
      </c>
      <c r="F22" s="264" t="s">
        <v>551</v>
      </c>
      <c r="G22" s="35"/>
      <c r="H22" s="1052"/>
      <c r="I22" s="1052"/>
      <c r="J22" s="1052"/>
    </row>
    <row r="23" spans="1:10" x14ac:dyDescent="0.25">
      <c r="A23" s="31">
        <f t="shared" si="2"/>
        <v>44566.802083333336</v>
      </c>
      <c r="B23" s="37">
        <f t="shared" si="1"/>
        <v>2.7673611111111112</v>
      </c>
      <c r="C23" s="170">
        <v>4.1666666666666664E-2</v>
      </c>
      <c r="D23" s="327" t="str">
        <f t="shared" si="3"/>
        <v/>
      </c>
      <c r="E23" s="37">
        <f t="shared" si="0"/>
        <v>2.8090277777777777</v>
      </c>
      <c r="F23" s="240" t="s">
        <v>552</v>
      </c>
      <c r="G23" s="35"/>
      <c r="H23" s="773"/>
      <c r="I23" s="773"/>
      <c r="J23" s="773"/>
    </row>
    <row r="24" spans="1:10" ht="12" customHeight="1" x14ac:dyDescent="0.25">
      <c r="A24" s="31">
        <f t="shared" si="2"/>
        <v>44566.84375</v>
      </c>
      <c r="B24" s="37">
        <f t="shared" si="1"/>
        <v>2.8090277777777777</v>
      </c>
      <c r="C24" s="170">
        <v>0.27083333333333331</v>
      </c>
      <c r="D24" s="327">
        <v>0.125</v>
      </c>
      <c r="E24" s="37">
        <f t="shared" si="0"/>
        <v>3.0798611111111112</v>
      </c>
      <c r="F24" s="320" t="s">
        <v>553</v>
      </c>
      <c r="G24" s="35"/>
      <c r="H24" s="35"/>
      <c r="I24" s="35"/>
      <c r="J24" s="35"/>
    </row>
    <row r="25" spans="1:10" ht="12" customHeight="1" x14ac:dyDescent="0.25">
      <c r="A25" s="494">
        <f t="shared" si="2"/>
        <v>44566.96875</v>
      </c>
      <c r="B25" s="493">
        <f>IF(D24 = "",B24+C24,B24+D24)</f>
        <v>2.9340277777777777</v>
      </c>
      <c r="C25" s="170">
        <v>0.10416666666666667</v>
      </c>
      <c r="D25" s="498" t="str">
        <f t="shared" si="3"/>
        <v/>
      </c>
      <c r="E25" s="493">
        <f t="shared" si="0"/>
        <v>3.0381944444444442</v>
      </c>
      <c r="F25" s="492" t="s">
        <v>2433</v>
      </c>
      <c r="G25" s="492"/>
      <c r="H25" s="495">
        <v>500</v>
      </c>
      <c r="I25" s="495">
        <v>500</v>
      </c>
      <c r="J25" s="495"/>
    </row>
    <row r="26" spans="1:10" x14ac:dyDescent="0.25">
      <c r="A26" s="31">
        <f t="shared" si="2"/>
        <v>44567.072916666664</v>
      </c>
      <c r="B26" s="37">
        <f>B24+D24</f>
        <v>2.9340277777777777</v>
      </c>
      <c r="C26" s="170">
        <v>0.27083333333333331</v>
      </c>
      <c r="D26" s="327" t="str">
        <f t="shared" si="3"/>
        <v/>
      </c>
      <c r="E26" s="37">
        <f t="shared" si="0"/>
        <v>3.2048611111111112</v>
      </c>
      <c r="F26" s="35" t="s">
        <v>2434</v>
      </c>
      <c r="G26" s="35"/>
      <c r="H26" s="497">
        <v>708</v>
      </c>
      <c r="I26" s="511">
        <v>708</v>
      </c>
      <c r="J26" s="35"/>
    </row>
    <row r="27" spans="1:10" x14ac:dyDescent="0.25">
      <c r="A27" s="31">
        <f t="shared" si="2"/>
        <v>44567.34375</v>
      </c>
      <c r="B27" s="37">
        <f>B26+C26</f>
        <v>3.2048611111111112</v>
      </c>
      <c r="C27" s="170">
        <v>0.29166666666666669</v>
      </c>
      <c r="D27" s="327" t="str">
        <f>IF(_xlfn.ISFORMULA(E27)=TRUE,"",E27-B27)</f>
        <v/>
      </c>
      <c r="E27" s="37">
        <f>B27+C27</f>
        <v>3.4965277777777777</v>
      </c>
      <c r="F27" s="35" t="s">
        <v>2435</v>
      </c>
      <c r="G27" s="35"/>
      <c r="H27" s="497">
        <v>720</v>
      </c>
      <c r="I27" s="511">
        <v>720</v>
      </c>
      <c r="J27" s="35"/>
    </row>
    <row r="28" spans="1:10" x14ac:dyDescent="0.25">
      <c r="A28" s="31">
        <v>44568</v>
      </c>
      <c r="B28" s="37">
        <f>IF(D27="",B27+C27+(7.92/24),B27+D27)</f>
        <v>3.8265277777777778</v>
      </c>
      <c r="C28" s="170">
        <v>0.25</v>
      </c>
      <c r="D28" s="327" t="str">
        <f t="shared" si="3"/>
        <v/>
      </c>
      <c r="E28" s="37">
        <f t="shared" si="0"/>
        <v>4.0765277777777778</v>
      </c>
      <c r="F28" s="35" t="s">
        <v>2436</v>
      </c>
      <c r="G28" s="739"/>
      <c r="H28" s="497"/>
      <c r="I28" s="511"/>
      <c r="J28" s="35"/>
    </row>
    <row r="29" spans="1:10" x14ac:dyDescent="0.25">
      <c r="A29" s="31">
        <f t="shared" si="2"/>
        <v>44568.25</v>
      </c>
      <c r="B29" s="37">
        <f t="shared" si="1"/>
        <v>4.0765277777777778</v>
      </c>
      <c r="C29" s="170">
        <v>4.1666666666666664E-2</v>
      </c>
      <c r="D29" s="327" t="str">
        <f>IF(_xlfn.ISFORMULA(E29)=TRUE,"",E29-B29)</f>
        <v/>
      </c>
      <c r="E29" s="37">
        <f t="shared" si="0"/>
        <v>4.1181944444444447</v>
      </c>
      <c r="F29" s="35" t="s">
        <v>549</v>
      </c>
      <c r="G29" s="35"/>
      <c r="H29" s="320"/>
      <c r="I29" s="181"/>
      <c r="J29" s="181"/>
    </row>
    <row r="30" spans="1:10" x14ac:dyDescent="0.25">
      <c r="A30" s="31">
        <f t="shared" si="2"/>
        <v>44568.291666666664</v>
      </c>
      <c r="B30" s="37">
        <f t="shared" si="1"/>
        <v>4.1181944444444447</v>
      </c>
      <c r="C30" s="170">
        <v>8.3333333333333329E-2</v>
      </c>
      <c r="D30" s="327" t="str">
        <f t="shared" si="3"/>
        <v/>
      </c>
      <c r="E30" s="37">
        <f t="shared" si="0"/>
        <v>4.2015277777777778</v>
      </c>
      <c r="F30" s="35" t="s">
        <v>672</v>
      </c>
      <c r="G30" s="35"/>
      <c r="H30" s="320"/>
      <c r="I30" s="181"/>
      <c r="J30" s="181"/>
    </row>
    <row r="31" spans="1:10" x14ac:dyDescent="0.25">
      <c r="A31" s="31">
        <f t="shared" si="2"/>
        <v>44568.375</v>
      </c>
      <c r="B31" s="37">
        <f t="shared" si="1"/>
        <v>4.2015277777777778</v>
      </c>
      <c r="C31" s="170">
        <v>0.47916666666666669</v>
      </c>
      <c r="D31" s="327" t="str">
        <f t="shared" si="3"/>
        <v/>
      </c>
      <c r="E31" s="37">
        <f t="shared" si="0"/>
        <v>4.6806944444444447</v>
      </c>
      <c r="F31" s="35" t="s">
        <v>551</v>
      </c>
      <c r="G31" s="35"/>
      <c r="H31" s="497">
        <v>290.7</v>
      </c>
      <c r="I31" s="512">
        <v>290.7</v>
      </c>
      <c r="J31" s="497"/>
    </row>
    <row r="32" spans="1:10" x14ac:dyDescent="0.25">
      <c r="A32" s="31">
        <f t="shared" si="2"/>
        <v>44568.854166666664</v>
      </c>
      <c r="B32" s="37">
        <f t="shared" si="1"/>
        <v>4.6806944444444447</v>
      </c>
      <c r="C32" s="170">
        <v>4.1666666666666664E-2</v>
      </c>
      <c r="D32" s="327" t="str">
        <f t="shared" si="3"/>
        <v/>
      </c>
      <c r="E32" s="37">
        <f t="shared" si="0"/>
        <v>4.7223611111111117</v>
      </c>
      <c r="F32" s="35" t="s">
        <v>2437</v>
      </c>
      <c r="G32" s="35"/>
      <c r="H32" s="35"/>
      <c r="I32" s="35"/>
      <c r="J32" s="35"/>
    </row>
    <row r="33" spans="1:10" x14ac:dyDescent="0.25">
      <c r="A33" s="31">
        <f t="shared" si="2"/>
        <v>44568.895833333328</v>
      </c>
      <c r="B33" s="37">
        <f t="shared" si="1"/>
        <v>4.7223611111111117</v>
      </c>
      <c r="C33" s="170">
        <v>0.22916666666666666</v>
      </c>
      <c r="D33" s="327" t="str">
        <f t="shared" si="3"/>
        <v/>
      </c>
      <c r="E33" s="37">
        <f t="shared" si="0"/>
        <v>4.9515277777777786</v>
      </c>
      <c r="F33" s="320" t="s">
        <v>2482</v>
      </c>
      <c r="G33" s="35"/>
      <c r="H33" s="35"/>
      <c r="I33" s="35"/>
      <c r="J33" s="35"/>
    </row>
    <row r="34" spans="1:10" x14ac:dyDescent="0.25">
      <c r="A34" s="31">
        <v>44569</v>
      </c>
      <c r="B34" s="37">
        <f t="shared" si="1"/>
        <v>4.9515277777777786</v>
      </c>
      <c r="C34" s="170">
        <v>0.10416666666666667</v>
      </c>
      <c r="D34" s="327" t="str">
        <f t="shared" si="3"/>
        <v/>
      </c>
      <c r="E34" s="37">
        <f t="shared" si="0"/>
        <v>5.0556944444444456</v>
      </c>
      <c r="F34" s="35" t="s">
        <v>2438</v>
      </c>
      <c r="G34" s="35"/>
      <c r="H34" s="35"/>
      <c r="I34" s="35"/>
      <c r="J34" s="35"/>
    </row>
    <row r="35" spans="1:10" ht="21" x14ac:dyDescent="0.55000000000000004">
      <c r="A35" s="34"/>
      <c r="B35" s="33" t="s">
        <v>534</v>
      </c>
      <c r="C35" s="32">
        <f>SUM(C12:C34)</f>
        <v>4.8020833333333339</v>
      </c>
      <c r="D35" s="32">
        <f>SUM(D12:D25)</f>
        <v>0.90277777777777768</v>
      </c>
      <c r="G35" s="243" t="s">
        <v>535</v>
      </c>
      <c r="H35" s="496">
        <f>SUM(H12:H34)</f>
        <v>3664.4399999999996</v>
      </c>
      <c r="I35" s="499">
        <f>SUM(I12:I34)</f>
        <v>3664.4399999999996</v>
      </c>
      <c r="J35" s="183">
        <f>SUM(J12:J34)</f>
        <v>200</v>
      </c>
    </row>
    <row r="36" spans="1:10" x14ac:dyDescent="0.25">
      <c r="B36" s="31" t="s">
        <v>536</v>
      </c>
      <c r="C36" s="30">
        <f>(C35*60)/1440</f>
        <v>0.20008680555555561</v>
      </c>
      <c r="D36" s="30">
        <f>(D35*60)/1440</f>
        <v>3.7615740740740734E-2</v>
      </c>
      <c r="F36" s="26"/>
    </row>
    <row r="37" spans="1:10" x14ac:dyDescent="0.25">
      <c r="C37" s="774"/>
      <c r="F37" s="26"/>
    </row>
    <row r="46" spans="1:10" x14ac:dyDescent="0.25">
      <c r="C46" s="27"/>
      <c r="D46" s="27"/>
    </row>
    <row r="50" spans="2:2" x14ac:dyDescent="0.25">
      <c r="B50" s="502">
        <v>4.1666666666666664E-2</v>
      </c>
    </row>
  </sheetData>
  <mergeCells count="5">
    <mergeCell ref="A1:B1"/>
    <mergeCell ref="A5:D5"/>
    <mergeCell ref="H20:H22"/>
    <mergeCell ref="I20:I22"/>
    <mergeCell ref="J20:J22"/>
  </mergeCells>
  <pageMargins left="0.75" right="0.75" top="1" bottom="1" header="0.5" footer="0.5"/>
  <pageSetup orientation="portrait" r:id="rId1"/>
  <headerFooter alignWithMargins="0">
    <oddFooter>&amp;R&amp;"Arial,Regular"&amp;08&amp;K7F7F7FAmgen Proprietary - Confidential   &amp;C&amp;"Arial,Regular"&amp;08&amp;K7F7F7FAmgen Proprietary - For Internal Use Only</oddFooter>
    <evenFooter>&amp;R&amp;"Arial,Regular"&amp;08&amp;K7F7F7FAmgen Proprietary - Confidential   &amp;C&amp;"Arial,Regular"&amp;08&amp;K7F7F7FAmgen Proprietary - For Internal Use Only</evenFooter>
    <firstFooter>&amp;R&amp;"Arial,Regular"&amp;08&amp;K7F7F7FAmgen Proprietary - Confidential   &amp;C&amp;"Arial,Regular"&amp;08&amp;K7F7F7FAmgen Proprietary - For Internal Use Only</firstFooter>
  </headerFooter>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F7E99D-7A2E-4C89-9B45-81A531F818DA}">
  <sheetPr codeName="Sheet106">
    <pageSetUpPr autoPageBreaks="0"/>
  </sheetPr>
  <dimension ref="A1:J50"/>
  <sheetViews>
    <sheetView zoomScaleNormal="100" workbookViewId="0">
      <selection activeCell="B14" sqref="B14"/>
    </sheetView>
  </sheetViews>
  <sheetFormatPr defaultColWidth="23.453125" defaultRowHeight="11.5" x14ac:dyDescent="0.25"/>
  <cols>
    <col min="1" max="1" width="28.453125" style="25" customWidth="1"/>
    <col min="2" max="2" width="25.453125" style="25" bestFit="1" customWidth="1"/>
    <col min="3" max="3" width="23.453125" style="25"/>
    <col min="4" max="4" width="17.453125" style="25" customWidth="1"/>
    <col min="5" max="5" width="23.453125" style="25"/>
    <col min="6" max="6" width="76.54296875" style="25" bestFit="1" customWidth="1"/>
    <col min="7" max="7" width="27.453125" style="25" customWidth="1"/>
    <col min="8" max="8" width="9" style="25" bestFit="1" customWidth="1"/>
    <col min="9" max="9" width="9.54296875" style="25" bestFit="1" customWidth="1"/>
    <col min="10" max="10" width="9.54296875" style="25" customWidth="1"/>
    <col min="11" max="16384" width="23.453125" style="25"/>
  </cols>
  <sheetData>
    <row r="1" spans="1:10" ht="12" thickBot="1" x14ac:dyDescent="0.3">
      <c r="A1" s="1047" t="s">
        <v>479</v>
      </c>
      <c r="B1" s="1048"/>
    </row>
    <row r="2" spans="1:10" x14ac:dyDescent="0.25">
      <c r="A2" s="43" t="s">
        <v>480</v>
      </c>
      <c r="B2" s="319">
        <f>A12</f>
        <v>44571</v>
      </c>
    </row>
    <row r="3" spans="1:10" ht="12" thickBot="1" x14ac:dyDescent="0.3">
      <c r="A3" s="42" t="s">
        <v>482</v>
      </c>
      <c r="B3" s="406">
        <f>B12</f>
        <v>0.375</v>
      </c>
    </row>
    <row r="5" spans="1:10" x14ac:dyDescent="0.25">
      <c r="A5" s="1049" t="s">
        <v>484</v>
      </c>
      <c r="B5" s="1050"/>
      <c r="C5" s="1050"/>
      <c r="D5" s="1051"/>
    </row>
    <row r="6" spans="1:10" x14ac:dyDescent="0.25">
      <c r="A6" s="781" t="s">
        <v>485</v>
      </c>
      <c r="B6" s="781" t="s">
        <v>486</v>
      </c>
      <c r="C6" s="781" t="s">
        <v>487</v>
      </c>
      <c r="D6" s="781" t="s">
        <v>488</v>
      </c>
    </row>
    <row r="7" spans="1:10" x14ac:dyDescent="0.25">
      <c r="A7" s="41" t="str">
        <f>F15</f>
        <v>IPC1.0: Reaction Conversion</v>
      </c>
      <c r="B7" s="40">
        <f>INDEX($A$12:$A$62,MATCH(A7,$F$12:$F$45,0))</f>
        <v>44571.354166666664</v>
      </c>
      <c r="C7" s="37">
        <f>INDEX($B$12:$B$62,MATCH(A7,$F$12:$F$45,0))</f>
        <v>0.72916666666666674</v>
      </c>
      <c r="D7" s="297"/>
    </row>
    <row r="8" spans="1:10" x14ac:dyDescent="0.25">
      <c r="A8" s="41" t="str">
        <f>F24</f>
        <v>IPC2.0: Purity, LOD</v>
      </c>
      <c r="B8" s="40">
        <f>INDEX($A$12:$A$62,MATCH(A8,$F$12:$F$45,0))</f>
        <v>44573.041666666664</v>
      </c>
      <c r="C8" s="37">
        <f>INDEX($B$12:$B$62,MATCH(A8,$F$12:$F$45,0))</f>
        <v>2.2534722222222223</v>
      </c>
      <c r="D8" s="297"/>
      <c r="E8" s="298"/>
    </row>
    <row r="9" spans="1:10" x14ac:dyDescent="0.25">
      <c r="A9" s="41" t="s">
        <v>2482</v>
      </c>
      <c r="B9" s="40">
        <f>INDEX($A$12:$A$62,MATCH(A9,$F$12:$F$45,0))</f>
        <v>44575.041666666664</v>
      </c>
      <c r="C9" s="37">
        <f>B33</f>
        <v>4.3126388888888894</v>
      </c>
      <c r="D9" s="297"/>
      <c r="E9" s="298"/>
    </row>
    <row r="11" spans="1:10" ht="23" x14ac:dyDescent="0.25">
      <c r="A11" s="781" t="s">
        <v>492</v>
      </c>
      <c r="B11" s="781" t="s">
        <v>493</v>
      </c>
      <c r="C11" s="781" t="s">
        <v>494</v>
      </c>
      <c r="D11" s="500" t="s">
        <v>495</v>
      </c>
      <c r="E11" s="781" t="s">
        <v>540</v>
      </c>
      <c r="F11" s="781" t="s">
        <v>541</v>
      </c>
      <c r="G11" s="781" t="s">
        <v>498</v>
      </c>
      <c r="H11" s="501" t="s">
        <v>112</v>
      </c>
      <c r="I11" s="781" t="s">
        <v>542</v>
      </c>
      <c r="J11" s="781" t="s">
        <v>2429</v>
      </c>
    </row>
    <row r="12" spans="1:10" x14ac:dyDescent="0.25">
      <c r="A12" s="31">
        <v>44571</v>
      </c>
      <c r="B12" s="37">
        <v>0.375</v>
      </c>
      <c r="C12" s="170">
        <v>7.2916666666666671E-2</v>
      </c>
      <c r="D12" s="327"/>
      <c r="E12" s="37">
        <f t="shared" ref="E12:E34" si="0">B12+C12</f>
        <v>0.44791666666666669</v>
      </c>
      <c r="F12" s="264" t="s">
        <v>543</v>
      </c>
      <c r="G12" s="78"/>
      <c r="H12" s="78"/>
      <c r="I12" s="78"/>
      <c r="J12" s="78"/>
    </row>
    <row r="13" spans="1:10" ht="12.75" customHeight="1" x14ac:dyDescent="0.25">
      <c r="A13" s="31">
        <f t="shared" ref="A13:A34" si="1">IF(D12 = "",A12+C12,A12+D12)</f>
        <v>44571.072916666664</v>
      </c>
      <c r="B13" s="37">
        <f t="shared" ref="B13:B34" si="2">IF(D12 = "",B12+C12,B12+D12)</f>
        <v>0.44791666666666669</v>
      </c>
      <c r="C13" s="170">
        <v>7.2916666666666671E-2</v>
      </c>
      <c r="D13" s="327"/>
      <c r="E13" s="37">
        <f t="shared" si="0"/>
        <v>0.52083333333333337</v>
      </c>
      <c r="F13" s="264" t="s">
        <v>544</v>
      </c>
      <c r="G13" s="35"/>
      <c r="H13" s="35"/>
      <c r="I13" s="35"/>
      <c r="J13" s="35"/>
    </row>
    <row r="14" spans="1:10" ht="12.75" customHeight="1" x14ac:dyDescent="0.25">
      <c r="A14" s="31">
        <f t="shared" si="1"/>
        <v>44571.145833333328</v>
      </c>
      <c r="B14" s="37">
        <f t="shared" si="2"/>
        <v>0.52083333333333337</v>
      </c>
      <c r="C14" s="170">
        <v>0.20833333333333334</v>
      </c>
      <c r="D14" s="327" t="str">
        <f t="shared" ref="D14:D34" si="3">IF(_xlfn.ISFORMULA(E14)=TRUE,"",E14-B14)</f>
        <v/>
      </c>
      <c r="E14" s="37">
        <f t="shared" si="0"/>
        <v>0.72916666666666674</v>
      </c>
      <c r="F14" s="264" t="s">
        <v>545</v>
      </c>
      <c r="G14" s="39"/>
      <c r="H14" s="39"/>
      <c r="I14" s="39"/>
      <c r="J14" s="39"/>
    </row>
    <row r="15" spans="1:10" ht="13.5" customHeight="1" x14ac:dyDescent="0.25">
      <c r="A15" s="31">
        <f t="shared" si="1"/>
        <v>44571.354166666664</v>
      </c>
      <c r="B15" s="37">
        <f t="shared" si="2"/>
        <v>0.72916666666666674</v>
      </c>
      <c r="C15" s="170">
        <v>0.10416666666666667</v>
      </c>
      <c r="D15" s="327"/>
      <c r="E15" s="37">
        <f t="shared" si="0"/>
        <v>0.83333333333333337</v>
      </c>
      <c r="F15" s="320" t="s">
        <v>546</v>
      </c>
      <c r="G15" s="35"/>
      <c r="H15" s="35"/>
      <c r="I15" s="35"/>
      <c r="J15" s="35"/>
    </row>
    <row r="16" spans="1:10" x14ac:dyDescent="0.25">
      <c r="A16" s="31">
        <f t="shared" si="1"/>
        <v>44571.458333333328</v>
      </c>
      <c r="B16" s="37">
        <f t="shared" si="2"/>
        <v>0.83333333333333337</v>
      </c>
      <c r="C16" s="172">
        <v>0.57638888888888895</v>
      </c>
      <c r="D16" s="327" t="str">
        <f t="shared" si="3"/>
        <v/>
      </c>
      <c r="E16" s="37">
        <f t="shared" si="0"/>
        <v>1.4097222222222223</v>
      </c>
      <c r="F16" s="264" t="s">
        <v>547</v>
      </c>
      <c r="G16" s="35"/>
      <c r="H16" s="497">
        <v>384</v>
      </c>
      <c r="I16" s="497">
        <v>384</v>
      </c>
      <c r="J16" s="235"/>
    </row>
    <row r="17" spans="1:10" x14ac:dyDescent="0.25">
      <c r="A17" s="503">
        <f>A18</f>
        <v>44572.034722222219</v>
      </c>
      <c r="B17" s="504">
        <f>E16 + B50</f>
        <v>1.4513888888888891</v>
      </c>
      <c r="C17" s="509">
        <v>0.50694444444444442</v>
      </c>
      <c r="D17" s="505" t="str">
        <f t="shared" si="3"/>
        <v/>
      </c>
      <c r="E17" s="504">
        <f t="shared" si="0"/>
        <v>1.9583333333333335</v>
      </c>
      <c r="F17" s="506" t="s">
        <v>2431</v>
      </c>
      <c r="G17" s="492"/>
      <c r="H17" s="495"/>
      <c r="I17" s="495"/>
      <c r="J17" s="495">
        <v>200</v>
      </c>
    </row>
    <row r="18" spans="1:10" ht="13.5" customHeight="1" x14ac:dyDescent="0.25">
      <c r="A18" s="31">
        <f t="shared" ref="A18:A19" si="4">IF(D16 = "",A16+C16,A16+D16)</f>
        <v>44572.034722222219</v>
      </c>
      <c r="B18" s="37">
        <f>IF(D16 = "",B16+C16,B16+D16)</f>
        <v>1.4097222222222223</v>
      </c>
      <c r="C18" s="172">
        <v>0.2638888888888889</v>
      </c>
      <c r="D18" s="327" t="str">
        <f t="shared" si="3"/>
        <v/>
      </c>
      <c r="E18" s="37">
        <f t="shared" si="0"/>
        <v>1.6736111111111112</v>
      </c>
      <c r="F18" s="264" t="s">
        <v>548</v>
      </c>
      <c r="G18" s="35"/>
      <c r="H18" s="497"/>
      <c r="I18" s="497"/>
      <c r="J18" s="497"/>
    </row>
    <row r="19" spans="1:10" ht="13.5" hidden="1" customHeight="1" x14ac:dyDescent="0.25">
      <c r="A19" s="31">
        <f t="shared" si="4"/>
        <v>44572.541666666664</v>
      </c>
      <c r="B19" s="504">
        <f>E17</f>
        <v>1.9583333333333335</v>
      </c>
      <c r="C19" s="172">
        <v>0.20833333333333334</v>
      </c>
      <c r="D19" s="505" t="str">
        <f t="shared" si="3"/>
        <v/>
      </c>
      <c r="E19" s="504">
        <f>B19+C19</f>
        <v>2.166666666666667</v>
      </c>
      <c r="F19" s="506" t="s">
        <v>2432</v>
      </c>
      <c r="G19" s="507"/>
      <c r="H19" s="495">
        <v>384</v>
      </c>
      <c r="I19" s="495">
        <v>384</v>
      </c>
      <c r="J19" s="495"/>
    </row>
    <row r="20" spans="1:10" ht="12" customHeight="1" x14ac:dyDescent="0.25">
      <c r="A20" s="31">
        <f>IF(D18 = "",A18+C18,A18+D18)</f>
        <v>44572.298611111109</v>
      </c>
      <c r="B20" s="37">
        <f>IF(D18 = "",B18+C18,B18+D18)</f>
        <v>1.6736111111111112</v>
      </c>
      <c r="C20" s="172">
        <v>4.8611111111111112E-2</v>
      </c>
      <c r="D20" s="327" t="str">
        <f t="shared" si="3"/>
        <v/>
      </c>
      <c r="E20" s="37">
        <f t="shared" si="0"/>
        <v>1.7222222222222223</v>
      </c>
      <c r="F20" s="264" t="s">
        <v>549</v>
      </c>
      <c r="G20" s="39"/>
      <c r="H20" s="1052">
        <v>677.74</v>
      </c>
      <c r="I20" s="1052">
        <f>SUM(H20)</f>
        <v>677.74</v>
      </c>
      <c r="J20" s="1052"/>
    </row>
    <row r="21" spans="1:10" ht="12.75" customHeight="1" x14ac:dyDescent="0.25">
      <c r="A21" s="31">
        <f t="shared" si="1"/>
        <v>44572.347222222219</v>
      </c>
      <c r="B21" s="37">
        <f t="shared" si="2"/>
        <v>1.7222222222222223</v>
      </c>
      <c r="C21" s="172">
        <v>6.25E-2</v>
      </c>
      <c r="D21" s="327"/>
      <c r="E21" s="37">
        <f t="shared" si="0"/>
        <v>1.7847222222222223</v>
      </c>
      <c r="F21" s="264" t="s">
        <v>550</v>
      </c>
      <c r="G21" s="35"/>
      <c r="H21" s="1052"/>
      <c r="I21" s="1052"/>
      <c r="J21" s="1052"/>
    </row>
    <row r="22" spans="1:10" x14ac:dyDescent="0.25">
      <c r="A22" s="31">
        <f t="shared" si="1"/>
        <v>44572.409722222219</v>
      </c>
      <c r="B22" s="37">
        <f t="shared" si="2"/>
        <v>1.7847222222222223</v>
      </c>
      <c r="C22" s="170">
        <v>0.42708333333333331</v>
      </c>
      <c r="D22" s="327" t="str">
        <f t="shared" si="3"/>
        <v/>
      </c>
      <c r="E22" s="37">
        <f t="shared" si="0"/>
        <v>2.2118055555555558</v>
      </c>
      <c r="F22" s="264" t="s">
        <v>551</v>
      </c>
      <c r="G22" s="35"/>
      <c r="H22" s="1052"/>
      <c r="I22" s="1052"/>
      <c r="J22" s="1052"/>
    </row>
    <row r="23" spans="1:10" x14ac:dyDescent="0.25">
      <c r="A23" s="31">
        <v>44573</v>
      </c>
      <c r="B23" s="37">
        <f t="shared" si="2"/>
        <v>2.2118055555555558</v>
      </c>
      <c r="C23" s="170">
        <v>4.1666666666666664E-2</v>
      </c>
      <c r="D23" s="327" t="str">
        <f t="shared" si="3"/>
        <v/>
      </c>
      <c r="E23" s="37">
        <f t="shared" si="0"/>
        <v>2.2534722222222223</v>
      </c>
      <c r="F23" s="240" t="s">
        <v>552</v>
      </c>
      <c r="G23" s="35"/>
      <c r="H23" s="773"/>
      <c r="I23" s="773"/>
      <c r="J23" s="773"/>
    </row>
    <row r="24" spans="1:10" ht="12" customHeight="1" x14ac:dyDescent="0.25">
      <c r="A24" s="31">
        <f t="shared" si="1"/>
        <v>44573.041666666664</v>
      </c>
      <c r="B24" s="37">
        <f t="shared" si="2"/>
        <v>2.2534722222222223</v>
      </c>
      <c r="C24" s="170">
        <v>0.27083333333333331</v>
      </c>
      <c r="D24" s="327" t="str">
        <f t="shared" si="3"/>
        <v/>
      </c>
      <c r="E24" s="37">
        <f t="shared" si="0"/>
        <v>2.5243055555555558</v>
      </c>
      <c r="F24" s="320" t="s">
        <v>553</v>
      </c>
      <c r="G24" s="35"/>
      <c r="H24" s="35"/>
      <c r="I24" s="35"/>
      <c r="J24" s="35"/>
    </row>
    <row r="25" spans="1:10" ht="12" customHeight="1" x14ac:dyDescent="0.25">
      <c r="A25" s="494">
        <f t="shared" si="1"/>
        <v>44573.3125</v>
      </c>
      <c r="B25" s="493">
        <f t="shared" si="2"/>
        <v>2.5243055555555558</v>
      </c>
      <c r="C25" s="170">
        <v>0.10416666666666667</v>
      </c>
      <c r="D25" s="498" t="str">
        <f t="shared" si="3"/>
        <v/>
      </c>
      <c r="E25" s="493">
        <f t="shared" si="0"/>
        <v>2.6284722222222223</v>
      </c>
      <c r="F25" s="492" t="s">
        <v>2433</v>
      </c>
      <c r="G25" s="492"/>
      <c r="H25" s="495">
        <v>500</v>
      </c>
      <c r="I25" s="495">
        <v>500</v>
      </c>
      <c r="J25" s="495"/>
    </row>
    <row r="26" spans="1:10" x14ac:dyDescent="0.25">
      <c r="A26" s="31">
        <f t="shared" si="1"/>
        <v>44573.416666666664</v>
      </c>
      <c r="B26" s="37">
        <f>B24+C24</f>
        <v>2.5243055555555558</v>
      </c>
      <c r="C26" s="170">
        <v>0.27083333333333331</v>
      </c>
      <c r="D26" s="327" t="str">
        <f t="shared" si="3"/>
        <v/>
      </c>
      <c r="E26" s="37">
        <f t="shared" si="0"/>
        <v>2.7951388888888893</v>
      </c>
      <c r="F26" s="35" t="s">
        <v>2434</v>
      </c>
      <c r="G26" s="35"/>
      <c r="H26" s="497">
        <v>708</v>
      </c>
      <c r="I26" s="511">
        <v>708</v>
      </c>
      <c r="J26" s="35"/>
    </row>
    <row r="27" spans="1:10" x14ac:dyDescent="0.25">
      <c r="A27" s="31">
        <f t="shared" si="1"/>
        <v>44573.6875</v>
      </c>
      <c r="B27" s="37">
        <f>B26+C26</f>
        <v>2.7951388888888893</v>
      </c>
      <c r="C27" s="170">
        <v>0.29166666666666669</v>
      </c>
      <c r="D27" s="327" t="str">
        <f t="shared" si="3"/>
        <v/>
      </c>
      <c r="E27" s="37">
        <f t="shared" si="0"/>
        <v>3.0868055555555558</v>
      </c>
      <c r="F27" s="35" t="s">
        <v>2435</v>
      </c>
      <c r="G27" s="35"/>
      <c r="H27" s="497">
        <v>720</v>
      </c>
      <c r="I27" s="511">
        <v>720</v>
      </c>
      <c r="J27" s="35"/>
    </row>
    <row r="28" spans="1:10" x14ac:dyDescent="0.25">
      <c r="A28" s="31">
        <v>44574</v>
      </c>
      <c r="B28" s="37">
        <f>IF(D27="",B27+C27+(7.92/24),B27+D27)</f>
        <v>3.4168055555555559</v>
      </c>
      <c r="C28" s="170">
        <v>0.25</v>
      </c>
      <c r="D28" s="327" t="str">
        <f t="shared" si="3"/>
        <v/>
      </c>
      <c r="E28" s="37">
        <f t="shared" si="0"/>
        <v>3.6668055555555559</v>
      </c>
      <c r="F28" s="35" t="s">
        <v>2436</v>
      </c>
      <c r="G28" s="739"/>
      <c r="H28" s="497"/>
      <c r="I28" s="511"/>
      <c r="J28" s="35"/>
    </row>
    <row r="29" spans="1:10" x14ac:dyDescent="0.25">
      <c r="A29" s="31">
        <f t="shared" si="1"/>
        <v>44574.25</v>
      </c>
      <c r="B29" s="37">
        <f t="shared" si="2"/>
        <v>3.6668055555555559</v>
      </c>
      <c r="C29" s="170">
        <v>4.1666666666666664E-2</v>
      </c>
      <c r="D29" s="327" t="str">
        <f t="shared" si="3"/>
        <v/>
      </c>
      <c r="E29" s="37">
        <f t="shared" si="0"/>
        <v>3.7084722222222224</v>
      </c>
      <c r="F29" s="35" t="s">
        <v>549</v>
      </c>
      <c r="G29" s="35"/>
      <c r="H29" s="320"/>
      <c r="I29" s="181"/>
      <c r="J29" s="181"/>
    </row>
    <row r="30" spans="1:10" x14ac:dyDescent="0.25">
      <c r="A30" s="31">
        <f t="shared" si="1"/>
        <v>44574.291666666664</v>
      </c>
      <c r="B30" s="37">
        <f t="shared" si="2"/>
        <v>3.7084722222222224</v>
      </c>
      <c r="C30" s="170">
        <v>8.3333333333333329E-2</v>
      </c>
      <c r="D30" s="327" t="str">
        <f t="shared" si="3"/>
        <v/>
      </c>
      <c r="E30" s="37">
        <f t="shared" si="0"/>
        <v>3.7918055555555559</v>
      </c>
      <c r="F30" s="35" t="s">
        <v>672</v>
      </c>
      <c r="G30" s="35"/>
      <c r="H30" s="320"/>
      <c r="I30" s="181"/>
      <c r="J30" s="181"/>
    </row>
    <row r="31" spans="1:10" x14ac:dyDescent="0.25">
      <c r="A31" s="31">
        <f t="shared" si="1"/>
        <v>44574.375</v>
      </c>
      <c r="B31" s="37">
        <f t="shared" si="2"/>
        <v>3.7918055555555559</v>
      </c>
      <c r="C31" s="170">
        <v>0.47916666666666669</v>
      </c>
      <c r="D31" s="327" t="str">
        <f t="shared" si="3"/>
        <v/>
      </c>
      <c r="E31" s="37">
        <f t="shared" si="0"/>
        <v>4.2709722222222224</v>
      </c>
      <c r="F31" s="35" t="s">
        <v>551</v>
      </c>
      <c r="G31" s="35"/>
      <c r="H31" s="497">
        <v>290.7</v>
      </c>
      <c r="I31" s="512">
        <v>290.7</v>
      </c>
      <c r="J31" s="497"/>
    </row>
    <row r="32" spans="1:10" x14ac:dyDescent="0.25">
      <c r="A32" s="31">
        <v>44575</v>
      </c>
      <c r="B32" s="37">
        <f t="shared" si="2"/>
        <v>4.2709722222222224</v>
      </c>
      <c r="C32" s="170">
        <v>4.1666666666666664E-2</v>
      </c>
      <c r="D32" s="327" t="str">
        <f t="shared" si="3"/>
        <v/>
      </c>
      <c r="E32" s="37">
        <f t="shared" si="0"/>
        <v>4.3126388888888894</v>
      </c>
      <c r="F32" s="35" t="s">
        <v>2437</v>
      </c>
      <c r="G32" s="35"/>
      <c r="H32" s="35"/>
      <c r="I32" s="35"/>
      <c r="J32" s="35"/>
    </row>
    <row r="33" spans="1:10" x14ac:dyDescent="0.25">
      <c r="A33" s="31">
        <f t="shared" si="1"/>
        <v>44575.041666666664</v>
      </c>
      <c r="B33" s="37">
        <f t="shared" si="2"/>
        <v>4.3126388888888894</v>
      </c>
      <c r="C33" s="170">
        <v>0.22916666666666666</v>
      </c>
      <c r="D33" s="327" t="str">
        <f t="shared" si="3"/>
        <v/>
      </c>
      <c r="E33" s="37">
        <f t="shared" si="0"/>
        <v>4.5418055555555563</v>
      </c>
      <c r="F33" s="320" t="s">
        <v>2482</v>
      </c>
      <c r="G33" s="35"/>
      <c r="H33" s="35"/>
      <c r="I33" s="35"/>
      <c r="J33" s="35"/>
    </row>
    <row r="34" spans="1:10" x14ac:dyDescent="0.25">
      <c r="A34" s="31">
        <f t="shared" si="1"/>
        <v>44575.270833333328</v>
      </c>
      <c r="B34" s="37">
        <f t="shared" si="2"/>
        <v>4.5418055555555563</v>
      </c>
      <c r="C34" s="170">
        <v>0.10416666666666667</v>
      </c>
      <c r="D34" s="327" t="str">
        <f t="shared" si="3"/>
        <v/>
      </c>
      <c r="E34" s="37">
        <f t="shared" si="0"/>
        <v>4.6459722222222233</v>
      </c>
      <c r="F34" s="35" t="s">
        <v>2438</v>
      </c>
      <c r="G34" s="35"/>
      <c r="H34" s="35"/>
      <c r="I34" s="35"/>
      <c r="J34" s="35"/>
    </row>
    <row r="35" spans="1:10" ht="21" x14ac:dyDescent="0.55000000000000004">
      <c r="A35" s="34"/>
      <c r="B35" s="33" t="s">
        <v>534</v>
      </c>
      <c r="C35" s="32">
        <f>SUM(C12:C34)</f>
        <v>4.7604166666666679</v>
      </c>
      <c r="D35" s="32">
        <f>SUM(D12:D25)</f>
        <v>0</v>
      </c>
      <c r="G35" s="243" t="s">
        <v>535</v>
      </c>
      <c r="H35" s="496">
        <f>SUM(H12:H34)</f>
        <v>3664.4399999999996</v>
      </c>
      <c r="I35" s="499">
        <f>SUM(I12:I34)</f>
        <v>3664.4399999999996</v>
      </c>
      <c r="J35" s="183">
        <f>SUM(J12:J34)</f>
        <v>200</v>
      </c>
    </row>
    <row r="36" spans="1:10" x14ac:dyDescent="0.25">
      <c r="B36" s="31" t="s">
        <v>536</v>
      </c>
      <c r="C36" s="30">
        <f>(C35*60)/1440</f>
        <v>0.19835069444444448</v>
      </c>
      <c r="D36" s="30">
        <f>(D35*60)/1440</f>
        <v>0</v>
      </c>
      <c r="F36" s="26"/>
    </row>
    <row r="37" spans="1:10" x14ac:dyDescent="0.25">
      <c r="C37" s="774"/>
      <c r="F37" s="26"/>
    </row>
    <row r="46" spans="1:10" x14ac:dyDescent="0.25">
      <c r="C46" s="27"/>
      <c r="D46" s="27"/>
    </row>
    <row r="50" spans="2:2" x14ac:dyDescent="0.25">
      <c r="B50" s="502">
        <v>4.1666666666666664E-2</v>
      </c>
    </row>
  </sheetData>
  <mergeCells count="5">
    <mergeCell ref="A1:B1"/>
    <mergeCell ref="A5:D5"/>
    <mergeCell ref="H20:H22"/>
    <mergeCell ref="I20:I22"/>
    <mergeCell ref="J20:J22"/>
  </mergeCells>
  <pageMargins left="0.75" right="0.75" top="1" bottom="1" header="0.5" footer="0.5"/>
  <pageSetup orientation="portrait" r:id="rId1"/>
  <headerFooter alignWithMargins="0">
    <oddFooter>&amp;R&amp;"Arial,Regular"&amp;08&amp;K7F7F7FAmgen Proprietary - Confidential   &amp;C&amp;"Arial,Regular"&amp;08&amp;K7F7F7FAmgen Proprietary - For Internal Use Only</oddFooter>
    <evenFooter>&amp;R&amp;"Arial,Regular"&amp;08&amp;K7F7F7FAmgen Proprietary - Confidential   &amp;C&amp;"Arial,Regular"&amp;08&amp;K7F7F7FAmgen Proprietary - For Internal Use Only</evenFooter>
    <firstFooter>&amp;R&amp;"Arial,Regular"&amp;08&amp;K7F7F7FAmgen Proprietary - Confidential   &amp;C&amp;"Arial,Regular"&amp;08&amp;K7F7F7FAmgen Proprietary - For Internal Use Only</firstFooter>
  </headerFooter>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126DEA-BC51-473F-BEF1-E971E7B1BF09}">
  <sheetPr codeName="Sheet108">
    <pageSetUpPr autoPageBreaks="0"/>
  </sheetPr>
  <dimension ref="A1:J50"/>
  <sheetViews>
    <sheetView zoomScaleNormal="100" workbookViewId="0">
      <selection activeCell="D41" sqref="D41"/>
    </sheetView>
  </sheetViews>
  <sheetFormatPr defaultColWidth="23.453125" defaultRowHeight="11.5" x14ac:dyDescent="0.25"/>
  <cols>
    <col min="1" max="1" width="28.453125" style="25" customWidth="1"/>
    <col min="2" max="2" width="25.453125" style="25" bestFit="1" customWidth="1"/>
    <col min="3" max="3" width="23.453125" style="25"/>
    <col min="4" max="4" width="17.453125" style="25" customWidth="1"/>
    <col min="5" max="5" width="23.453125" style="25"/>
    <col min="6" max="6" width="76.54296875" style="25" bestFit="1" customWidth="1"/>
    <col min="7" max="7" width="27.453125" style="25" customWidth="1"/>
    <col min="8" max="8" width="9" style="25" bestFit="1" customWidth="1"/>
    <col min="9" max="9" width="9.54296875" style="25" bestFit="1" customWidth="1"/>
    <col min="10" max="10" width="9.54296875" style="25" customWidth="1"/>
    <col min="11" max="16384" width="23.453125" style="25"/>
  </cols>
  <sheetData>
    <row r="1" spans="1:10" ht="12" thickBot="1" x14ac:dyDescent="0.3">
      <c r="A1" s="1047" t="s">
        <v>479</v>
      </c>
      <c r="B1" s="1048"/>
    </row>
    <row r="2" spans="1:10" x14ac:dyDescent="0.25">
      <c r="A2" s="43" t="s">
        <v>480</v>
      </c>
      <c r="B2" s="319">
        <f>A12</f>
        <v>44578</v>
      </c>
    </row>
    <row r="3" spans="1:10" ht="12" thickBot="1" x14ac:dyDescent="0.3">
      <c r="A3" s="42" t="s">
        <v>482</v>
      </c>
      <c r="B3" s="406">
        <f>B12</f>
        <v>0.375</v>
      </c>
    </row>
    <row r="5" spans="1:10" x14ac:dyDescent="0.25">
      <c r="A5" s="1049" t="s">
        <v>484</v>
      </c>
      <c r="B5" s="1050"/>
      <c r="C5" s="1050"/>
      <c r="D5" s="1051"/>
    </row>
    <row r="6" spans="1:10" x14ac:dyDescent="0.25">
      <c r="A6" s="781" t="s">
        <v>485</v>
      </c>
      <c r="B6" s="781" t="s">
        <v>486</v>
      </c>
      <c r="C6" s="781" t="s">
        <v>487</v>
      </c>
      <c r="D6" s="781" t="s">
        <v>488</v>
      </c>
    </row>
    <row r="7" spans="1:10" x14ac:dyDescent="0.25">
      <c r="A7" s="41" t="str">
        <f>F15</f>
        <v>IPC1.0: Reaction Conversion</v>
      </c>
      <c r="B7" s="40">
        <f>INDEX($A$12:$A$62,MATCH(A7,$F$12:$F$45,0))</f>
        <v>44578.354166666664</v>
      </c>
      <c r="C7" s="37">
        <f>INDEX($B$12:$B$62,MATCH(A7,$F$12:$F$45,0))</f>
        <v>0.72916666666666674</v>
      </c>
      <c r="D7" s="297"/>
    </row>
    <row r="8" spans="1:10" x14ac:dyDescent="0.25">
      <c r="A8" s="41" t="str">
        <f>F24</f>
        <v>IPC2.0: Purity, LOD</v>
      </c>
      <c r="B8" s="40">
        <f>INDEX($A$12:$A$62,MATCH(A8,$F$12:$F$45,0))</f>
        <v>44580.041666666664</v>
      </c>
      <c r="C8" s="37">
        <f>INDEX($B$12:$B$62,MATCH(A8,$F$12:$F$45,0))</f>
        <v>2.2534722222222223</v>
      </c>
      <c r="D8" s="297"/>
      <c r="E8" s="298"/>
    </row>
    <row r="9" spans="1:10" x14ac:dyDescent="0.25">
      <c r="A9" s="41" t="s">
        <v>2482</v>
      </c>
      <c r="B9" s="40">
        <f>INDEX($A$12:$A$62,MATCH(A9,$F$12:$F$45,0))</f>
        <v>44582.041666666664</v>
      </c>
      <c r="C9" s="37">
        <f>B33</f>
        <v>4.3126388888888894</v>
      </c>
      <c r="D9" s="297"/>
      <c r="E9" s="298"/>
    </row>
    <row r="11" spans="1:10" ht="23" x14ac:dyDescent="0.25">
      <c r="A11" s="781" t="s">
        <v>492</v>
      </c>
      <c r="B11" s="781" t="s">
        <v>493</v>
      </c>
      <c r="C11" s="781" t="s">
        <v>494</v>
      </c>
      <c r="D11" s="500" t="s">
        <v>495</v>
      </c>
      <c r="E11" s="781" t="s">
        <v>540</v>
      </c>
      <c r="F11" s="781" t="s">
        <v>541</v>
      </c>
      <c r="G11" s="781" t="s">
        <v>498</v>
      </c>
      <c r="H11" s="501" t="s">
        <v>112</v>
      </c>
      <c r="I11" s="781" t="s">
        <v>542</v>
      </c>
      <c r="J11" s="781" t="s">
        <v>2429</v>
      </c>
    </row>
    <row r="12" spans="1:10" x14ac:dyDescent="0.25">
      <c r="A12" s="31">
        <v>44578</v>
      </c>
      <c r="B12" s="37">
        <v>0.375</v>
      </c>
      <c r="C12" s="170">
        <v>7.2916666666666671E-2</v>
      </c>
      <c r="D12" s="327"/>
      <c r="E12" s="37">
        <f t="shared" ref="E12:E34" si="0">B12+C12</f>
        <v>0.44791666666666669</v>
      </c>
      <c r="F12" s="264" t="s">
        <v>543</v>
      </c>
      <c r="G12" s="78"/>
      <c r="H12" s="78"/>
      <c r="I12" s="78"/>
      <c r="J12" s="78"/>
    </row>
    <row r="13" spans="1:10" ht="12.75" customHeight="1" x14ac:dyDescent="0.25">
      <c r="A13" s="31">
        <f t="shared" ref="A13:A34" si="1">IF(D12 = "",A12+C12,A12+D12)</f>
        <v>44578.072916666664</v>
      </c>
      <c r="B13" s="37">
        <f t="shared" ref="B13:B34" si="2">IF(D12 = "",B12+C12,B12+D12)</f>
        <v>0.44791666666666669</v>
      </c>
      <c r="C13" s="170">
        <v>7.2916666666666671E-2</v>
      </c>
      <c r="D13" s="327" t="str">
        <f t="shared" ref="D13:D34" si="3">IF(_xlfn.ISFORMULA(E13)=TRUE,"",E13-B13)</f>
        <v/>
      </c>
      <c r="E13" s="37">
        <f t="shared" si="0"/>
        <v>0.52083333333333337</v>
      </c>
      <c r="F13" s="264" t="s">
        <v>544</v>
      </c>
      <c r="G13" s="35"/>
      <c r="H13" s="35"/>
      <c r="I13" s="35"/>
      <c r="J13" s="35"/>
    </row>
    <row r="14" spans="1:10" ht="12.75" customHeight="1" x14ac:dyDescent="0.25">
      <c r="A14" s="31">
        <f t="shared" si="1"/>
        <v>44578.145833333328</v>
      </c>
      <c r="B14" s="37">
        <f t="shared" si="2"/>
        <v>0.52083333333333337</v>
      </c>
      <c r="C14" s="170">
        <v>0.20833333333333334</v>
      </c>
      <c r="D14" s="327" t="str">
        <f t="shared" si="3"/>
        <v/>
      </c>
      <c r="E14" s="37">
        <f t="shared" si="0"/>
        <v>0.72916666666666674</v>
      </c>
      <c r="F14" s="264" t="s">
        <v>545</v>
      </c>
      <c r="G14" s="39"/>
      <c r="H14" s="39"/>
      <c r="I14" s="39"/>
      <c r="J14" s="39"/>
    </row>
    <row r="15" spans="1:10" ht="13.5" customHeight="1" x14ac:dyDescent="0.25">
      <c r="A15" s="31">
        <f t="shared" si="1"/>
        <v>44578.354166666664</v>
      </c>
      <c r="B15" s="37">
        <f t="shared" si="2"/>
        <v>0.72916666666666674</v>
      </c>
      <c r="C15" s="170">
        <v>0.10416666666666667</v>
      </c>
      <c r="D15" s="327"/>
      <c r="E15" s="37">
        <f t="shared" si="0"/>
        <v>0.83333333333333337</v>
      </c>
      <c r="F15" s="320" t="s">
        <v>546</v>
      </c>
      <c r="G15" s="35"/>
      <c r="H15" s="35"/>
      <c r="I15" s="35"/>
      <c r="J15" s="35"/>
    </row>
    <row r="16" spans="1:10" x14ac:dyDescent="0.25">
      <c r="A16" s="31">
        <f t="shared" si="1"/>
        <v>44578.458333333328</v>
      </c>
      <c r="B16" s="37">
        <f t="shared" si="2"/>
        <v>0.83333333333333337</v>
      </c>
      <c r="C16" s="172">
        <v>0.57638888888888895</v>
      </c>
      <c r="D16" s="327" t="str">
        <f t="shared" si="3"/>
        <v/>
      </c>
      <c r="E16" s="37">
        <f t="shared" si="0"/>
        <v>1.4097222222222223</v>
      </c>
      <c r="F16" s="264" t="s">
        <v>547</v>
      </c>
      <c r="G16" s="35"/>
      <c r="H16" s="497">
        <v>384</v>
      </c>
      <c r="I16" s="497">
        <v>384</v>
      </c>
      <c r="J16" s="235"/>
    </row>
    <row r="17" spans="1:10" x14ac:dyDescent="0.25">
      <c r="A17" s="503">
        <f>A18</f>
        <v>44579.034722222219</v>
      </c>
      <c r="B17" s="504">
        <f>E16 + B50</f>
        <v>1.4513888888888891</v>
      </c>
      <c r="C17" s="509">
        <v>0.50694444444444442</v>
      </c>
      <c r="D17" s="505" t="str">
        <f t="shared" si="3"/>
        <v/>
      </c>
      <c r="E17" s="504">
        <f t="shared" si="0"/>
        <v>1.9583333333333335</v>
      </c>
      <c r="F17" s="506" t="s">
        <v>2431</v>
      </c>
      <c r="G17" s="492"/>
      <c r="H17" s="495"/>
      <c r="I17" s="495"/>
      <c r="J17" s="495">
        <v>200</v>
      </c>
    </row>
    <row r="18" spans="1:10" ht="13.5" customHeight="1" x14ac:dyDescent="0.25">
      <c r="A18" s="31">
        <f t="shared" ref="A18:A19" si="4">IF(D16 = "",A16+C16,A16+D16)</f>
        <v>44579.034722222219</v>
      </c>
      <c r="B18" s="37">
        <f>IF(D16 = "",B16+C16,B16+D16)</f>
        <v>1.4097222222222223</v>
      </c>
      <c r="C18" s="172">
        <v>0.2638888888888889</v>
      </c>
      <c r="D18" s="327" t="str">
        <f t="shared" si="3"/>
        <v/>
      </c>
      <c r="E18" s="37">
        <f t="shared" si="0"/>
        <v>1.6736111111111112</v>
      </c>
      <c r="F18" s="264" t="s">
        <v>548</v>
      </c>
      <c r="G18" s="35"/>
      <c r="H18" s="497"/>
      <c r="I18" s="497"/>
      <c r="J18" s="497"/>
    </row>
    <row r="19" spans="1:10" ht="13.5" hidden="1" customHeight="1" x14ac:dyDescent="0.25">
      <c r="A19" s="31">
        <f t="shared" si="4"/>
        <v>44579.541666666664</v>
      </c>
      <c r="B19" s="504">
        <f>E17</f>
        <v>1.9583333333333335</v>
      </c>
      <c r="C19" s="172">
        <v>0.20833333333333334</v>
      </c>
      <c r="D19" s="505" t="str">
        <f t="shared" si="3"/>
        <v/>
      </c>
      <c r="E19" s="504">
        <f>B19+C19</f>
        <v>2.166666666666667</v>
      </c>
      <c r="F19" s="506" t="s">
        <v>2432</v>
      </c>
      <c r="G19" s="507"/>
      <c r="H19" s="495">
        <v>384</v>
      </c>
      <c r="I19" s="495">
        <v>384</v>
      </c>
      <c r="J19" s="495"/>
    </row>
    <row r="20" spans="1:10" ht="12" customHeight="1" x14ac:dyDescent="0.25">
      <c r="A20" s="31">
        <f>IF(D18 = "",A18+C18,A18+D18)</f>
        <v>44579.298611111109</v>
      </c>
      <c r="B20" s="37">
        <f>IF(D18 = "",B18+C18,B18+D18)</f>
        <v>1.6736111111111112</v>
      </c>
      <c r="C20" s="172">
        <v>4.8611111111111112E-2</v>
      </c>
      <c r="D20" s="327" t="str">
        <f t="shared" si="3"/>
        <v/>
      </c>
      <c r="E20" s="37">
        <f t="shared" si="0"/>
        <v>1.7222222222222223</v>
      </c>
      <c r="F20" s="264" t="s">
        <v>549</v>
      </c>
      <c r="G20" s="39"/>
      <c r="H20" s="1052">
        <v>677.74</v>
      </c>
      <c r="I20" s="1052">
        <f>SUM(H20)</f>
        <v>677.74</v>
      </c>
      <c r="J20" s="1052"/>
    </row>
    <row r="21" spans="1:10" ht="12.75" customHeight="1" x14ac:dyDescent="0.25">
      <c r="A21" s="31">
        <f t="shared" si="1"/>
        <v>44579.347222222219</v>
      </c>
      <c r="B21" s="37">
        <f t="shared" si="2"/>
        <v>1.7222222222222223</v>
      </c>
      <c r="C21" s="172">
        <v>6.25E-2</v>
      </c>
      <c r="D21" s="327"/>
      <c r="E21" s="37">
        <f t="shared" si="0"/>
        <v>1.7847222222222223</v>
      </c>
      <c r="F21" s="264" t="s">
        <v>550</v>
      </c>
      <c r="G21" s="35"/>
      <c r="H21" s="1052"/>
      <c r="I21" s="1052"/>
      <c r="J21" s="1052"/>
    </row>
    <row r="22" spans="1:10" x14ac:dyDescent="0.25">
      <c r="A22" s="31">
        <f t="shared" si="1"/>
        <v>44579.409722222219</v>
      </c>
      <c r="B22" s="37">
        <f t="shared" si="2"/>
        <v>1.7847222222222223</v>
      </c>
      <c r="C22" s="170">
        <v>0.42708333333333331</v>
      </c>
      <c r="D22" s="327" t="str">
        <f t="shared" si="3"/>
        <v/>
      </c>
      <c r="E22" s="37">
        <f t="shared" si="0"/>
        <v>2.2118055555555558</v>
      </c>
      <c r="F22" s="264" t="s">
        <v>551</v>
      </c>
      <c r="G22" s="35"/>
      <c r="H22" s="1052"/>
      <c r="I22" s="1052"/>
      <c r="J22" s="1052"/>
    </row>
    <row r="23" spans="1:10" x14ac:dyDescent="0.25">
      <c r="A23" s="31">
        <v>44580</v>
      </c>
      <c r="B23" s="37">
        <f t="shared" si="2"/>
        <v>2.2118055555555558</v>
      </c>
      <c r="C23" s="170">
        <v>4.1666666666666664E-2</v>
      </c>
      <c r="D23" s="327" t="str">
        <f t="shared" si="3"/>
        <v/>
      </c>
      <c r="E23" s="37">
        <f t="shared" si="0"/>
        <v>2.2534722222222223</v>
      </c>
      <c r="F23" s="240" t="s">
        <v>552</v>
      </c>
      <c r="G23" s="35"/>
      <c r="H23" s="773"/>
      <c r="I23" s="773"/>
      <c r="J23" s="773"/>
    </row>
    <row r="24" spans="1:10" ht="12" customHeight="1" x14ac:dyDescent="0.25">
      <c r="A24" s="31">
        <f t="shared" si="1"/>
        <v>44580.041666666664</v>
      </c>
      <c r="B24" s="37">
        <f t="shared" si="2"/>
        <v>2.2534722222222223</v>
      </c>
      <c r="C24" s="170">
        <v>0.27083333333333331</v>
      </c>
      <c r="D24" s="327" t="str">
        <f t="shared" si="3"/>
        <v/>
      </c>
      <c r="E24" s="37">
        <f t="shared" si="0"/>
        <v>2.5243055555555558</v>
      </c>
      <c r="F24" s="320" t="s">
        <v>553</v>
      </c>
      <c r="G24" s="35"/>
      <c r="H24" s="35"/>
      <c r="I24" s="35"/>
      <c r="J24" s="35"/>
    </row>
    <row r="25" spans="1:10" ht="12" customHeight="1" x14ac:dyDescent="0.25">
      <c r="A25" s="494">
        <f t="shared" si="1"/>
        <v>44580.3125</v>
      </c>
      <c r="B25" s="493">
        <f t="shared" si="2"/>
        <v>2.5243055555555558</v>
      </c>
      <c r="C25" s="170">
        <v>0.10416666666666667</v>
      </c>
      <c r="D25" s="498" t="str">
        <f t="shared" si="3"/>
        <v/>
      </c>
      <c r="E25" s="493">
        <f t="shared" si="0"/>
        <v>2.6284722222222223</v>
      </c>
      <c r="F25" s="492" t="s">
        <v>2433</v>
      </c>
      <c r="G25" s="492"/>
      <c r="H25" s="495">
        <v>500</v>
      </c>
      <c r="I25" s="495">
        <v>500</v>
      </c>
      <c r="J25" s="495"/>
    </row>
    <row r="26" spans="1:10" x14ac:dyDescent="0.25">
      <c r="A26" s="31">
        <f t="shared" si="1"/>
        <v>44580.416666666664</v>
      </c>
      <c r="B26" s="37">
        <f>B24+C24</f>
        <v>2.5243055555555558</v>
      </c>
      <c r="C26" s="170">
        <v>0.27083333333333331</v>
      </c>
      <c r="D26" s="327" t="str">
        <f t="shared" si="3"/>
        <v/>
      </c>
      <c r="E26" s="37">
        <f t="shared" si="0"/>
        <v>2.7951388888888893</v>
      </c>
      <c r="F26" s="35" t="s">
        <v>2434</v>
      </c>
      <c r="G26" s="35"/>
      <c r="H26" s="497">
        <v>708</v>
      </c>
      <c r="I26" s="511">
        <v>708</v>
      </c>
      <c r="J26" s="35"/>
    </row>
    <row r="27" spans="1:10" x14ac:dyDescent="0.25">
      <c r="A27" s="31">
        <f t="shared" si="1"/>
        <v>44580.6875</v>
      </c>
      <c r="B27" s="37">
        <f>B26+C26</f>
        <v>2.7951388888888893</v>
      </c>
      <c r="C27" s="170">
        <v>0.29166666666666669</v>
      </c>
      <c r="D27" s="327" t="str">
        <f t="shared" si="3"/>
        <v/>
      </c>
      <c r="E27" s="37">
        <f t="shared" si="0"/>
        <v>3.0868055555555558</v>
      </c>
      <c r="F27" s="35" t="s">
        <v>2435</v>
      </c>
      <c r="G27" s="35"/>
      <c r="H27" s="497">
        <v>720</v>
      </c>
      <c r="I27" s="511">
        <v>720</v>
      </c>
      <c r="J27" s="35"/>
    </row>
    <row r="28" spans="1:10" x14ac:dyDescent="0.25">
      <c r="A28" s="31">
        <v>44581</v>
      </c>
      <c r="B28" s="37">
        <f>IF(D27="",B27+C27+(7.92/24),B27+D27)</f>
        <v>3.4168055555555559</v>
      </c>
      <c r="C28" s="170">
        <v>0.25</v>
      </c>
      <c r="D28" s="327" t="str">
        <f t="shared" si="3"/>
        <v/>
      </c>
      <c r="E28" s="37">
        <f t="shared" si="0"/>
        <v>3.6668055555555559</v>
      </c>
      <c r="F28" s="35" t="s">
        <v>2436</v>
      </c>
      <c r="G28" s="739"/>
      <c r="H28" s="497"/>
      <c r="I28" s="511"/>
      <c r="J28" s="35"/>
    </row>
    <row r="29" spans="1:10" x14ac:dyDescent="0.25">
      <c r="A29" s="31">
        <f t="shared" si="1"/>
        <v>44581.25</v>
      </c>
      <c r="B29" s="37">
        <f t="shared" si="2"/>
        <v>3.6668055555555559</v>
      </c>
      <c r="C29" s="170">
        <v>4.1666666666666664E-2</v>
      </c>
      <c r="D29" s="327" t="str">
        <f t="shared" si="3"/>
        <v/>
      </c>
      <c r="E29" s="37">
        <f t="shared" si="0"/>
        <v>3.7084722222222224</v>
      </c>
      <c r="F29" s="35" t="s">
        <v>549</v>
      </c>
      <c r="G29" s="35"/>
      <c r="H29" s="320"/>
      <c r="I29" s="181"/>
      <c r="J29" s="181"/>
    </row>
    <row r="30" spans="1:10" x14ac:dyDescent="0.25">
      <c r="A30" s="31">
        <f t="shared" si="1"/>
        <v>44581.291666666664</v>
      </c>
      <c r="B30" s="37">
        <f t="shared" si="2"/>
        <v>3.7084722222222224</v>
      </c>
      <c r="C30" s="170">
        <v>8.3333333333333329E-2</v>
      </c>
      <c r="D30" s="327" t="str">
        <f t="shared" si="3"/>
        <v/>
      </c>
      <c r="E30" s="37">
        <f t="shared" si="0"/>
        <v>3.7918055555555559</v>
      </c>
      <c r="F30" s="35" t="s">
        <v>672</v>
      </c>
      <c r="G30" s="35"/>
      <c r="H30" s="320"/>
      <c r="I30" s="181"/>
      <c r="J30" s="181"/>
    </row>
    <row r="31" spans="1:10" x14ac:dyDescent="0.25">
      <c r="A31" s="31">
        <f t="shared" si="1"/>
        <v>44581.375</v>
      </c>
      <c r="B31" s="37">
        <f t="shared" si="2"/>
        <v>3.7918055555555559</v>
      </c>
      <c r="C31" s="170">
        <v>0.47916666666666669</v>
      </c>
      <c r="D31" s="327" t="str">
        <f t="shared" si="3"/>
        <v/>
      </c>
      <c r="E31" s="37">
        <f t="shared" si="0"/>
        <v>4.2709722222222224</v>
      </c>
      <c r="F31" s="35" t="s">
        <v>551</v>
      </c>
      <c r="G31" s="35"/>
      <c r="H31" s="497">
        <v>290.7</v>
      </c>
      <c r="I31" s="512">
        <v>290.7</v>
      </c>
      <c r="J31" s="497"/>
    </row>
    <row r="32" spans="1:10" x14ac:dyDescent="0.25">
      <c r="A32" s="31">
        <v>44582</v>
      </c>
      <c r="B32" s="37">
        <f t="shared" si="2"/>
        <v>4.2709722222222224</v>
      </c>
      <c r="C32" s="170">
        <v>4.1666666666666664E-2</v>
      </c>
      <c r="D32" s="327" t="str">
        <f t="shared" si="3"/>
        <v/>
      </c>
      <c r="E32" s="37">
        <f t="shared" si="0"/>
        <v>4.3126388888888894</v>
      </c>
      <c r="F32" s="35" t="s">
        <v>2437</v>
      </c>
      <c r="G32" s="35"/>
      <c r="H32" s="35"/>
      <c r="I32" s="35"/>
      <c r="J32" s="35"/>
    </row>
    <row r="33" spans="1:10" x14ac:dyDescent="0.25">
      <c r="A33" s="31">
        <f t="shared" si="1"/>
        <v>44582.041666666664</v>
      </c>
      <c r="B33" s="37">
        <f t="shared" si="2"/>
        <v>4.3126388888888894</v>
      </c>
      <c r="C33" s="170">
        <v>0.22916666666666666</v>
      </c>
      <c r="D33" s="327" t="str">
        <f t="shared" si="3"/>
        <v/>
      </c>
      <c r="E33" s="37">
        <f t="shared" si="0"/>
        <v>4.5418055555555563</v>
      </c>
      <c r="F33" s="320" t="s">
        <v>2482</v>
      </c>
      <c r="G33" s="35"/>
      <c r="H33" s="35"/>
      <c r="I33" s="35"/>
      <c r="J33" s="35"/>
    </row>
    <row r="34" spans="1:10" x14ac:dyDescent="0.25">
      <c r="A34" s="31">
        <f t="shared" si="1"/>
        <v>44582.270833333328</v>
      </c>
      <c r="B34" s="37">
        <f t="shared" si="2"/>
        <v>4.5418055555555563</v>
      </c>
      <c r="C34" s="170">
        <v>0.10416666666666667</v>
      </c>
      <c r="D34" s="327" t="str">
        <f t="shared" si="3"/>
        <v/>
      </c>
      <c r="E34" s="37">
        <f t="shared" si="0"/>
        <v>4.6459722222222233</v>
      </c>
      <c r="F34" s="35" t="s">
        <v>2438</v>
      </c>
      <c r="G34" s="35"/>
      <c r="H34" s="35"/>
      <c r="I34" s="35"/>
      <c r="J34" s="35"/>
    </row>
    <row r="35" spans="1:10" ht="21" x14ac:dyDescent="0.55000000000000004">
      <c r="A35" s="34"/>
      <c r="B35" s="33" t="s">
        <v>534</v>
      </c>
      <c r="C35" s="32">
        <f>SUM(C12:C34)</f>
        <v>4.7604166666666679</v>
      </c>
      <c r="D35" s="32">
        <f>SUM(D12:D25)</f>
        <v>0</v>
      </c>
      <c r="G35" s="243" t="s">
        <v>535</v>
      </c>
      <c r="H35" s="496">
        <f>SUM(H12:H34)</f>
        <v>3664.4399999999996</v>
      </c>
      <c r="I35" s="499">
        <f>SUM(I12:I34)</f>
        <v>3664.4399999999996</v>
      </c>
      <c r="J35" s="183">
        <f>SUM(J12:J34)</f>
        <v>200</v>
      </c>
    </row>
    <row r="36" spans="1:10" x14ac:dyDescent="0.25">
      <c r="B36" s="31" t="s">
        <v>536</v>
      </c>
      <c r="C36" s="30">
        <f>(C35*60)/1440</f>
        <v>0.19835069444444448</v>
      </c>
      <c r="D36" s="30">
        <f>(D35*60)/1440</f>
        <v>0</v>
      </c>
      <c r="F36" s="26"/>
    </row>
    <row r="37" spans="1:10" x14ac:dyDescent="0.25">
      <c r="C37" s="774"/>
      <c r="F37" s="26"/>
    </row>
    <row r="46" spans="1:10" x14ac:dyDescent="0.25">
      <c r="C46" s="27"/>
      <c r="D46" s="27"/>
    </row>
    <row r="50" spans="2:2" x14ac:dyDescent="0.25">
      <c r="B50" s="502">
        <v>4.1666666666666664E-2</v>
      </c>
    </row>
  </sheetData>
  <mergeCells count="5">
    <mergeCell ref="A1:B1"/>
    <mergeCell ref="A5:D5"/>
    <mergeCell ref="H20:H22"/>
    <mergeCell ref="I20:I22"/>
    <mergeCell ref="J20:J22"/>
  </mergeCells>
  <pageMargins left="0.75" right="0.75" top="1" bottom="1" header="0.5" footer="0.5"/>
  <pageSetup orientation="portrait" r:id="rId1"/>
  <headerFooter alignWithMargins="0">
    <oddFooter>&amp;R&amp;"Arial,Regular"&amp;08&amp;K7F7F7FAmgen Proprietary - Confidential   &amp;C&amp;"Arial,Regular"&amp;08&amp;K7F7F7FAmgen Proprietary - For Internal Use Only</oddFooter>
    <evenFooter>&amp;R&amp;"Arial,Regular"&amp;08&amp;K7F7F7FAmgen Proprietary - Confidential   &amp;C&amp;"Arial,Regular"&amp;08&amp;K7F7F7FAmgen Proprietary - For Internal Use Only</evenFooter>
    <firstFooter>&amp;R&amp;"Arial,Regular"&amp;08&amp;K7F7F7FAmgen Proprietary - Confidential   &amp;C&amp;"Arial,Regular"&amp;08&amp;K7F7F7FAmgen Proprietary - For Internal Use Only</firstFooter>
  </headerFooter>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E44797-0F9A-43F3-B70B-590CAF4FD14D}">
  <sheetPr codeName="Sheet90">
    <pageSetUpPr autoPageBreaks="0"/>
  </sheetPr>
  <dimension ref="A1:J45"/>
  <sheetViews>
    <sheetView zoomScale="120" zoomScaleNormal="120" workbookViewId="0">
      <selection activeCell="F6" sqref="F6"/>
    </sheetView>
  </sheetViews>
  <sheetFormatPr defaultColWidth="23.453125" defaultRowHeight="11.5" x14ac:dyDescent="0.25"/>
  <cols>
    <col min="1" max="1" width="23.54296875" style="25" bestFit="1" customWidth="1"/>
    <col min="2" max="2" width="34.453125" style="25" customWidth="1"/>
    <col min="3" max="3" width="23.453125" style="25"/>
    <col min="4" max="4" width="22.453125" style="25" hidden="1" customWidth="1"/>
    <col min="5" max="5" width="23.453125" style="25"/>
    <col min="6" max="6" width="51.453125" style="25" customWidth="1"/>
    <col min="7" max="7" width="27.453125" style="25" customWidth="1"/>
    <col min="8" max="8" width="9" style="25" bestFit="1" customWidth="1"/>
    <col min="9" max="10" width="9" style="25" customWidth="1"/>
    <col min="11" max="16384" width="23.453125" style="25"/>
  </cols>
  <sheetData>
    <row r="1" spans="1:10" ht="12" thickBot="1" x14ac:dyDescent="0.3">
      <c r="A1" s="1053" t="s">
        <v>479</v>
      </c>
      <c r="B1" s="1054"/>
    </row>
    <row r="2" spans="1:10" x14ac:dyDescent="0.25">
      <c r="A2" s="43" t="s">
        <v>480</v>
      </c>
      <c r="B2" s="241">
        <f>A11</f>
        <v>44398.458333333336</v>
      </c>
    </row>
    <row r="3" spans="1:10" ht="12" thickBot="1" x14ac:dyDescent="0.3">
      <c r="A3" s="42" t="s">
        <v>482</v>
      </c>
      <c r="B3" s="239">
        <f>A11</f>
        <v>44398.458333333336</v>
      </c>
    </row>
    <row r="5" spans="1:10" x14ac:dyDescent="0.25">
      <c r="A5" s="1072" t="s">
        <v>484</v>
      </c>
      <c r="B5" s="1073"/>
      <c r="C5" s="1073"/>
      <c r="D5" s="1073"/>
    </row>
    <row r="6" spans="1:10" x14ac:dyDescent="0.25">
      <c r="A6" s="781" t="s">
        <v>2537</v>
      </c>
      <c r="B6" s="781" t="s">
        <v>486</v>
      </c>
      <c r="C6" s="781" t="s">
        <v>487</v>
      </c>
      <c r="D6" s="781" t="s">
        <v>488</v>
      </c>
    </row>
    <row r="7" spans="1:10" x14ac:dyDescent="0.25">
      <c r="A7" s="41" t="str">
        <f>F14</f>
        <v>IPC1.0: Reaction Conversion</v>
      </c>
      <c r="B7" s="40">
        <f>INDEX($A$11:$A$57,MATCH(A7,$F$11:$F$57,0))</f>
        <v>44398.750000000007</v>
      </c>
      <c r="C7" s="37">
        <f>B14</f>
        <v>44398.750000000007</v>
      </c>
      <c r="D7" s="297"/>
    </row>
    <row r="8" spans="1:10" x14ac:dyDescent="0.25">
      <c r="A8" s="41" t="str">
        <f>F19</f>
        <v>IPC2.0: LOD (Analyzed by MFG)</v>
      </c>
      <c r="B8" s="40">
        <f>INDEX($A$11:$A$60,MATCH(A8,$F$11:$F$57,0))</f>
        <v>44399.531250000015</v>
      </c>
      <c r="C8" s="37">
        <f>B19</f>
        <v>44399.531250000015</v>
      </c>
      <c r="D8" s="297"/>
    </row>
    <row r="10" spans="1:10" ht="23.5" thickBot="1" x14ac:dyDescent="0.3">
      <c r="A10" s="749" t="s">
        <v>492</v>
      </c>
      <c r="B10" s="749" t="s">
        <v>493</v>
      </c>
      <c r="C10" s="749" t="s">
        <v>494</v>
      </c>
      <c r="D10" s="86" t="s">
        <v>495</v>
      </c>
      <c r="E10" s="749" t="s">
        <v>540</v>
      </c>
      <c r="F10" s="749" t="s">
        <v>541</v>
      </c>
      <c r="G10" s="749" t="s">
        <v>498</v>
      </c>
      <c r="H10" s="184" t="s">
        <v>204</v>
      </c>
      <c r="I10" s="184" t="s">
        <v>668</v>
      </c>
      <c r="J10" s="184" t="s">
        <v>138</v>
      </c>
    </row>
    <row r="11" spans="1:10" x14ac:dyDescent="0.25">
      <c r="A11" s="31">
        <v>44398.458333333336</v>
      </c>
      <c r="B11" s="38">
        <f>A11</f>
        <v>44398.458333333336</v>
      </c>
      <c r="C11" s="705">
        <v>2.0833333333333332E-2</v>
      </c>
      <c r="D11" s="116"/>
      <c r="E11" s="317">
        <f>B11+C11</f>
        <v>44398.479166666672</v>
      </c>
      <c r="F11" s="264" t="s">
        <v>669</v>
      </c>
      <c r="G11" s="78"/>
      <c r="H11" s="180"/>
      <c r="I11" s="180"/>
      <c r="J11" s="180"/>
    </row>
    <row r="12" spans="1:10" ht="12.75" customHeight="1" x14ac:dyDescent="0.25">
      <c r="A12" s="31">
        <f>IF(D11 = "",A11+C11,A11+D11)</f>
        <v>44398.479166666672</v>
      </c>
      <c r="B12" s="38">
        <f>IF(D11 = "",B11+C11,B11+D11)</f>
        <v>44398.479166666672</v>
      </c>
      <c r="C12" s="170">
        <v>6.25E-2</v>
      </c>
      <c r="D12" s="116"/>
      <c r="E12" s="317">
        <f t="shared" ref="E12:E21" si="0">B12+C12</f>
        <v>44398.541666666672</v>
      </c>
      <c r="F12" s="264" t="s">
        <v>670</v>
      </c>
      <c r="G12" s="35"/>
      <c r="H12" s="181"/>
      <c r="I12" s="181"/>
      <c r="J12" s="181"/>
    </row>
    <row r="13" spans="1:10" ht="12.75" customHeight="1" x14ac:dyDescent="0.25">
      <c r="A13" s="31">
        <f t="shared" ref="A13:A21" si="1">IF(D12 = "",A12+C12,A12+D12)</f>
        <v>44398.541666666672</v>
      </c>
      <c r="B13" s="38">
        <f t="shared" ref="B13:B21" si="2">IF(D12 = "",B12+C12,B12+D12)</f>
        <v>44398.541666666672</v>
      </c>
      <c r="C13" s="170">
        <v>0.20833333333333334</v>
      </c>
      <c r="D13" s="116"/>
      <c r="E13" s="317">
        <f t="shared" si="0"/>
        <v>44398.750000000007</v>
      </c>
      <c r="F13" s="264" t="s">
        <v>671</v>
      </c>
      <c r="G13" s="39"/>
      <c r="H13" s="773"/>
      <c r="I13" s="773"/>
      <c r="J13" s="773"/>
    </row>
    <row r="14" spans="1:10" ht="13.5" customHeight="1" x14ac:dyDescent="0.25">
      <c r="A14" s="31">
        <f t="shared" si="1"/>
        <v>44398.750000000007</v>
      </c>
      <c r="B14" s="38">
        <f t="shared" si="2"/>
        <v>44398.750000000007</v>
      </c>
      <c r="C14" s="170">
        <v>0.11458333333333333</v>
      </c>
      <c r="D14" s="116"/>
      <c r="E14" s="317">
        <f t="shared" si="0"/>
        <v>44398.864583333343</v>
      </c>
      <c r="F14" s="295" t="s">
        <v>546</v>
      </c>
      <c r="G14" s="35"/>
      <c r="H14" s="181"/>
      <c r="I14" s="181"/>
      <c r="J14" s="181"/>
    </row>
    <row r="15" spans="1:10" x14ac:dyDescent="0.25">
      <c r="A15" s="31">
        <f t="shared" si="1"/>
        <v>44398.864583333343</v>
      </c>
      <c r="B15" s="38">
        <f t="shared" si="2"/>
        <v>44398.864583333343</v>
      </c>
      <c r="C15" s="172">
        <v>0.1875</v>
      </c>
      <c r="D15" s="116"/>
      <c r="E15" s="317">
        <f t="shared" si="0"/>
        <v>44399.052083333343</v>
      </c>
      <c r="F15" s="264" t="s">
        <v>548</v>
      </c>
      <c r="G15" s="35"/>
      <c r="H15" s="181"/>
      <c r="I15" s="181"/>
      <c r="J15" s="181"/>
    </row>
    <row r="16" spans="1:10" ht="13.5" customHeight="1" x14ac:dyDescent="0.25">
      <c r="A16" s="31">
        <f t="shared" si="1"/>
        <v>44399.052083333343</v>
      </c>
      <c r="B16" s="38">
        <f t="shared" si="2"/>
        <v>44399.052083333343</v>
      </c>
      <c r="C16" s="172">
        <v>3.125E-2</v>
      </c>
      <c r="D16" s="116"/>
      <c r="E16" s="317">
        <f t="shared" si="0"/>
        <v>44399.083333333343</v>
      </c>
      <c r="F16" s="264" t="s">
        <v>549</v>
      </c>
      <c r="G16" s="35"/>
      <c r="H16" s="265">
        <v>44.9</v>
      </c>
      <c r="I16" s="265">
        <v>162.19999999999999</v>
      </c>
      <c r="J16" s="265">
        <v>80.5</v>
      </c>
    </row>
    <row r="17" spans="1:10" ht="12" customHeight="1" x14ac:dyDescent="0.25">
      <c r="A17" s="31">
        <f t="shared" si="1"/>
        <v>44399.083333333343</v>
      </c>
      <c r="B17" s="38">
        <f t="shared" si="2"/>
        <v>44399.083333333343</v>
      </c>
      <c r="C17" s="172">
        <v>8.3333333333333329E-2</v>
      </c>
      <c r="D17" s="116"/>
      <c r="E17" s="317">
        <f t="shared" si="0"/>
        <v>44399.166666666679</v>
      </c>
      <c r="F17" s="264" t="s">
        <v>672</v>
      </c>
      <c r="G17" s="39"/>
      <c r="H17" s="773"/>
      <c r="I17" s="773">
        <v>60.9</v>
      </c>
      <c r="J17" s="773"/>
    </row>
    <row r="18" spans="1:10" ht="12.75" customHeight="1" x14ac:dyDescent="0.25">
      <c r="A18" s="31">
        <f t="shared" si="1"/>
        <v>44399.166666666679</v>
      </c>
      <c r="B18" s="38">
        <f t="shared" si="2"/>
        <v>44399.166666666679</v>
      </c>
      <c r="C18" s="172">
        <v>0.36458333333333331</v>
      </c>
      <c r="D18" s="116"/>
      <c r="E18" s="317">
        <f t="shared" si="0"/>
        <v>44399.531250000015</v>
      </c>
      <c r="F18" s="240" t="s">
        <v>551</v>
      </c>
      <c r="G18" s="35"/>
      <c r="H18" s="773"/>
      <c r="I18" s="773"/>
      <c r="J18" s="773"/>
    </row>
    <row r="19" spans="1:10" x14ac:dyDescent="0.25">
      <c r="A19" s="31">
        <f t="shared" si="1"/>
        <v>44399.531250000015</v>
      </c>
      <c r="B19" s="38">
        <f t="shared" si="2"/>
        <v>44399.531250000015</v>
      </c>
      <c r="C19" s="170">
        <v>2.0833333333333332E-2</v>
      </c>
      <c r="D19" s="116"/>
      <c r="E19" s="317">
        <f t="shared" si="0"/>
        <v>44399.55208333335</v>
      </c>
      <c r="F19" s="295" t="s">
        <v>673</v>
      </c>
      <c r="G19" s="35"/>
      <c r="H19" s="773"/>
      <c r="I19" s="773"/>
      <c r="J19" s="773"/>
    </row>
    <row r="20" spans="1:10" x14ac:dyDescent="0.25">
      <c r="A20" s="31">
        <f t="shared" si="1"/>
        <v>44399.55208333335</v>
      </c>
      <c r="B20" s="38">
        <f t="shared" si="2"/>
        <v>44399.55208333335</v>
      </c>
      <c r="C20" s="170">
        <v>5.2083333333333336E-2</v>
      </c>
      <c r="D20" s="116"/>
      <c r="E20" s="317">
        <f t="shared" si="0"/>
        <v>44399.604166666686</v>
      </c>
      <c r="F20" s="264" t="s">
        <v>554</v>
      </c>
      <c r="G20" s="178"/>
      <c r="H20" s="773"/>
      <c r="I20" s="773"/>
      <c r="J20" s="773"/>
    </row>
    <row r="21" spans="1:10" hidden="1" x14ac:dyDescent="0.25">
      <c r="A21" s="185">
        <f t="shared" si="1"/>
        <v>44399.604166666686</v>
      </c>
      <c r="B21" s="467">
        <f t="shared" si="2"/>
        <v>44399.604166666686</v>
      </c>
      <c r="C21" s="510">
        <v>0.3125</v>
      </c>
      <c r="D21" s="508"/>
      <c r="E21" s="747">
        <f t="shared" si="0"/>
        <v>44399.916666666686</v>
      </c>
      <c r="F21" s="748" t="s">
        <v>2540</v>
      </c>
      <c r="G21" s="243" t="s">
        <v>535</v>
      </c>
      <c r="H21" s="266">
        <f>SUM(H11:H20)</f>
        <v>44.9</v>
      </c>
      <c r="I21" s="266">
        <f t="shared" ref="I21:J21" si="3">SUM(I11:I20)</f>
        <v>223.1</v>
      </c>
      <c r="J21" s="266">
        <f t="shared" si="3"/>
        <v>80.5</v>
      </c>
    </row>
    <row r="22" spans="1:10" ht="21" x14ac:dyDescent="0.55000000000000004">
      <c r="A22" s="34"/>
      <c r="B22" s="33" t="s">
        <v>534</v>
      </c>
      <c r="C22" s="32">
        <f>SUM(C11:C20)</f>
        <v>1.1458333333333333</v>
      </c>
      <c r="D22" s="32">
        <f>SUM(D11:D20)</f>
        <v>0</v>
      </c>
      <c r="G22" s="26"/>
      <c r="H22" s="26"/>
      <c r="I22" s="26"/>
      <c r="J22" s="26"/>
    </row>
    <row r="23" spans="1:10" x14ac:dyDescent="0.25">
      <c r="B23" s="31" t="s">
        <v>536</v>
      </c>
      <c r="C23" s="30">
        <f>(C22*60)/1440</f>
        <v>4.7743055555555552E-2</v>
      </c>
      <c r="D23" s="30">
        <f>(D22*60)/1440</f>
        <v>0</v>
      </c>
      <c r="G23" s="26"/>
      <c r="H23" s="26"/>
      <c r="I23" s="26"/>
      <c r="J23" s="26"/>
    </row>
    <row r="24" spans="1:10" x14ac:dyDescent="0.25">
      <c r="C24" s="774"/>
      <c r="G24" s="26"/>
      <c r="H24" s="26"/>
      <c r="I24" s="26"/>
      <c r="J24" s="26"/>
    </row>
    <row r="25" spans="1:10" hidden="1" x14ac:dyDescent="0.25">
      <c r="G25" s="26"/>
      <c r="H25" s="26"/>
      <c r="I25" s="26"/>
      <c r="J25" s="26"/>
    </row>
    <row r="26" spans="1:10" hidden="1" x14ac:dyDescent="0.25">
      <c r="A26" s="1053" t="s">
        <v>555</v>
      </c>
      <c r="B26" s="1054"/>
      <c r="G26" s="26"/>
      <c r="H26" s="26"/>
      <c r="I26" s="26"/>
      <c r="J26" s="26"/>
    </row>
    <row r="27" spans="1:10" hidden="1" x14ac:dyDescent="0.25">
      <c r="A27" s="781" t="s">
        <v>556</v>
      </c>
      <c r="B27" s="29" t="e">
        <f>MAX(A18,#REF!)</f>
        <v>#REF!</v>
      </c>
      <c r="G27" s="26"/>
      <c r="H27" s="26"/>
      <c r="I27" s="26"/>
      <c r="J27" s="26"/>
    </row>
    <row r="28" spans="1:10" hidden="1" x14ac:dyDescent="0.25">
      <c r="A28" s="781" t="s">
        <v>557</v>
      </c>
      <c r="B28" s="28" t="e">
        <f>MAX((#REF!+#REF!),(B18+C18))</f>
        <v>#REF!</v>
      </c>
      <c r="G28" s="26"/>
      <c r="H28" s="26"/>
      <c r="I28" s="26"/>
      <c r="J28" s="26"/>
    </row>
    <row r="29" spans="1:10" x14ac:dyDescent="0.25">
      <c r="G29" s="26"/>
      <c r="H29" s="26"/>
      <c r="I29" s="26"/>
      <c r="J29" s="26"/>
    </row>
    <row r="30" spans="1:10" x14ac:dyDescent="0.25">
      <c r="G30" s="26"/>
      <c r="H30" s="26"/>
      <c r="I30" s="26"/>
      <c r="J30" s="26"/>
    </row>
    <row r="31" spans="1:10" x14ac:dyDescent="0.25">
      <c r="G31" s="26"/>
      <c r="H31" s="26"/>
      <c r="I31" s="26"/>
      <c r="J31" s="26"/>
    </row>
    <row r="32" spans="1:10" x14ac:dyDescent="0.25">
      <c r="G32" s="26"/>
      <c r="H32" s="26"/>
      <c r="I32" s="26"/>
      <c r="J32" s="26"/>
    </row>
    <row r="33" spans="3:10" x14ac:dyDescent="0.25">
      <c r="C33" s="27"/>
      <c r="D33" s="27"/>
      <c r="G33" s="26"/>
      <c r="H33" s="26"/>
      <c r="I33" s="26"/>
      <c r="J33" s="26"/>
    </row>
    <row r="34" spans="3:10" x14ac:dyDescent="0.25">
      <c r="G34" s="26"/>
      <c r="H34" s="26"/>
      <c r="I34" s="26"/>
      <c r="J34" s="26"/>
    </row>
    <row r="35" spans="3:10" x14ac:dyDescent="0.25">
      <c r="G35" s="26"/>
      <c r="H35" s="26"/>
      <c r="I35" s="26"/>
      <c r="J35" s="26"/>
    </row>
    <row r="36" spans="3:10" x14ac:dyDescent="0.25">
      <c r="G36" s="26"/>
      <c r="H36" s="26"/>
      <c r="I36" s="26"/>
      <c r="J36" s="26"/>
    </row>
    <row r="37" spans="3:10" x14ac:dyDescent="0.25">
      <c r="G37" s="26"/>
      <c r="H37" s="26"/>
      <c r="I37" s="26"/>
      <c r="J37" s="26"/>
    </row>
    <row r="38" spans="3:10" x14ac:dyDescent="0.25">
      <c r="G38" s="26"/>
      <c r="H38" s="26"/>
      <c r="I38" s="26"/>
      <c r="J38" s="26"/>
    </row>
    <row r="39" spans="3:10" x14ac:dyDescent="0.25">
      <c r="G39" s="26"/>
      <c r="H39" s="26"/>
      <c r="I39" s="26"/>
      <c r="J39" s="26"/>
    </row>
    <row r="40" spans="3:10" x14ac:dyDescent="0.25">
      <c r="G40" s="26"/>
      <c r="H40" s="26"/>
      <c r="I40" s="26"/>
      <c r="J40" s="26"/>
    </row>
    <row r="41" spans="3:10" x14ac:dyDescent="0.25">
      <c r="G41" s="26"/>
      <c r="H41" s="26"/>
      <c r="I41" s="26"/>
      <c r="J41" s="26"/>
    </row>
    <row r="42" spans="3:10" x14ac:dyDescent="0.25">
      <c r="G42" s="26"/>
      <c r="H42" s="26"/>
      <c r="I42" s="26"/>
      <c r="J42" s="26"/>
    </row>
    <row r="44" spans="3:10" x14ac:dyDescent="0.25">
      <c r="F44" s="26"/>
    </row>
    <row r="45" spans="3:10" x14ac:dyDescent="0.25">
      <c r="F45" s="26"/>
    </row>
  </sheetData>
  <mergeCells count="3">
    <mergeCell ref="A1:B1"/>
    <mergeCell ref="A5:D5"/>
    <mergeCell ref="A26:B26"/>
  </mergeCells>
  <pageMargins left="0.75" right="0.75" top="1" bottom="1" header="0.5" footer="0.5"/>
  <pageSetup orientation="portrait" r:id="rId1"/>
  <headerFooter alignWithMargins="0">
    <oddFooter>&amp;R&amp;"Arial,Regular"&amp;08&amp;K7F7F7FAmgen Proprietary - Confidential   &amp;C&amp;"Arial,Regular"&amp;08&amp;K7F7F7FAmgen Proprietary - For Internal Use Only</oddFooter>
    <evenFooter>&amp;R&amp;"Arial,Regular"&amp;08&amp;K7F7F7FAmgen Proprietary - Confidential   &amp;C&amp;"Arial,Regular"&amp;08&amp;K7F7F7FAmgen Proprietary - For Internal Use Only</evenFooter>
    <firstFooter>&amp;R&amp;"Arial,Regular"&amp;08&amp;K7F7F7FAmgen Proprietary - Confidential   &amp;C&amp;"Arial,Regular"&amp;08&amp;K7F7F7FAmgen Proprietary - For Internal Use Only</firstFooter>
  </headerFooter>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C1814D-45F1-4C08-83F5-02EEE3C791A2}">
  <sheetPr codeName="Sheet50">
    <pageSetUpPr autoPageBreaks="0"/>
  </sheetPr>
  <dimension ref="A1:O61"/>
  <sheetViews>
    <sheetView zoomScale="140" zoomScaleNormal="140" workbookViewId="0">
      <selection activeCell="E27" sqref="E27"/>
    </sheetView>
  </sheetViews>
  <sheetFormatPr defaultColWidth="23.453125" defaultRowHeight="11.5" x14ac:dyDescent="0.25"/>
  <cols>
    <col min="1" max="1" width="24.54296875" style="25" customWidth="1"/>
    <col min="2" max="2" width="28.453125" style="25" customWidth="1"/>
    <col min="3" max="3" width="25" style="25" customWidth="1"/>
    <col min="4" max="4" width="17.54296875" style="25" hidden="1" customWidth="1"/>
    <col min="5" max="5" width="23.453125" style="25" customWidth="1"/>
    <col min="6" max="6" width="67.54296875" style="25" bestFit="1" customWidth="1"/>
    <col min="7" max="7" width="41.453125" style="25" bestFit="1" customWidth="1"/>
    <col min="8" max="8" width="16.54296875" style="25" customWidth="1"/>
    <col min="9" max="9" width="14.453125" style="25" customWidth="1"/>
    <col min="10" max="10" width="11.54296875" style="25" customWidth="1"/>
    <col min="11" max="11" width="12.453125" style="25" customWidth="1"/>
    <col min="12" max="12" width="13.54296875" style="25" customWidth="1"/>
    <col min="13" max="13" width="13.453125" style="25" customWidth="1"/>
    <col min="14" max="16384" width="23.453125" style="25"/>
  </cols>
  <sheetData>
    <row r="1" spans="1:15" x14ac:dyDescent="0.25">
      <c r="A1" s="1100" t="s">
        <v>479</v>
      </c>
      <c r="B1" s="1100"/>
    </row>
    <row r="2" spans="1:15" x14ac:dyDescent="0.25">
      <c r="A2" s="781" t="s">
        <v>480</v>
      </c>
      <c r="B2" s="31">
        <f>A11</f>
        <v>44496.395833333336</v>
      </c>
    </row>
    <row r="3" spans="1:15" x14ac:dyDescent="0.25">
      <c r="A3" s="781" t="s">
        <v>482</v>
      </c>
      <c r="B3" s="541">
        <f>A11</f>
        <v>44496.395833333336</v>
      </c>
    </row>
    <row r="5" spans="1:15" x14ac:dyDescent="0.25">
      <c r="A5" s="1100" t="s">
        <v>484</v>
      </c>
      <c r="B5" s="1100"/>
      <c r="C5" s="1100"/>
      <c r="D5" s="1100"/>
    </row>
    <row r="6" spans="1:15" x14ac:dyDescent="0.25">
      <c r="A6" s="781" t="s">
        <v>485</v>
      </c>
      <c r="B6" s="781" t="s">
        <v>486</v>
      </c>
      <c r="C6" s="781" t="s">
        <v>487</v>
      </c>
      <c r="D6" s="781" t="s">
        <v>488</v>
      </c>
    </row>
    <row r="7" spans="1:15" x14ac:dyDescent="0.25">
      <c r="A7" s="324" t="str">
        <f>F13</f>
        <v>IPC: Reaction Conversion</v>
      </c>
      <c r="B7" s="325">
        <f>INDEX($B$11:$B$68,MATCH(A7,$F$11:$F$68,0))</f>
        <v>44496.875</v>
      </c>
      <c r="C7" s="272">
        <f>INDEX($B$11:$B$68,MATCH(A7,$F$11:$F$68,0))</f>
        <v>44496.875</v>
      </c>
      <c r="D7" s="405"/>
    </row>
    <row r="8" spans="1:15" x14ac:dyDescent="0.25">
      <c r="A8" s="324" t="str">
        <f>F36</f>
        <v>IPC: GC, LC, KF</v>
      </c>
      <c r="B8" s="325">
        <f>A36</f>
        <v>44503.520833333343</v>
      </c>
      <c r="C8" s="272">
        <f>INDEX($B$11:$B$68,MATCH(A8,$F$11:$F$68,0))</f>
        <v>44503.520833333343</v>
      </c>
      <c r="D8" s="405"/>
      <c r="E8" s="399"/>
    </row>
    <row r="10" spans="1:15" ht="23" x14ac:dyDescent="0.25">
      <c r="A10" s="749" t="s">
        <v>492</v>
      </c>
      <c r="B10" s="749" t="s">
        <v>493</v>
      </c>
      <c r="C10" s="749" t="s">
        <v>494</v>
      </c>
      <c r="D10" s="86" t="s">
        <v>495</v>
      </c>
      <c r="E10" s="749" t="s">
        <v>540</v>
      </c>
      <c r="F10" s="749" t="s">
        <v>541</v>
      </c>
      <c r="G10" s="749" t="s">
        <v>498</v>
      </c>
      <c r="H10" s="184" t="s">
        <v>92</v>
      </c>
      <c r="I10" s="184" t="s">
        <v>248</v>
      </c>
      <c r="J10" s="184" t="s">
        <v>267</v>
      </c>
      <c r="K10" s="184" t="s">
        <v>677</v>
      </c>
      <c r="L10" s="184" t="s">
        <v>678</v>
      </c>
      <c r="M10" s="184" t="s">
        <v>501</v>
      </c>
    </row>
    <row r="11" spans="1:15" ht="12" customHeight="1" x14ac:dyDescent="0.25">
      <c r="A11" s="31">
        <v>44496.395833333336</v>
      </c>
      <c r="B11" s="38">
        <f>A11</f>
        <v>44496.395833333336</v>
      </c>
      <c r="C11" s="170">
        <v>0.22916666666666666</v>
      </c>
      <c r="D11" s="327" t="str">
        <f>IF(_xlfn.ISFORMULA(E11)=TRUE,"",E11-B11)</f>
        <v/>
      </c>
      <c r="E11" s="37">
        <f>B11+C11</f>
        <v>44496.625</v>
      </c>
      <c r="F11" s="264" t="s">
        <v>679</v>
      </c>
      <c r="G11" s="78"/>
      <c r="H11" s="352"/>
      <c r="I11" s="352"/>
      <c r="J11" s="352"/>
      <c r="K11" s="352"/>
      <c r="L11" s="352"/>
      <c r="M11" s="352"/>
      <c r="N11" s="1066" t="s">
        <v>609</v>
      </c>
      <c r="O11" s="1067"/>
    </row>
    <row r="12" spans="1:15" ht="12" customHeight="1" x14ac:dyDescent="0.25">
      <c r="A12" s="31">
        <f>IF(D11 = "",A11+C11,A11+D11)</f>
        <v>44496.625</v>
      </c>
      <c r="B12" s="37">
        <f t="shared" ref="B12:B21" si="0">IF(D11 = "",B11+C11,B11+D11)</f>
        <v>44496.625</v>
      </c>
      <c r="C12" s="170">
        <v>0.25</v>
      </c>
      <c r="D12" s="327" t="str">
        <f t="shared" ref="D12:D37" si="1">IF(_xlfn.ISFORMULA(E12)=TRUE,"",E12-B12)</f>
        <v/>
      </c>
      <c r="E12" s="37">
        <f t="shared" ref="E12:E14" si="2">B12+C12</f>
        <v>44496.875</v>
      </c>
      <c r="F12" s="264" t="s">
        <v>680</v>
      </c>
      <c r="G12" s="35"/>
      <c r="H12" s="778"/>
      <c r="I12" s="778"/>
      <c r="J12" s="778"/>
      <c r="K12" s="778"/>
      <c r="L12" s="778"/>
      <c r="M12" s="778"/>
      <c r="N12" s="268" t="s">
        <v>681</v>
      </c>
      <c r="O12" s="343">
        <f>SUM(L11:L14)</f>
        <v>606.29999999999995</v>
      </c>
    </row>
    <row r="13" spans="1:15" ht="12" customHeight="1" x14ac:dyDescent="0.25">
      <c r="A13" s="31">
        <f t="shared" ref="A13" si="3">IF(D12 = "",A12+C12,A12+D12)</f>
        <v>44496.875</v>
      </c>
      <c r="B13" s="37">
        <f t="shared" si="0"/>
        <v>44496.875</v>
      </c>
      <c r="C13" s="170">
        <v>0.13541666666666666</v>
      </c>
      <c r="D13" s="327" t="str">
        <f t="shared" si="1"/>
        <v/>
      </c>
      <c r="E13" s="37">
        <f t="shared" si="2"/>
        <v>44497.010416666664</v>
      </c>
      <c r="F13" s="320" t="s">
        <v>567</v>
      </c>
      <c r="G13" s="39"/>
      <c r="H13" s="778"/>
      <c r="I13" s="778"/>
      <c r="J13" s="778"/>
      <c r="K13" s="778"/>
      <c r="L13" s="778"/>
      <c r="M13" s="778"/>
      <c r="N13" s="268" t="s">
        <v>682</v>
      </c>
      <c r="O13" s="343">
        <f>SUM(M11:M14)</f>
        <v>0</v>
      </c>
    </row>
    <row r="14" spans="1:15" ht="12" customHeight="1" x14ac:dyDescent="0.25">
      <c r="A14" s="31">
        <f>IF(D13 = "",A13+C13,A13+D13)</f>
        <v>44497.010416666664</v>
      </c>
      <c r="B14" s="37">
        <f t="shared" si="0"/>
        <v>44497.010416666664</v>
      </c>
      <c r="C14" s="170">
        <v>0.39583333333333331</v>
      </c>
      <c r="D14" s="327" t="str">
        <f t="shared" si="1"/>
        <v/>
      </c>
      <c r="E14" s="37">
        <f t="shared" si="2"/>
        <v>44497.40625</v>
      </c>
      <c r="F14" s="321" t="s">
        <v>683</v>
      </c>
      <c r="G14" s="35"/>
      <c r="H14" s="778">
        <v>511.4</v>
      </c>
      <c r="I14" s="778"/>
      <c r="J14" s="778">
        <v>94.9</v>
      </c>
      <c r="K14" s="778"/>
      <c r="L14" s="778">
        <f>H14+J14</f>
        <v>606.29999999999995</v>
      </c>
      <c r="M14" s="778"/>
    </row>
    <row r="15" spans="1:15" ht="12" customHeight="1" x14ac:dyDescent="0.25">
      <c r="A15" s="1097" t="s">
        <v>2554</v>
      </c>
      <c r="B15" s="1098"/>
      <c r="C15" s="1098"/>
      <c r="D15" s="1098"/>
      <c r="E15" s="1098"/>
      <c r="F15" s="1098"/>
      <c r="G15" s="1098"/>
      <c r="H15" s="1098"/>
      <c r="I15" s="1098"/>
      <c r="J15" s="1098"/>
      <c r="K15" s="1098"/>
      <c r="L15" s="1098"/>
      <c r="M15" s="1099"/>
    </row>
    <row r="16" spans="1:15" ht="12" customHeight="1" x14ac:dyDescent="0.25">
      <c r="A16" s="706">
        <f>IF(D14 = "",A14+C14,A14+D14)</f>
        <v>44497.40625</v>
      </c>
      <c r="B16" s="685">
        <f>A14+"1:00"</f>
        <v>44497.052083333328</v>
      </c>
      <c r="C16" s="707">
        <v>2.0833333333333332E-2</v>
      </c>
      <c r="D16" s="327" t="str">
        <f t="shared" si="1"/>
        <v/>
      </c>
      <c r="E16" s="685">
        <f>B16+C16</f>
        <v>44497.072916666664</v>
      </c>
      <c r="F16" s="708" t="s">
        <v>684</v>
      </c>
      <c r="G16" s="1101" t="s">
        <v>685</v>
      </c>
      <c r="H16" s="709"/>
      <c r="I16" s="709">
        <v>50</v>
      </c>
      <c r="J16" s="709"/>
      <c r="K16" s="709"/>
      <c r="L16" s="709"/>
      <c r="M16" s="709">
        <f>I16</f>
        <v>50</v>
      </c>
      <c r="N16" s="1066" t="s">
        <v>624</v>
      </c>
      <c r="O16" s="1067"/>
    </row>
    <row r="17" spans="1:15" ht="12" customHeight="1" x14ac:dyDescent="0.25">
      <c r="A17" s="706">
        <f t="shared" ref="A17:A21" si="4">IF(D16 = "",A16+C16,A16+D16)</f>
        <v>44497.427083333336</v>
      </c>
      <c r="B17" s="685">
        <f t="shared" si="0"/>
        <v>44497.072916666664</v>
      </c>
      <c r="C17" s="707">
        <v>1.0416666666666666E-2</v>
      </c>
      <c r="D17" s="327" t="str">
        <f t="shared" si="1"/>
        <v/>
      </c>
      <c r="E17" s="685">
        <f t="shared" ref="E17:E37" si="5">B17+C17</f>
        <v>44497.083333333328</v>
      </c>
      <c r="F17" s="708" t="s">
        <v>2555</v>
      </c>
      <c r="G17" s="1102"/>
      <c r="H17" s="709">
        <v>150</v>
      </c>
      <c r="I17" s="709"/>
      <c r="J17" s="709"/>
      <c r="K17" s="709"/>
      <c r="L17" s="709">
        <f>H17</f>
        <v>150</v>
      </c>
      <c r="M17" s="709"/>
      <c r="N17" s="268" t="s">
        <v>681</v>
      </c>
      <c r="O17" s="343">
        <f>SUM(L16:L23)</f>
        <v>250</v>
      </c>
    </row>
    <row r="18" spans="1:15" ht="12" customHeight="1" x14ac:dyDescent="0.25">
      <c r="A18" s="706">
        <f t="shared" si="4"/>
        <v>44497.4375</v>
      </c>
      <c r="B18" s="685">
        <f t="shared" si="0"/>
        <v>44497.083333333328</v>
      </c>
      <c r="C18" s="707">
        <v>4.1666666666666664E-2</v>
      </c>
      <c r="D18" s="327" t="str">
        <f t="shared" si="1"/>
        <v/>
      </c>
      <c r="E18" s="685">
        <f t="shared" si="5"/>
        <v>44497.124999999993</v>
      </c>
      <c r="F18" s="708" t="s">
        <v>2556</v>
      </c>
      <c r="G18" s="1102"/>
      <c r="H18" s="709">
        <v>100</v>
      </c>
      <c r="I18" s="709"/>
      <c r="J18" s="709"/>
      <c r="K18" s="709"/>
      <c r="L18" s="709">
        <v>100</v>
      </c>
      <c r="M18" s="709"/>
      <c r="N18" s="268" t="s">
        <v>682</v>
      </c>
      <c r="O18" s="343">
        <f>SUM(M16:M23)</f>
        <v>400</v>
      </c>
    </row>
    <row r="19" spans="1:15" ht="12" customHeight="1" x14ac:dyDescent="0.25">
      <c r="A19" s="706">
        <f t="shared" si="4"/>
        <v>44497.479166666664</v>
      </c>
      <c r="B19" s="685">
        <f t="shared" si="0"/>
        <v>44497.124999999993</v>
      </c>
      <c r="C19" s="707">
        <v>1.0416666666666666E-2</v>
      </c>
      <c r="D19" s="327" t="str">
        <f t="shared" si="1"/>
        <v/>
      </c>
      <c r="E19" s="685">
        <f t="shared" si="5"/>
        <v>44497.135416666657</v>
      </c>
      <c r="F19" s="708" t="s">
        <v>2557</v>
      </c>
      <c r="G19" s="1102"/>
      <c r="H19" s="709"/>
      <c r="I19" s="709"/>
      <c r="J19" s="709"/>
      <c r="K19" s="709">
        <v>150</v>
      </c>
      <c r="L19" s="709"/>
      <c r="M19" s="709">
        <v>150</v>
      </c>
    </row>
    <row r="20" spans="1:15" ht="12" customHeight="1" x14ac:dyDescent="0.25">
      <c r="A20" s="706">
        <f t="shared" si="4"/>
        <v>44497.489583333328</v>
      </c>
      <c r="B20" s="685">
        <f t="shared" si="0"/>
        <v>44497.135416666657</v>
      </c>
      <c r="C20" s="707">
        <v>4.1666666666666664E-2</v>
      </c>
      <c r="D20" s="327"/>
      <c r="E20" s="685">
        <f t="shared" si="5"/>
        <v>44497.177083333321</v>
      </c>
      <c r="F20" s="708" t="s">
        <v>688</v>
      </c>
      <c r="G20" s="1102"/>
      <c r="H20" s="709"/>
      <c r="I20" s="709"/>
      <c r="J20" s="709"/>
      <c r="K20" s="709">
        <v>100</v>
      </c>
      <c r="L20" s="709"/>
      <c r="M20" s="709">
        <f>K20</f>
        <v>100</v>
      </c>
    </row>
    <row r="21" spans="1:15" ht="12" customHeight="1" x14ac:dyDescent="0.25">
      <c r="A21" s="706">
        <f t="shared" si="4"/>
        <v>44497.531249999993</v>
      </c>
      <c r="B21" s="685">
        <f t="shared" si="0"/>
        <v>44497.177083333321</v>
      </c>
      <c r="C21" s="707">
        <v>4.1666666666666664E-2</v>
      </c>
      <c r="D21" s="327"/>
      <c r="E21" s="685">
        <f t="shared" si="5"/>
        <v>44497.218749999985</v>
      </c>
      <c r="F21" s="708" t="s">
        <v>689</v>
      </c>
      <c r="G21" s="1102"/>
      <c r="H21" s="709"/>
      <c r="I21" s="709"/>
      <c r="J21" s="709"/>
      <c r="K21" s="709">
        <v>100</v>
      </c>
      <c r="L21" s="709"/>
      <c r="M21" s="709">
        <v>100</v>
      </c>
    </row>
    <row r="22" spans="1:15" ht="12" customHeight="1" x14ac:dyDescent="0.25">
      <c r="A22" s="31">
        <f>IF(D14 = "",A14+C14,A14+D14)</f>
        <v>44497.40625</v>
      </c>
      <c r="B22" s="37">
        <f>IF(D14 = "",B14+C14,B14+D14)</f>
        <v>44497.40625</v>
      </c>
      <c r="C22" s="172">
        <v>3.125E-2</v>
      </c>
      <c r="D22" s="327" t="str">
        <f t="shared" si="1"/>
        <v/>
      </c>
      <c r="E22" s="37">
        <f t="shared" si="5"/>
        <v>44497.4375</v>
      </c>
      <c r="F22" s="264" t="s">
        <v>690</v>
      </c>
      <c r="G22" s="35"/>
      <c r="H22" s="393"/>
      <c r="I22" s="393"/>
      <c r="J22" s="393"/>
      <c r="K22" s="393"/>
      <c r="L22" s="393"/>
      <c r="M22" s="393"/>
    </row>
    <row r="23" spans="1:15" ht="12" customHeight="1" x14ac:dyDescent="0.25">
      <c r="A23" s="31">
        <f t="shared" ref="A23:A35" si="6">IF(D22 = "",A22+C22,A22+D22)</f>
        <v>44497.4375</v>
      </c>
      <c r="B23" s="37">
        <f t="shared" ref="B23:B37" si="7">IF(D22 = "",B22+C22,B22+D22)</f>
        <v>44497.4375</v>
      </c>
      <c r="C23" s="172">
        <v>0.89583333333333337</v>
      </c>
      <c r="D23" s="327" t="str">
        <f t="shared" si="1"/>
        <v/>
      </c>
      <c r="E23" s="37">
        <f t="shared" si="5"/>
        <v>44498.333333333336</v>
      </c>
      <c r="F23" s="264" t="s">
        <v>691</v>
      </c>
      <c r="G23" s="39"/>
      <c r="H23" s="778"/>
      <c r="I23" s="778"/>
      <c r="J23" s="778"/>
      <c r="K23" s="1074">
        <v>300</v>
      </c>
      <c r="L23" s="778"/>
      <c r="M23" s="778"/>
    </row>
    <row r="24" spans="1:15" ht="12" customHeight="1" x14ac:dyDescent="0.25">
      <c r="A24" s="31">
        <f t="shared" si="6"/>
        <v>44498.333333333336</v>
      </c>
      <c r="B24" s="37">
        <f t="shared" si="7"/>
        <v>44498.333333333336</v>
      </c>
      <c r="C24" s="170">
        <v>0.41666666666666669</v>
      </c>
      <c r="D24" s="327" t="str">
        <f t="shared" si="1"/>
        <v/>
      </c>
      <c r="E24" s="37">
        <f t="shared" si="5"/>
        <v>44498.75</v>
      </c>
      <c r="F24" s="264" t="s">
        <v>548</v>
      </c>
      <c r="G24" s="35"/>
      <c r="H24" s="778"/>
      <c r="I24" s="778"/>
      <c r="J24" s="778"/>
      <c r="K24" s="1074"/>
      <c r="L24" s="778"/>
      <c r="M24" s="778"/>
      <c r="N24" s="1066" t="s">
        <v>630</v>
      </c>
      <c r="O24" s="1067"/>
    </row>
    <row r="25" spans="1:15" ht="12" hidden="1" customHeight="1" x14ac:dyDescent="0.25">
      <c r="A25" s="604">
        <f t="shared" si="6"/>
        <v>44498.75</v>
      </c>
      <c r="B25" s="605">
        <f t="shared" si="7"/>
        <v>44498.75</v>
      </c>
      <c r="C25" s="562">
        <v>0</v>
      </c>
      <c r="D25" s="562"/>
      <c r="E25" s="605">
        <f t="shared" si="5"/>
        <v>44498.75</v>
      </c>
      <c r="F25" s="567" t="s">
        <v>693</v>
      </c>
      <c r="G25" s="693"/>
      <c r="H25" s="778"/>
      <c r="I25" s="779"/>
      <c r="J25" s="778"/>
      <c r="K25" s="1074"/>
      <c r="L25" s="778"/>
      <c r="M25" s="778"/>
      <c r="N25" s="812"/>
      <c r="O25" s="813"/>
    </row>
    <row r="26" spans="1:15" ht="12" customHeight="1" x14ac:dyDescent="0.25">
      <c r="A26" s="31">
        <f t="shared" si="6"/>
        <v>44498.75</v>
      </c>
      <c r="B26" s="37">
        <f t="shared" si="7"/>
        <v>44498.75</v>
      </c>
      <c r="C26" s="170">
        <v>0.1875</v>
      </c>
      <c r="D26" s="327" t="str">
        <f t="shared" si="1"/>
        <v/>
      </c>
      <c r="E26" s="37">
        <f t="shared" si="5"/>
        <v>44498.9375</v>
      </c>
      <c r="F26" s="264" t="s">
        <v>549</v>
      </c>
      <c r="G26" s="35"/>
      <c r="H26" s="778"/>
      <c r="I26" s="1075">
        <v>467.03699999999998</v>
      </c>
      <c r="J26" s="778"/>
      <c r="K26" s="1074"/>
      <c r="L26" s="778"/>
      <c r="M26" s="778"/>
      <c r="N26" s="268" t="s">
        <v>682</v>
      </c>
      <c r="O26" s="343">
        <f>SUM(M24:M27)</f>
        <v>767.03700000000003</v>
      </c>
    </row>
    <row r="27" spans="1:15" ht="12" customHeight="1" x14ac:dyDescent="0.25">
      <c r="A27" s="31">
        <f t="shared" si="6"/>
        <v>44498.9375</v>
      </c>
      <c r="B27" s="37">
        <f t="shared" si="7"/>
        <v>44498.9375</v>
      </c>
      <c r="C27" s="170">
        <v>1.0208333333333333</v>
      </c>
      <c r="D27" s="327"/>
      <c r="E27" s="37">
        <f t="shared" si="5"/>
        <v>44499.958333333336</v>
      </c>
      <c r="F27" s="264" t="s">
        <v>692</v>
      </c>
      <c r="G27" s="35"/>
      <c r="H27" s="778"/>
      <c r="I27" s="1076"/>
      <c r="J27" s="778"/>
      <c r="K27" s="1074"/>
      <c r="L27" s="778"/>
      <c r="M27" s="778">
        <f>I26+K23</f>
        <v>767.03700000000003</v>
      </c>
      <c r="N27" s="268" t="s">
        <v>682</v>
      </c>
      <c r="O27" s="343">
        <f>SUM(M24:M27)</f>
        <v>767.03700000000003</v>
      </c>
    </row>
    <row r="28" spans="1:15" ht="12" customHeight="1" x14ac:dyDescent="0.25">
      <c r="A28" s="31">
        <f>IF(D27 = "",A27+C27,A27+D27)</f>
        <v>44499.958333333336</v>
      </c>
      <c r="B28" s="37">
        <f>IF(D27 = "",B27+C27,B27+D27)</f>
        <v>44499.958333333336</v>
      </c>
      <c r="C28" s="170">
        <v>0.39583333333333331</v>
      </c>
      <c r="D28" s="327" t="str">
        <f t="shared" si="1"/>
        <v/>
      </c>
      <c r="E28" s="37">
        <f t="shared" si="5"/>
        <v>44500.354166666672</v>
      </c>
      <c r="F28" s="264" t="s">
        <v>551</v>
      </c>
      <c r="G28" s="35"/>
      <c r="H28" s="778"/>
      <c r="I28" s="778"/>
      <c r="J28" s="778"/>
      <c r="K28" s="778"/>
      <c r="L28" s="778"/>
      <c r="M28" s="778"/>
    </row>
    <row r="29" spans="1:15" ht="12" hidden="1" customHeight="1" x14ac:dyDescent="0.25">
      <c r="A29" s="31">
        <f t="shared" si="6"/>
        <v>44500.354166666672</v>
      </c>
      <c r="B29" s="37">
        <f t="shared" ref="B29:B35" si="8">IF(D28 = "",B28+C28,B28+D28)</f>
        <v>44500.354166666672</v>
      </c>
      <c r="C29" s="400">
        <v>0</v>
      </c>
      <c r="D29" s="400" t="str">
        <f t="shared" si="1"/>
        <v/>
      </c>
      <c r="E29" s="37">
        <f t="shared" si="5"/>
        <v>44500.354166666672</v>
      </c>
      <c r="F29" s="531" t="s">
        <v>2558</v>
      </c>
      <c r="G29" s="533"/>
      <c r="H29" s="392"/>
      <c r="I29" s="392"/>
      <c r="J29" s="392"/>
      <c r="K29" s="392"/>
      <c r="L29" s="392"/>
      <c r="M29" s="392"/>
    </row>
    <row r="30" spans="1:15" ht="12" hidden="1" customHeight="1" x14ac:dyDescent="0.25">
      <c r="A30" s="31">
        <f t="shared" si="6"/>
        <v>44500.354166666672</v>
      </c>
      <c r="B30" s="37">
        <f t="shared" si="8"/>
        <v>44500.354166666672</v>
      </c>
      <c r="C30" s="400">
        <v>0</v>
      </c>
      <c r="D30" s="400" t="str">
        <f t="shared" si="1"/>
        <v/>
      </c>
      <c r="E30" s="37">
        <f t="shared" si="5"/>
        <v>44500.354166666672</v>
      </c>
      <c r="F30" s="531" t="s">
        <v>2559</v>
      </c>
      <c r="G30" s="533"/>
      <c r="H30" s="392"/>
      <c r="I30" s="392"/>
      <c r="J30" s="392"/>
      <c r="K30" s="392"/>
      <c r="L30" s="392"/>
      <c r="M30" s="392"/>
    </row>
    <row r="31" spans="1:15" ht="12" hidden="1" customHeight="1" x14ac:dyDescent="0.25">
      <c r="A31" s="31">
        <f t="shared" si="6"/>
        <v>44500.354166666672</v>
      </c>
      <c r="B31" s="37">
        <f t="shared" si="8"/>
        <v>44500.354166666672</v>
      </c>
      <c r="C31" s="400">
        <v>0</v>
      </c>
      <c r="D31" s="400"/>
      <c r="E31" s="37">
        <f t="shared" si="5"/>
        <v>44500.354166666672</v>
      </c>
      <c r="F31" s="531" t="s">
        <v>2560</v>
      </c>
      <c r="G31" s="533"/>
      <c r="H31" s="392"/>
      <c r="I31" s="392"/>
      <c r="J31" s="392"/>
      <c r="K31" s="392"/>
      <c r="L31" s="392"/>
      <c r="M31" s="392"/>
    </row>
    <row r="32" spans="1:15" ht="12" hidden="1" customHeight="1" x14ac:dyDescent="0.25">
      <c r="A32" s="31">
        <f t="shared" si="6"/>
        <v>44500.354166666672</v>
      </c>
      <c r="B32" s="37">
        <f t="shared" si="8"/>
        <v>44500.354166666672</v>
      </c>
      <c r="C32" s="400">
        <v>0</v>
      </c>
      <c r="D32" s="400"/>
      <c r="E32" s="37">
        <f t="shared" si="5"/>
        <v>44500.354166666672</v>
      </c>
      <c r="F32" s="531" t="s">
        <v>520</v>
      </c>
      <c r="G32" s="533"/>
      <c r="H32" s="392"/>
      <c r="I32" s="392"/>
      <c r="J32" s="392"/>
      <c r="K32" s="392"/>
      <c r="L32" s="392"/>
      <c r="M32" s="392"/>
    </row>
    <row r="33" spans="1:13" ht="12" hidden="1" customHeight="1" x14ac:dyDescent="0.25">
      <c r="A33" s="31">
        <f t="shared" si="6"/>
        <v>44500.354166666672</v>
      </c>
      <c r="B33" s="37">
        <f t="shared" si="8"/>
        <v>44500.354166666672</v>
      </c>
      <c r="C33" s="536">
        <v>0</v>
      </c>
      <c r="D33" s="537"/>
      <c r="E33" s="37">
        <f t="shared" si="5"/>
        <v>44500.354166666672</v>
      </c>
      <c r="F33" s="538" t="s">
        <v>693</v>
      </c>
      <c r="G33" s="539"/>
      <c r="H33" s="540"/>
      <c r="I33" s="540"/>
      <c r="J33" s="540"/>
      <c r="K33" s="540"/>
      <c r="L33" s="540"/>
      <c r="M33" s="540"/>
    </row>
    <row r="34" spans="1:13" ht="12" customHeight="1" x14ac:dyDescent="0.25">
      <c r="A34" s="534">
        <f t="shared" si="6"/>
        <v>44500.354166666672</v>
      </c>
      <c r="B34" s="535">
        <f t="shared" si="8"/>
        <v>44500.354166666672</v>
      </c>
      <c r="C34" s="536">
        <v>1.0208333333333333</v>
      </c>
      <c r="D34" s="537"/>
      <c r="E34" s="535">
        <f t="shared" si="5"/>
        <v>44501.375000000007</v>
      </c>
      <c r="F34" s="538" t="s">
        <v>693</v>
      </c>
      <c r="G34" s="539"/>
      <c r="H34" s="540"/>
      <c r="I34" s="540"/>
      <c r="J34" s="540"/>
      <c r="K34" s="540"/>
      <c r="L34" s="540"/>
      <c r="M34" s="540"/>
    </row>
    <row r="35" spans="1:13" ht="12" customHeight="1" x14ac:dyDescent="0.25">
      <c r="A35" s="31">
        <f t="shared" si="6"/>
        <v>44501.375000000007</v>
      </c>
      <c r="B35" s="37">
        <f t="shared" si="8"/>
        <v>44501.375000000007</v>
      </c>
      <c r="C35" s="170">
        <v>2.1458333333333335</v>
      </c>
      <c r="D35" s="327" t="str">
        <f t="shared" si="1"/>
        <v/>
      </c>
      <c r="E35" s="37">
        <f t="shared" si="5"/>
        <v>44503.520833333343</v>
      </c>
      <c r="F35" s="264" t="s">
        <v>551</v>
      </c>
      <c r="G35" s="35"/>
      <c r="H35" s="778"/>
      <c r="I35" s="778"/>
      <c r="J35" s="778"/>
      <c r="K35" s="778"/>
      <c r="L35" s="778"/>
      <c r="M35" s="778"/>
    </row>
    <row r="36" spans="1:13" x14ac:dyDescent="0.25">
      <c r="A36" s="31">
        <f t="shared" ref="A36:A37" si="9">IF(D35 = "",A35+C35,A35+D35)</f>
        <v>44503.520833333343</v>
      </c>
      <c r="B36" s="37">
        <f t="shared" si="7"/>
        <v>44503.520833333343</v>
      </c>
      <c r="C36" s="170">
        <v>1</v>
      </c>
      <c r="D36" s="327" t="str">
        <f t="shared" si="1"/>
        <v/>
      </c>
      <c r="E36" s="37">
        <f t="shared" si="5"/>
        <v>44504.520833333343</v>
      </c>
      <c r="F36" s="320" t="s">
        <v>694</v>
      </c>
      <c r="G36" s="35"/>
      <c r="H36" s="778"/>
      <c r="I36" s="778"/>
      <c r="J36" s="778"/>
      <c r="K36" s="778"/>
      <c r="L36" s="778"/>
      <c r="M36" s="778"/>
    </row>
    <row r="37" spans="1:13" ht="12" customHeight="1" x14ac:dyDescent="0.25">
      <c r="A37" s="31">
        <f t="shared" si="9"/>
        <v>44504.520833333343</v>
      </c>
      <c r="B37" s="37">
        <f t="shared" si="7"/>
        <v>44504.520833333343</v>
      </c>
      <c r="C37" s="170">
        <v>0.125</v>
      </c>
      <c r="D37" s="327" t="str">
        <f t="shared" si="1"/>
        <v/>
      </c>
      <c r="E37" s="37">
        <f t="shared" si="5"/>
        <v>44504.645833333343</v>
      </c>
      <c r="F37" s="264" t="s">
        <v>554</v>
      </c>
      <c r="G37" s="35"/>
      <c r="H37" s="397"/>
      <c r="I37" s="397"/>
      <c r="J37" s="397"/>
      <c r="K37" s="397"/>
      <c r="L37" s="397"/>
      <c r="M37" s="397"/>
    </row>
    <row r="38" spans="1:13" ht="21" x14ac:dyDescent="0.55000000000000004">
      <c r="A38" s="34"/>
      <c r="B38" s="33" t="s">
        <v>534</v>
      </c>
      <c r="C38" s="32">
        <f>SUM(C11:C14,C22:C28,C35:C37)</f>
        <v>7.229166666666667</v>
      </c>
      <c r="D38" s="32">
        <f>SUM(D11:D14,D22:D28,D35:D37)</f>
        <v>0</v>
      </c>
      <c r="G38" s="243" t="s">
        <v>535</v>
      </c>
      <c r="H38" s="350">
        <f>SUM(H11:H27)</f>
        <v>761.4</v>
      </c>
      <c r="I38" s="350">
        <f>SUM(I11:I27)</f>
        <v>517.03700000000003</v>
      </c>
      <c r="J38" s="350">
        <f>SUM(J11:J27)</f>
        <v>94.9</v>
      </c>
      <c r="K38" s="351">
        <f>SUM(K11:K37)</f>
        <v>650</v>
      </c>
      <c r="L38" s="351">
        <f>SUM(L11:L37)</f>
        <v>856.3</v>
      </c>
      <c r="M38" s="351">
        <f>SUM(M11:M37)</f>
        <v>1167.037</v>
      </c>
    </row>
    <row r="39" spans="1:13" x14ac:dyDescent="0.25">
      <c r="B39" s="31" t="s">
        <v>536</v>
      </c>
      <c r="C39" s="30">
        <f>(C38*60)/1440</f>
        <v>0.30121527777777779</v>
      </c>
      <c r="D39" s="30">
        <f>(D38*60)/1440</f>
        <v>0</v>
      </c>
      <c r="G39" s="26"/>
      <c r="H39" s="26"/>
      <c r="I39" s="26"/>
      <c r="J39" s="26"/>
      <c r="K39" s="26"/>
      <c r="L39" s="26"/>
      <c r="M39" s="26"/>
    </row>
    <row r="40" spans="1:13" x14ac:dyDescent="0.25">
      <c r="F40" s="26"/>
      <c r="G40" s="26"/>
      <c r="H40" s="26"/>
      <c r="I40" s="26"/>
      <c r="J40" s="26"/>
      <c r="K40" s="26"/>
      <c r="L40" s="26"/>
    </row>
    <row r="41" spans="1:13" x14ac:dyDescent="0.25">
      <c r="F41" s="26"/>
      <c r="G41" s="26"/>
      <c r="H41" s="26"/>
      <c r="I41" s="26"/>
      <c r="J41" s="26"/>
      <c r="K41" s="26"/>
      <c r="L41" s="26"/>
    </row>
    <row r="42" spans="1:13" ht="11.9" hidden="1" customHeight="1" x14ac:dyDescent="0.25">
      <c r="A42" s="1072" t="s">
        <v>555</v>
      </c>
      <c r="B42" s="1073"/>
      <c r="F42" s="26"/>
      <c r="G42" s="26"/>
      <c r="H42" s="26"/>
      <c r="I42" s="26"/>
      <c r="J42" s="26"/>
      <c r="K42" s="26"/>
      <c r="L42" s="26"/>
    </row>
    <row r="43" spans="1:13" hidden="1" x14ac:dyDescent="0.25">
      <c r="A43" s="781" t="s">
        <v>556</v>
      </c>
      <c r="B43" s="29" t="e">
        <f>MAX(A24,#REF!)</f>
        <v>#REF!</v>
      </c>
      <c r="F43" s="26"/>
      <c r="G43" s="26"/>
      <c r="H43" s="26"/>
      <c r="I43" s="26"/>
      <c r="J43" s="26"/>
      <c r="K43" s="26"/>
      <c r="L43" s="26"/>
    </row>
    <row r="44" spans="1:13" hidden="1" x14ac:dyDescent="0.25">
      <c r="A44" s="781" t="s">
        <v>557</v>
      </c>
      <c r="B44" s="28" t="e">
        <f>MAX((#REF!+#REF!),(B24+C24))</f>
        <v>#REF!</v>
      </c>
      <c r="F44" s="26"/>
      <c r="G44" s="26"/>
      <c r="H44" s="26"/>
      <c r="I44" s="26"/>
      <c r="J44" s="26"/>
      <c r="K44" s="26"/>
      <c r="L44" s="26"/>
    </row>
    <row r="45" spans="1:13" x14ac:dyDescent="0.25">
      <c r="F45" s="26"/>
      <c r="G45" s="26"/>
      <c r="H45" s="26"/>
      <c r="I45" s="26"/>
      <c r="J45" s="26"/>
      <c r="K45" s="26"/>
      <c r="L45" s="26"/>
    </row>
    <row r="46" spans="1:13" x14ac:dyDescent="0.25">
      <c r="F46" s="26"/>
      <c r="G46" s="26"/>
      <c r="H46" s="26"/>
      <c r="I46" s="26"/>
      <c r="J46" s="26"/>
      <c r="K46" s="26"/>
      <c r="L46" s="26"/>
    </row>
    <row r="47" spans="1:13" x14ac:dyDescent="0.25">
      <c r="F47" s="26"/>
      <c r="G47" s="26"/>
      <c r="H47" s="26"/>
      <c r="I47" s="26"/>
      <c r="J47" s="26"/>
      <c r="K47" s="26"/>
      <c r="L47" s="26"/>
    </row>
    <row r="48" spans="1:13" x14ac:dyDescent="0.25">
      <c r="F48" s="26"/>
      <c r="G48" s="26"/>
      <c r="H48" s="26"/>
      <c r="I48" s="26"/>
      <c r="J48" s="26"/>
      <c r="K48" s="26"/>
      <c r="L48" s="26"/>
    </row>
    <row r="49" spans="3:12" x14ac:dyDescent="0.25">
      <c r="C49" s="27"/>
      <c r="F49" s="26"/>
      <c r="G49" s="26"/>
      <c r="H49" s="26"/>
      <c r="I49" s="26"/>
      <c r="J49" s="26"/>
      <c r="K49" s="26"/>
      <c r="L49" s="26"/>
    </row>
    <row r="50" spans="3:12" x14ac:dyDescent="0.25">
      <c r="F50" s="26"/>
      <c r="G50" s="26"/>
      <c r="H50" s="26"/>
      <c r="I50" s="26"/>
      <c r="J50" s="26"/>
      <c r="K50" s="26"/>
      <c r="L50" s="26"/>
    </row>
    <row r="51" spans="3:12" x14ac:dyDescent="0.25">
      <c r="F51" s="26"/>
      <c r="G51" s="26"/>
      <c r="H51" s="26"/>
      <c r="I51" s="26"/>
      <c r="J51" s="26"/>
      <c r="K51" s="26"/>
      <c r="L51" s="26"/>
    </row>
    <row r="52" spans="3:12" x14ac:dyDescent="0.25">
      <c r="F52" s="26"/>
      <c r="G52" s="26"/>
      <c r="H52" s="26"/>
      <c r="I52" s="26"/>
      <c r="J52" s="26"/>
      <c r="K52" s="26"/>
      <c r="L52" s="26"/>
    </row>
    <row r="53" spans="3:12" x14ac:dyDescent="0.25">
      <c r="F53" s="26"/>
      <c r="G53" s="26"/>
      <c r="H53" s="26"/>
      <c r="I53" s="26"/>
      <c r="J53" s="26"/>
      <c r="K53" s="26"/>
      <c r="L53" s="26"/>
    </row>
    <row r="54" spans="3:12" x14ac:dyDescent="0.25">
      <c r="F54" s="26"/>
      <c r="G54" s="26"/>
      <c r="H54" s="26"/>
      <c r="I54" s="26"/>
      <c r="J54" s="26"/>
      <c r="K54" s="26"/>
      <c r="L54" s="26"/>
    </row>
    <row r="55" spans="3:12" x14ac:dyDescent="0.25">
      <c r="F55" s="26"/>
      <c r="G55" s="26"/>
      <c r="H55" s="26"/>
      <c r="I55" s="26"/>
      <c r="J55" s="26"/>
      <c r="K55" s="26"/>
      <c r="L55" s="26"/>
    </row>
    <row r="56" spans="3:12" x14ac:dyDescent="0.25">
      <c r="F56" s="26"/>
      <c r="G56" s="26"/>
      <c r="H56" s="26"/>
      <c r="I56" s="26"/>
      <c r="J56" s="26"/>
      <c r="K56" s="26"/>
      <c r="L56" s="26"/>
    </row>
    <row r="57" spans="3:12" x14ac:dyDescent="0.25">
      <c r="F57" s="26"/>
      <c r="G57" s="26"/>
      <c r="H57" s="26"/>
      <c r="I57" s="26"/>
      <c r="J57" s="26"/>
      <c r="K57" s="26"/>
      <c r="L57" s="26"/>
    </row>
    <row r="58" spans="3:12" x14ac:dyDescent="0.25">
      <c r="F58" s="26"/>
      <c r="G58" s="26"/>
      <c r="H58" s="26"/>
      <c r="I58" s="26"/>
      <c r="J58" s="26"/>
      <c r="K58" s="26"/>
      <c r="L58" s="26"/>
    </row>
    <row r="59" spans="3:12" x14ac:dyDescent="0.25">
      <c r="F59" s="26"/>
      <c r="G59" s="26"/>
      <c r="H59" s="26"/>
      <c r="I59" s="26"/>
      <c r="J59" s="26"/>
      <c r="K59" s="26"/>
      <c r="L59" s="26"/>
    </row>
    <row r="60" spans="3:12" x14ac:dyDescent="0.25">
      <c r="E60" s="26"/>
    </row>
    <row r="61" spans="3:12" x14ac:dyDescent="0.25">
      <c r="E61" s="26"/>
    </row>
  </sheetData>
  <mergeCells count="10">
    <mergeCell ref="K23:K27"/>
    <mergeCell ref="N24:O24"/>
    <mergeCell ref="I26:I27"/>
    <mergeCell ref="A42:B42"/>
    <mergeCell ref="A1:B1"/>
    <mergeCell ref="A5:D5"/>
    <mergeCell ref="N11:O11"/>
    <mergeCell ref="A15:M15"/>
    <mergeCell ref="G16:G21"/>
    <mergeCell ref="N16:O16"/>
  </mergeCells>
  <pageMargins left="0.75" right="0.75" top="1" bottom="1" header="0.5" footer="0.5"/>
  <pageSetup orientation="portrait" r:id="rId1"/>
  <headerFooter alignWithMargins="0">
    <oddFooter>&amp;R&amp;"Arial,Regular"&amp;08&amp;K7F7F7FAmgen Proprietary - Confidential   &amp;C&amp;"Arial,Regular"&amp;08&amp;K7F7F7FAmgen Proprietary - For Internal Use Only</oddFooter>
    <evenFooter>&amp;R&amp;"Arial,Regular"&amp;08&amp;K7F7F7FAmgen Proprietary - Confidential   &amp;C&amp;"Arial,Regular"&amp;08&amp;K7F7F7FAmgen Proprietary - For Internal Use Only</evenFooter>
    <firstFooter>&amp;R&amp;"Arial,Regular"&amp;08&amp;K7F7F7FAmgen Proprietary - Confidential   &amp;C&amp;"Arial,Regular"&amp;08&amp;K7F7F7FAmgen Proprietary - For Internal Use Only</firstFooter>
  </headerFooter>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887C76-DA34-4B83-8376-7A63997029AD}">
  <sheetPr codeName="Sheet35">
    <pageSetUpPr autoPageBreaks="0"/>
  </sheetPr>
  <dimension ref="A1:G44"/>
  <sheetViews>
    <sheetView topLeftCell="A9" zoomScaleNormal="100" workbookViewId="0">
      <selection activeCell="E22" sqref="E22"/>
    </sheetView>
  </sheetViews>
  <sheetFormatPr defaultColWidth="23.453125" defaultRowHeight="11.5" x14ac:dyDescent="0.25"/>
  <cols>
    <col min="1" max="2" width="23.54296875" style="25" bestFit="1" customWidth="1"/>
    <col min="3" max="3" width="23.453125" style="25"/>
    <col min="4" max="4" width="23.453125" style="25" customWidth="1"/>
    <col min="5" max="5" width="23.453125" style="25"/>
    <col min="6" max="6" width="47.453125" style="25" bestFit="1" customWidth="1"/>
    <col min="7" max="7" width="27.453125" style="25" customWidth="1"/>
    <col min="8" max="8" width="15.453125" style="25" customWidth="1"/>
    <col min="9" max="9" width="14.54296875" style="25" customWidth="1"/>
    <col min="10" max="10" width="13.453125" style="25" customWidth="1"/>
    <col min="11" max="16384" width="23.453125" style="25"/>
  </cols>
  <sheetData>
    <row r="1" spans="1:7" ht="12" thickBot="1" x14ac:dyDescent="0.3">
      <c r="A1" s="1053" t="s">
        <v>479</v>
      </c>
      <c r="B1" s="1054"/>
    </row>
    <row r="2" spans="1:7" ht="12" thickBot="1" x14ac:dyDescent="0.3">
      <c r="A2" s="43" t="s">
        <v>480</v>
      </c>
      <c r="B2" s="465">
        <v>43836.354166666664</v>
      </c>
    </row>
    <row r="3" spans="1:7" ht="12" thickBot="1" x14ac:dyDescent="0.3">
      <c r="A3" s="42" t="s">
        <v>482</v>
      </c>
      <c r="B3" s="466">
        <v>43836.354166666664</v>
      </c>
    </row>
    <row r="5" spans="1:7" x14ac:dyDescent="0.25">
      <c r="A5" s="1049" t="s">
        <v>484</v>
      </c>
      <c r="B5" s="1050"/>
      <c r="C5" s="1050"/>
      <c r="D5" s="1051"/>
    </row>
    <row r="6" spans="1:7" x14ac:dyDescent="0.25">
      <c r="A6" s="781" t="s">
        <v>485</v>
      </c>
      <c r="B6" s="781" t="s">
        <v>486</v>
      </c>
      <c r="C6" s="781" t="s">
        <v>487</v>
      </c>
      <c r="D6" s="781" t="s">
        <v>488</v>
      </c>
    </row>
    <row r="7" spans="1:7" x14ac:dyDescent="0.25">
      <c r="A7" s="41" t="str">
        <f>F13</f>
        <v xml:space="preserve">IPC: LC for reaction conversion </v>
      </c>
      <c r="B7" s="40">
        <f>INDEX($A$11:$A$59,MATCH(A7,$F$11:$F$56,0))</f>
        <v>43836.645833333328</v>
      </c>
      <c r="C7" s="37">
        <f>INDEX($A$11:$A$59,MATCH(A7,$F$11:$F$59,0))</f>
        <v>43836.645833333328</v>
      </c>
      <c r="D7" s="37"/>
    </row>
    <row r="8" spans="1:7" x14ac:dyDescent="0.25">
      <c r="A8" s="41" t="str">
        <f>F17</f>
        <v xml:space="preserve">IPC: LOD </v>
      </c>
      <c r="B8" s="40">
        <f>INDEX($A$11:$A$59,MATCH(A8,$F$11:$F$56,0))</f>
        <v>43837.604166666664</v>
      </c>
      <c r="C8" s="37">
        <f>INDEX($A$11:$A$59,MATCH(A8,$F$11:$F$59,0))</f>
        <v>43837.604166666664</v>
      </c>
      <c r="D8" s="37"/>
    </row>
    <row r="10" spans="1:7" ht="23.5" thickBot="1" x14ac:dyDescent="0.3">
      <c r="A10" s="749" t="s">
        <v>492</v>
      </c>
      <c r="B10" s="749" t="s">
        <v>493</v>
      </c>
      <c r="C10" s="749" t="s">
        <v>494</v>
      </c>
      <c r="D10" s="77" t="s">
        <v>495</v>
      </c>
      <c r="E10" s="749" t="s">
        <v>540</v>
      </c>
      <c r="F10" s="749" t="s">
        <v>541</v>
      </c>
      <c r="G10" s="749" t="s">
        <v>498</v>
      </c>
    </row>
    <row r="11" spans="1:7" ht="12" thickBot="1" x14ac:dyDescent="0.3">
      <c r="A11" s="31">
        <f>B2</f>
        <v>43836.354166666664</v>
      </c>
      <c r="B11" s="38">
        <f>B3</f>
        <v>43836.354166666664</v>
      </c>
      <c r="C11" s="80">
        <v>0.10416666666666667</v>
      </c>
      <c r="D11" s="327" t="str">
        <f t="shared" ref="D11:D20" si="0">IF(_xlfn.ISFORMULA(E11)=TRUE,"",E11-B11)</f>
        <v/>
      </c>
      <c r="E11" s="75">
        <f>B11+C11</f>
        <v>43836.458333333328</v>
      </c>
      <c r="F11" s="35" t="s">
        <v>2439</v>
      </c>
      <c r="G11" s="35"/>
    </row>
    <row r="12" spans="1:7" ht="12.75" customHeight="1" thickBot="1" x14ac:dyDescent="0.3">
      <c r="A12" s="31">
        <f t="shared" ref="A12" si="1">IF(D11 = "",A11+C11,A11+D11)</f>
        <v>43836.458333333328</v>
      </c>
      <c r="B12" s="37">
        <f t="shared" ref="B12" si="2">IF(D11 = "",B11+C11,B11+D11)</f>
        <v>43836.458333333328</v>
      </c>
      <c r="C12" s="81">
        <v>0.1875</v>
      </c>
      <c r="D12" s="327" t="str">
        <f t="shared" si="0"/>
        <v/>
      </c>
      <c r="E12" s="75">
        <f t="shared" ref="E12:E20" si="3">B12+C12</f>
        <v>43836.645833333328</v>
      </c>
      <c r="F12" s="35" t="s">
        <v>2440</v>
      </c>
      <c r="G12" s="35"/>
    </row>
    <row r="13" spans="1:7" ht="23.5" thickBot="1" x14ac:dyDescent="0.3">
      <c r="A13" s="31">
        <f t="shared" ref="A13:A20" si="4">IF(D12 = "",A12+C12,A12+D12)</f>
        <v>43836.645833333328</v>
      </c>
      <c r="B13" s="37">
        <f t="shared" ref="B13:B20" si="5">IF(D12 = "",B12+C12,B12+D12)</f>
        <v>43836.645833333328</v>
      </c>
      <c r="C13" s="81">
        <v>0.14583333333333334</v>
      </c>
      <c r="D13" s="327" t="str">
        <f t="shared" si="0"/>
        <v/>
      </c>
      <c r="E13" s="75">
        <f t="shared" si="3"/>
        <v>43836.791666666664</v>
      </c>
      <c r="F13" s="39" t="s">
        <v>2441</v>
      </c>
      <c r="G13" s="79" t="s">
        <v>2694</v>
      </c>
    </row>
    <row r="14" spans="1:7" ht="13.5" customHeight="1" thickBot="1" x14ac:dyDescent="0.3">
      <c r="A14" s="31">
        <f t="shared" si="4"/>
        <v>43836.791666666664</v>
      </c>
      <c r="B14" s="37">
        <f t="shared" si="5"/>
        <v>43836.791666666664</v>
      </c>
      <c r="C14" s="82">
        <v>8.3333333333333329E-2</v>
      </c>
      <c r="D14" s="327" t="str">
        <f t="shared" si="0"/>
        <v/>
      </c>
      <c r="E14" s="75">
        <f t="shared" si="3"/>
        <v>43836.875</v>
      </c>
      <c r="F14" s="35" t="s">
        <v>548</v>
      </c>
      <c r="G14" s="35"/>
    </row>
    <row r="15" spans="1:7" ht="12" thickBot="1" x14ac:dyDescent="0.3">
      <c r="A15" s="31">
        <f t="shared" si="4"/>
        <v>43836.875</v>
      </c>
      <c r="B15" s="37">
        <f t="shared" si="5"/>
        <v>43836.875</v>
      </c>
      <c r="C15" s="82">
        <v>0.375</v>
      </c>
      <c r="D15" s="327" t="str">
        <f t="shared" si="0"/>
        <v/>
      </c>
      <c r="E15" s="75">
        <f t="shared" si="3"/>
        <v>43837.25</v>
      </c>
      <c r="F15" s="35" t="s">
        <v>2442</v>
      </c>
      <c r="G15" s="35"/>
    </row>
    <row r="16" spans="1:7" ht="13.5" customHeight="1" thickBot="1" x14ac:dyDescent="0.3">
      <c r="A16" s="31">
        <f t="shared" si="4"/>
        <v>43837.25</v>
      </c>
      <c r="B16" s="37">
        <f t="shared" si="5"/>
        <v>43837.25</v>
      </c>
      <c r="C16" s="82">
        <v>0.35416666666666669</v>
      </c>
      <c r="D16" s="327" t="str">
        <f t="shared" si="0"/>
        <v/>
      </c>
      <c r="E16" s="75">
        <f t="shared" si="3"/>
        <v>43837.604166666664</v>
      </c>
      <c r="F16" s="35" t="s">
        <v>551</v>
      </c>
      <c r="G16" s="35"/>
    </row>
    <row r="17" spans="1:7" ht="12" customHeight="1" thickBot="1" x14ac:dyDescent="0.3">
      <c r="A17" s="31">
        <f t="shared" si="4"/>
        <v>43837.604166666664</v>
      </c>
      <c r="B17" s="37">
        <f t="shared" si="5"/>
        <v>43837.604166666664</v>
      </c>
      <c r="C17" s="81">
        <v>6.25E-2</v>
      </c>
      <c r="D17" s="327" t="str">
        <f t="shared" si="0"/>
        <v/>
      </c>
      <c r="E17" s="75">
        <f t="shared" si="3"/>
        <v>43837.666666666664</v>
      </c>
      <c r="F17" s="39" t="s">
        <v>2443</v>
      </c>
      <c r="G17" s="39"/>
    </row>
    <row r="18" spans="1:7" ht="12.75" customHeight="1" thickBot="1" x14ac:dyDescent="0.3">
      <c r="A18" s="31">
        <f t="shared" si="4"/>
        <v>43837.666666666664</v>
      </c>
      <c r="B18" s="37">
        <f t="shared" si="5"/>
        <v>43837.666666666664</v>
      </c>
      <c r="C18" s="81">
        <v>0.10416666666666667</v>
      </c>
      <c r="D18" s="327" t="str">
        <f t="shared" si="0"/>
        <v/>
      </c>
      <c r="E18" s="75">
        <f t="shared" si="3"/>
        <v>43837.770833333328</v>
      </c>
      <c r="F18" s="35" t="s">
        <v>554</v>
      </c>
      <c r="G18" s="35"/>
    </row>
    <row r="19" spans="1:7" ht="12.75" customHeight="1" thickBot="1" x14ac:dyDescent="0.3">
      <c r="A19" s="31">
        <f t="shared" si="4"/>
        <v>43837.770833333328</v>
      </c>
      <c r="B19" s="37">
        <f t="shared" si="5"/>
        <v>43837.770833333328</v>
      </c>
      <c r="C19" s="81">
        <v>1.3888888888888888E-2</v>
      </c>
      <c r="D19" s="327" t="str">
        <f t="shared" si="0"/>
        <v/>
      </c>
      <c r="E19" s="75">
        <f t="shared" si="3"/>
        <v>43837.784722222219</v>
      </c>
      <c r="F19" s="35" t="s">
        <v>2561</v>
      </c>
      <c r="G19" s="35"/>
    </row>
    <row r="20" spans="1:7" ht="12.75" customHeight="1" x14ac:dyDescent="0.25">
      <c r="A20" s="31">
        <f t="shared" si="4"/>
        <v>43837.784722222219</v>
      </c>
      <c r="B20" s="37">
        <f t="shared" si="5"/>
        <v>43837.784722222219</v>
      </c>
      <c r="C20" s="81">
        <v>0.1875</v>
      </c>
      <c r="D20" s="327" t="str">
        <f t="shared" si="0"/>
        <v/>
      </c>
      <c r="E20" s="75">
        <f t="shared" si="3"/>
        <v>43837.972222222219</v>
      </c>
      <c r="F20" s="35" t="s">
        <v>2562</v>
      </c>
      <c r="G20" s="35"/>
    </row>
    <row r="21" spans="1:7" ht="21" x14ac:dyDescent="0.55000000000000004">
      <c r="A21" s="34"/>
      <c r="B21" s="33" t="s">
        <v>534</v>
      </c>
      <c r="C21" s="32">
        <f>SUM(C11:C18)</f>
        <v>1.4166666666666667</v>
      </c>
      <c r="D21" s="32">
        <f>SUM(D11:D18)</f>
        <v>0</v>
      </c>
      <c r="G21" s="26"/>
    </row>
    <row r="22" spans="1:7" x14ac:dyDescent="0.25">
      <c r="B22" s="31" t="s">
        <v>536</v>
      </c>
      <c r="C22" s="30">
        <f>(C21*60)/1440</f>
        <v>5.9027777777777776E-2</v>
      </c>
      <c r="D22" s="30">
        <f>(D21*60)/1440</f>
        <v>0</v>
      </c>
      <c r="G22" s="26"/>
    </row>
    <row r="23" spans="1:7" x14ac:dyDescent="0.25">
      <c r="G23" s="26"/>
    </row>
    <row r="24" spans="1:7" x14ac:dyDescent="0.25">
      <c r="G24" s="26"/>
    </row>
    <row r="25" spans="1:7" hidden="1" x14ac:dyDescent="0.25">
      <c r="A25" s="1053" t="s">
        <v>555</v>
      </c>
      <c r="B25" s="1054"/>
      <c r="G25" s="26"/>
    </row>
    <row r="26" spans="1:7" hidden="1" x14ac:dyDescent="0.25">
      <c r="A26" s="781" t="s">
        <v>556</v>
      </c>
      <c r="B26" s="29" t="e">
        <f>MAX(A18,#REF!)</f>
        <v>#REF!</v>
      </c>
      <c r="G26" s="26"/>
    </row>
    <row r="27" spans="1:7" hidden="1" x14ac:dyDescent="0.25">
      <c r="A27" s="781" t="s">
        <v>557</v>
      </c>
      <c r="B27" s="28" t="e">
        <f>MAX((#REF!+#REF!),(B18+D18))</f>
        <v>#REF!</v>
      </c>
      <c r="G27" s="26"/>
    </row>
    <row r="28" spans="1:7" x14ac:dyDescent="0.25">
      <c r="G28" s="26"/>
    </row>
    <row r="29" spans="1:7" x14ac:dyDescent="0.25">
      <c r="G29" s="26"/>
    </row>
    <row r="30" spans="1:7" x14ac:dyDescent="0.25">
      <c r="G30" s="26"/>
    </row>
    <row r="31" spans="1:7" x14ac:dyDescent="0.25">
      <c r="G31" s="26"/>
    </row>
    <row r="32" spans="1:7" x14ac:dyDescent="0.25">
      <c r="C32" s="27"/>
      <c r="D32" s="27"/>
      <c r="G32" s="26"/>
    </row>
    <row r="33" spans="6:7" x14ac:dyDescent="0.25">
      <c r="G33" s="26"/>
    </row>
    <row r="34" spans="6:7" x14ac:dyDescent="0.25">
      <c r="G34" s="26"/>
    </row>
    <row r="35" spans="6:7" x14ac:dyDescent="0.25">
      <c r="G35" s="26"/>
    </row>
    <row r="36" spans="6:7" x14ac:dyDescent="0.25">
      <c r="G36" s="26"/>
    </row>
    <row r="37" spans="6:7" x14ac:dyDescent="0.25">
      <c r="G37" s="26"/>
    </row>
    <row r="38" spans="6:7" x14ac:dyDescent="0.25">
      <c r="G38" s="26"/>
    </row>
    <row r="39" spans="6:7" x14ac:dyDescent="0.25">
      <c r="G39" s="26"/>
    </row>
    <row r="40" spans="6:7" x14ac:dyDescent="0.25">
      <c r="G40" s="26"/>
    </row>
    <row r="41" spans="6:7" x14ac:dyDescent="0.25">
      <c r="G41" s="26"/>
    </row>
    <row r="42" spans="6:7" x14ac:dyDescent="0.25">
      <c r="G42" s="26"/>
    </row>
    <row r="43" spans="6:7" x14ac:dyDescent="0.25">
      <c r="F43" s="26"/>
    </row>
    <row r="44" spans="6:7" x14ac:dyDescent="0.25">
      <c r="F44" s="26"/>
    </row>
  </sheetData>
  <mergeCells count="3">
    <mergeCell ref="A1:B1"/>
    <mergeCell ref="A5:D5"/>
    <mergeCell ref="A25:B25"/>
  </mergeCells>
  <pageMargins left="0.75" right="0.75" top="1" bottom="1" header="0.5" footer="0.5"/>
  <pageSetup orientation="portrait" r:id="rId1"/>
  <headerFooter alignWithMargins="0">
    <oddFooter>&amp;R&amp;"Arial,Regular"&amp;08&amp;K7F7F7FAmgen Proprietary - Confidential   &amp;C&amp;"Arial,Regular"&amp;08&amp;K7F7F7FAmgen Proprietary - For Internal Use Only</oddFooter>
    <evenFooter>&amp;R&amp;"Arial,Regular"&amp;08&amp;K7F7F7FAmgen Proprietary - Confidential   &amp;C&amp;"Arial,Regular"&amp;08&amp;K7F7F7FAmgen Proprietary - For Internal Use Only</evenFooter>
    <firstFooter>&amp;R&amp;"Arial,Regular"&amp;08&amp;K7F7F7FAmgen Proprietary - Confidential   &amp;C&amp;"Arial,Regular"&amp;08&amp;K7F7F7FAmgen Proprietary - For Internal Use Only</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B53404879238A042BDC79CB3FBCC9073" ma:contentTypeVersion="6" ma:contentTypeDescription="Create a new document." ma:contentTypeScope="" ma:versionID="c19d9be2205bd3fe8d1d7914058f3c20">
  <xsd:schema xmlns:xsd="http://www.w3.org/2001/XMLSchema" xmlns:xs="http://www.w3.org/2001/XMLSchema" xmlns:p="http://schemas.microsoft.com/office/2006/metadata/properties" xmlns:ns2="961eff02-078c-4286-bcbb-dafba4cadb52" xmlns:ns3="da27d08e-094f-4489-b8d2-e62344f1e73c" targetNamespace="http://schemas.microsoft.com/office/2006/metadata/properties" ma:root="true" ma:fieldsID="4679718311a2a1012aa3aa97047555c5" ns2:_="" ns3:_="">
    <xsd:import namespace="961eff02-078c-4286-bcbb-dafba4cadb52"/>
    <xsd:import namespace="da27d08e-094f-4489-b8d2-e62344f1e73c"/>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61eff02-078c-4286-bcbb-dafba4cadb5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da27d08e-094f-4489-b8d2-e62344f1e73c"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sisl xmlns:xsd="http://www.w3.org/2001/XMLSchema" xmlns:xsi="http://www.w3.org/2001/XMLSchema-instance" xmlns="http://www.boldonjames.com/2008/01/sie/internal/label" sislVersion="0" policy="82ad3a63-90ad-4a46-a3cb-757f4658e205" origin="userSelected">
  <element uid="9036a7a1-5a4f-48d3-b24b-dfdab053dac9" value=""/>
  <element uid="03e9b10b-a1f9-4a88-9630-476473f62285" value=""/>
  <element uid="7349a702-6462-4442-88eb-c64cd513835c" value=""/>
</sisl>
</file>

<file path=customXml/item4.xml><?xml version="1.0" encoding="utf-8"?>
<p:properties xmlns:p="http://schemas.microsoft.com/office/2006/metadata/properties" xmlns:xsi="http://www.w3.org/2001/XMLSchema-instance" xmlns:pc="http://schemas.microsoft.com/office/infopath/2007/PartnerControls">
  <documentManagement>
    <SharedWithUsers xmlns="da27d08e-094f-4489-b8d2-e62344f1e73c">
      <UserInfo>
        <DisplayName>Huang, Peiyun</DisplayName>
        <AccountId>65</AccountId>
        <AccountType/>
      </UserInfo>
    </SharedWithUsers>
  </documentManagement>
</p:properties>
</file>

<file path=customXml/itemProps1.xml><?xml version="1.0" encoding="utf-8"?>
<ds:datastoreItem xmlns:ds="http://schemas.openxmlformats.org/officeDocument/2006/customXml" ds:itemID="{4C3F7594-CA79-483C-8247-E7F48AD48F34}">
  <ds:schemaRefs>
    <ds:schemaRef ds:uri="http://schemas.microsoft.com/sharepoint/v3/contenttype/forms"/>
  </ds:schemaRefs>
</ds:datastoreItem>
</file>

<file path=customXml/itemProps2.xml><?xml version="1.0" encoding="utf-8"?>
<ds:datastoreItem xmlns:ds="http://schemas.openxmlformats.org/officeDocument/2006/customXml" ds:itemID="{24888B71-6C69-49FA-A797-37D976BFE52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61eff02-078c-4286-bcbb-dafba4cadb52"/>
    <ds:schemaRef ds:uri="da27d08e-094f-4489-b8d2-e62344f1e73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33A2BAB-6A2D-4A7D-A2A3-7AA716955A5E}">
  <ds:schemaRefs>
    <ds:schemaRef ds:uri="http://www.w3.org/2001/XMLSchema"/>
    <ds:schemaRef ds:uri="http://www.boldonjames.com/2008/01/sie/internal/label"/>
  </ds:schemaRefs>
</ds:datastoreItem>
</file>

<file path=customXml/itemProps4.xml><?xml version="1.0" encoding="utf-8"?>
<ds:datastoreItem xmlns:ds="http://schemas.openxmlformats.org/officeDocument/2006/customXml" ds:itemID="{AD79AC9F-B088-4700-B4B1-8A203CCA2101}">
  <ds:schemaRefs>
    <ds:schemaRef ds:uri="http://www.w3.org/XML/1998/namespace"/>
    <ds:schemaRef ds:uri="http://purl.org/dc/terms/"/>
    <ds:schemaRef ds:uri="da27d08e-094f-4489-b8d2-e62344f1e73c"/>
    <ds:schemaRef ds:uri="http://schemas.microsoft.com/office/2006/documentManagement/types"/>
    <ds:schemaRef ds:uri="http://schemas.microsoft.com/office/infopath/2007/PartnerControls"/>
    <ds:schemaRef ds:uri="961eff02-078c-4286-bcbb-dafba4cadb52"/>
    <ds:schemaRef ds:uri="http://purl.org/dc/elements/1.1/"/>
    <ds:schemaRef ds:uri="http://schemas.openxmlformats.org/package/2006/metadata/core-properties"/>
    <ds:schemaRef ds:uri="http://schemas.microsoft.com/office/2006/metadata/properties"/>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4" baseType="variant">
      <vt:variant>
        <vt:lpstr>Worksheets</vt:lpstr>
      </vt:variant>
      <vt:variant>
        <vt:i4>81</vt:i4>
      </vt:variant>
      <vt:variant>
        <vt:lpstr>Named Ranges</vt:lpstr>
      </vt:variant>
      <vt:variant>
        <vt:i4>42</vt:i4>
      </vt:variant>
    </vt:vector>
  </HeadingPairs>
  <TitlesOfParts>
    <vt:vector size="123" baseType="lpstr">
      <vt:lpstr>R &amp; R</vt:lpstr>
      <vt:lpstr>Tabulated BOM</vt:lpstr>
      <vt:lpstr>Issue log</vt:lpstr>
      <vt:lpstr>Post A1 Cleaning Template</vt:lpstr>
      <vt:lpstr>A3 Template (no recry)</vt:lpstr>
      <vt:lpstr>A2 Template</vt:lpstr>
      <vt:lpstr>Post A2 Cleaning Template</vt:lpstr>
      <vt:lpstr>Post B Cleaning Template</vt:lpstr>
      <vt:lpstr>B Template</vt:lpstr>
      <vt:lpstr>C Template</vt:lpstr>
      <vt:lpstr>Pre-Campaign</vt:lpstr>
      <vt:lpstr>Plant Activities</vt:lpstr>
      <vt:lpstr>Monthly View</vt:lpstr>
      <vt:lpstr>Y2022 A3-5 (with 1 recry)</vt:lpstr>
      <vt:lpstr>Y2021 A1-1</vt:lpstr>
      <vt:lpstr>Y2021 A1-2</vt:lpstr>
      <vt:lpstr>Y2021 A2-1</vt:lpstr>
      <vt:lpstr>Y2021 A2-2</vt:lpstr>
      <vt:lpstr>Y2021 Post A2 Cleaning 1</vt:lpstr>
      <vt:lpstr>Y2021 A3-1</vt:lpstr>
      <vt:lpstr>Y2021 A3-2</vt:lpstr>
      <vt:lpstr>Y2021 Post A3 Cleaning 1</vt:lpstr>
      <vt:lpstr>Y2021 B-1</vt:lpstr>
      <vt:lpstr>Y2022 A3-6 (with 1 recry)</vt:lpstr>
      <vt:lpstr>Y2022 Post A3 Cleaning</vt:lpstr>
      <vt:lpstr>Y2022 B-1</vt:lpstr>
      <vt:lpstr>Y2022 B-2 Option A </vt:lpstr>
      <vt:lpstr>Y2021 Post B cleaning 1</vt:lpstr>
      <vt:lpstr>Y2021 C-1</vt:lpstr>
      <vt:lpstr>Y2021 A1-3</vt:lpstr>
      <vt:lpstr>Y2021 A1-4</vt:lpstr>
      <vt:lpstr>Y2021 A1-5</vt:lpstr>
      <vt:lpstr>Y2021 A1-6</vt:lpstr>
      <vt:lpstr>Y2021 Post A1 Cleaning 2</vt:lpstr>
      <vt:lpstr>Y2021 A2-3</vt:lpstr>
      <vt:lpstr>Y2021 A2-4</vt:lpstr>
      <vt:lpstr>Y2021 A2-5</vt:lpstr>
      <vt:lpstr>Y2021 A2-6</vt:lpstr>
      <vt:lpstr>Y2021 Post A2 Cleaning 2</vt:lpstr>
      <vt:lpstr>Y2021 A3-3 (with 1 recry)</vt:lpstr>
      <vt:lpstr>Y2021 A3-4 (with 1 recry)</vt:lpstr>
      <vt:lpstr>Y2021 A3-5 (with 1 recry)</vt:lpstr>
      <vt:lpstr>Y2021 A3-6 (with 1 recry)</vt:lpstr>
      <vt:lpstr>Y2021 Post A3 Cleaning 2</vt:lpstr>
      <vt:lpstr>Y2021 B-2</vt:lpstr>
      <vt:lpstr>Y2021 B-3</vt:lpstr>
      <vt:lpstr>Y2021 Non-routine B &gt; A1</vt:lpstr>
      <vt:lpstr>Y2022 A1-1</vt:lpstr>
      <vt:lpstr>Y2022 A1-2</vt:lpstr>
      <vt:lpstr>Y2022 A1-3</vt:lpstr>
      <vt:lpstr>Y2022 Post A1 Cleaning 1</vt:lpstr>
      <vt:lpstr>Y2022 A2-1</vt:lpstr>
      <vt:lpstr>Y2022 A2-2</vt:lpstr>
      <vt:lpstr>Y2022 A2-3</vt:lpstr>
      <vt:lpstr>Y2022 A2-4</vt:lpstr>
      <vt:lpstr>Y2022 A2-5</vt:lpstr>
      <vt:lpstr>Y2022 A2-6</vt:lpstr>
      <vt:lpstr>Post A2 Cleaning_A2 &gt; C (2)</vt:lpstr>
      <vt:lpstr>Y2022 NR Post A2 Cleaning</vt:lpstr>
      <vt:lpstr>Y2021 C-2</vt:lpstr>
      <vt:lpstr>Y2021 C-3</vt:lpstr>
      <vt:lpstr>Y2021 C-4</vt:lpstr>
      <vt:lpstr>Y2022 Post B cleaning Option A</vt:lpstr>
      <vt:lpstr>Y2022 B-2 Option B</vt:lpstr>
      <vt:lpstr>Y2022 Post B cleaning Option B</vt:lpstr>
      <vt:lpstr>Y2022 Post B REclean (25 Mar)</vt:lpstr>
      <vt:lpstr>Y2022 C-1 (Grace)</vt:lpstr>
      <vt:lpstr>Y2022 C-2 RPA</vt:lpstr>
      <vt:lpstr>Y2022 C-3 (Grace)</vt:lpstr>
      <vt:lpstr>Y2021 Post C cleaning 1</vt:lpstr>
      <vt:lpstr>Y2022 PCO Carfilz to Aprem</vt:lpstr>
      <vt:lpstr>Y2022 Grace to Senn Cleaning</vt:lpstr>
      <vt:lpstr>Y2021 Post A1 Cleaning 1</vt:lpstr>
      <vt:lpstr>NR Post C &gt; A3 Step cleaning</vt:lpstr>
      <vt:lpstr>Y2022 A3-1 (with 1 recry)</vt:lpstr>
      <vt:lpstr>Y2022 A3-2 (with 1 recry)</vt:lpstr>
      <vt:lpstr>Y2022 A3-3 (with 1 recry)</vt:lpstr>
      <vt:lpstr>Y2022 A3-4 (with 1 recry)</vt:lpstr>
      <vt:lpstr>Y2021 B-4</vt:lpstr>
      <vt:lpstr>Y2021 C-2_Op</vt:lpstr>
      <vt:lpstr>A1 Template</vt:lpstr>
      <vt:lpstr>'A1 Template'!Print_Area</vt:lpstr>
      <vt:lpstr>'A3 Template (no recry)'!Print_Area</vt:lpstr>
      <vt:lpstr>'B Template'!Print_Area</vt:lpstr>
      <vt:lpstr>'C Template'!Print_Area</vt:lpstr>
      <vt:lpstr>'Y2021 A1-1'!Print_Area</vt:lpstr>
      <vt:lpstr>'Y2021 A1-2'!Print_Area</vt:lpstr>
      <vt:lpstr>'Y2021 A1-3'!Print_Area</vt:lpstr>
      <vt:lpstr>'Y2021 A1-4'!Print_Area</vt:lpstr>
      <vt:lpstr>'Y2021 A1-5'!Print_Area</vt:lpstr>
      <vt:lpstr>'Y2021 A1-6'!Print_Area</vt:lpstr>
      <vt:lpstr>'Y2021 A3-1'!Print_Area</vt:lpstr>
      <vt:lpstr>'Y2021 A3-2'!Print_Area</vt:lpstr>
      <vt:lpstr>'Y2021 A3-3 (with 1 recry)'!Print_Area</vt:lpstr>
      <vt:lpstr>'Y2021 A3-4 (with 1 recry)'!Print_Area</vt:lpstr>
      <vt:lpstr>'Y2021 A3-5 (with 1 recry)'!Print_Area</vt:lpstr>
      <vt:lpstr>'Y2021 A3-6 (with 1 recry)'!Print_Area</vt:lpstr>
      <vt:lpstr>'Y2021 B-1'!Print_Area</vt:lpstr>
      <vt:lpstr>'Y2021 B-2'!Print_Area</vt:lpstr>
      <vt:lpstr>'Y2021 B-3'!Print_Area</vt:lpstr>
      <vt:lpstr>'Y2021 B-4'!Print_Area</vt:lpstr>
      <vt:lpstr>'Y2021 C-1'!Print_Area</vt:lpstr>
      <vt:lpstr>'Y2021 C-2'!Print_Area</vt:lpstr>
      <vt:lpstr>'Y2021 C-2_Op'!Print_Area</vt:lpstr>
      <vt:lpstr>'Y2021 C-3'!Print_Area</vt:lpstr>
      <vt:lpstr>'Y2021 C-4'!Print_Area</vt:lpstr>
      <vt:lpstr>'Y2022 A1-1'!Print_Area</vt:lpstr>
      <vt:lpstr>'Y2022 A1-2'!Print_Area</vt:lpstr>
      <vt:lpstr>'Y2022 A1-3'!Print_Area</vt:lpstr>
      <vt:lpstr>'Y2022 A3-1 (with 1 recry)'!Print_Area</vt:lpstr>
      <vt:lpstr>'Y2022 A3-2 (with 1 recry)'!Print_Area</vt:lpstr>
      <vt:lpstr>'Y2022 A3-3 (with 1 recry)'!Print_Area</vt:lpstr>
      <vt:lpstr>'Y2022 A3-4 (with 1 recry)'!Print_Area</vt:lpstr>
      <vt:lpstr>'Y2022 A3-5 (with 1 recry)'!Print_Area</vt:lpstr>
      <vt:lpstr>'Y2022 A3-6 (with 1 recry)'!Print_Area</vt:lpstr>
      <vt:lpstr>'Y2022 B-1'!Print_Area</vt:lpstr>
      <vt:lpstr>'Y2022 B-2 Option A '!Print_Area</vt:lpstr>
      <vt:lpstr>'Y2022 B-2 Option B'!Print_Area</vt:lpstr>
      <vt:lpstr>'Y2022 C-1 (Grace)'!Print_Area</vt:lpstr>
      <vt:lpstr>'Y2022 C-2 RPA'!Print_Area</vt:lpstr>
      <vt:lpstr>'Y2022 C-3 (Grace)'!Print_Area</vt:lpstr>
      <vt:lpstr>Start</vt:lpstr>
      <vt:lpstr>Title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Oscar</dc:creator>
  <cp:keywords>*$%IU-*$%GenBus</cp:keywords>
  <dc:description/>
  <cp:lastModifiedBy>Tan, John</cp:lastModifiedBy>
  <cp:revision/>
  <dcterms:created xsi:type="dcterms:W3CDTF">2010-06-30T19:56:50Z</dcterms:created>
  <dcterms:modified xsi:type="dcterms:W3CDTF">2022-06-01T01:39:33Z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IndexRef">
    <vt:lpwstr>f0eac5c1-f1e6-45ab-8fd5-d80698999105</vt:lpwstr>
  </property>
  <property fmtid="{D5CDD505-2E9C-101B-9397-08002B2CF9AE}" pid="3" name="bjSaver">
    <vt:lpwstr>+lEFlGFeSHDqAwgZoJsBS6h4cLT9TxKG</vt:lpwstr>
  </property>
  <property fmtid="{D5CDD505-2E9C-101B-9397-08002B2CF9AE}" pid="4" name="bjDocumentSecurityLabel">
    <vt:lpwstr>Internal Use Only - General Business</vt:lpwstr>
  </property>
  <property fmtid="{D5CDD505-2E9C-101B-9397-08002B2CF9AE}" pid="5" name="ContentTypeId">
    <vt:lpwstr>0x010100B53404879238A042BDC79CB3FBCC9073</vt:lpwstr>
  </property>
  <property fmtid="{D5CDD505-2E9C-101B-9397-08002B2CF9AE}" pid="6" name="Order">
    <vt:r8>56800</vt:r8>
  </property>
  <property fmtid="{D5CDD505-2E9C-101B-9397-08002B2CF9AE}" pid="7" name="xd_ProgID">
    <vt:lpwstr/>
  </property>
  <property fmtid="{D5CDD505-2E9C-101B-9397-08002B2CF9AE}" pid="8" name="TemplateUrl">
    <vt:lpwstr/>
  </property>
  <property fmtid="{D5CDD505-2E9C-101B-9397-08002B2CF9AE}" pid="9" name="_CopySource">
    <vt:lpwstr>https://amgen.sharepoint.com/sites/ASM2MFG/Production Planning/2021 Production Plan/Y2021 Finite Schedule_Y2022 brought forward.xlsm</vt:lpwstr>
  </property>
  <property fmtid="{D5CDD505-2E9C-101B-9397-08002B2CF9AE}" pid="10" name="bjDocumentLabelXML">
    <vt:lpwstr>&lt;?xml version="1.0" encoding="us-ascii"?&gt;&lt;sisl xmlns:xsd="http://www.w3.org/2001/XMLSchema" xmlns:xsi="http://www.w3.org/2001/XMLSchema-instance" sislVersion="0" policy="82ad3a63-90ad-4a46-a3cb-757f4658e205" origin="userSelected" xmlns="http://www.boldonj</vt:lpwstr>
  </property>
  <property fmtid="{D5CDD505-2E9C-101B-9397-08002B2CF9AE}" pid="11" name="bjDocumentLabelXML-0">
    <vt:lpwstr>ames.com/2008/01/sie/internal/label"&gt;&lt;element uid="9036a7a1-5a4f-48d3-b24b-dfdab053dac9" value="" /&gt;&lt;element uid="03e9b10b-a1f9-4a88-9630-476473f62285" value="" /&gt;&lt;element uid="7349a702-6462-4442-88eb-c64cd513835c" value="" /&gt;&lt;/sisl&gt;</vt:lpwstr>
  </property>
  <property fmtid="{D5CDD505-2E9C-101B-9397-08002B2CF9AE}" pid="12" name="MSIP_Label_c447e2a9-24ba-4d7a-b0ff-4dbce61f1f96_Enabled">
    <vt:lpwstr>true</vt:lpwstr>
  </property>
  <property fmtid="{D5CDD505-2E9C-101B-9397-08002B2CF9AE}" pid="13" name="MSIP_Label_c447e2a9-24ba-4d7a-b0ff-4dbce61f1f96_SetDate">
    <vt:lpwstr>2021-12-31T03:32:08Z</vt:lpwstr>
  </property>
  <property fmtid="{D5CDD505-2E9C-101B-9397-08002B2CF9AE}" pid="14" name="MSIP_Label_c447e2a9-24ba-4d7a-b0ff-4dbce61f1f96_Method">
    <vt:lpwstr>Privileged</vt:lpwstr>
  </property>
  <property fmtid="{D5CDD505-2E9C-101B-9397-08002B2CF9AE}" pid="15" name="MSIP_Label_c447e2a9-24ba-4d7a-b0ff-4dbce61f1f96_Name">
    <vt:lpwstr>Non-Amgen</vt:lpwstr>
  </property>
  <property fmtid="{D5CDD505-2E9C-101B-9397-08002B2CF9AE}" pid="16" name="MSIP_Label_c447e2a9-24ba-4d7a-b0ff-4dbce61f1f96_SiteId">
    <vt:lpwstr>4b4266a6-1368-41af-ad5a-59eb634f7ad8</vt:lpwstr>
  </property>
  <property fmtid="{D5CDD505-2E9C-101B-9397-08002B2CF9AE}" pid="17" name="MSIP_Label_c447e2a9-24ba-4d7a-b0ff-4dbce61f1f96_ActionId">
    <vt:lpwstr>55859119-32ff-497a-8c76-7e7e528cfc4a</vt:lpwstr>
  </property>
  <property fmtid="{D5CDD505-2E9C-101B-9397-08002B2CF9AE}" pid="18" name="MSIP_Label_c447e2a9-24ba-4d7a-b0ff-4dbce61f1f96_ContentBits">
    <vt:lpwstr>2</vt:lpwstr>
  </property>
  <property fmtid="{D5CDD505-2E9C-101B-9397-08002B2CF9AE}" pid="19" name="_ExtendedDescription">
    <vt:lpwstr/>
  </property>
</Properties>
</file>